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arameters" sheetId="2" state="visible" r:id="rId2"/>
    <sheet name="First Principles" sheetId="3" state="visible" r:id="rId3"/>
    <sheet name="Drive Cycle" sheetId="4" state="visible" r:id="rId4"/>
    <sheet name="Dwell Plans" sheetId="5" state="visible" r:id="rId5"/>
    <sheet name="Time Budget" sheetId="6" state="visible" r:id="rId6"/>
    <sheet name="SOC Waterfall" sheetId="7" state="visible" r:id="rId7"/>
    <sheet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CE9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Drive cycle — Macon → Pooler → Plastic Express</a:t>
            </a:r>
          </a:p>
        </rich>
      </tx>
    </title>
    <plotArea>
      <scatterChart>
        <ser>
          <idx val="0"/>
          <order val="0"/>
          <tx>
            <v>mph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'Drive Cycle'!$A$2:$A$1623</f>
            </numRef>
          </xVal>
          <yVal>
            <numRef>
              <f>'Drive Cycle'!$C$2:$C$1623</f>
            </numRef>
          </yVal>
          <smooth val="0"/>
        </ser>
        <ser>
          <idx val="1"/>
          <order val="1"/>
          <tx>
            <v>zone limit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'Drive Cycle'!$A$2:$A$1623</f>
            </numRef>
          </xVal>
          <yVal>
            <numRef>
              <f>'Drive Cycle'!$B$2:$B$1623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mile (chainage)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mph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State of charge — Macon → Pooler → Plastic Express → Macon</a:t>
            </a:r>
          </a:p>
        </rich>
      </tx>
    </title>
    <plotArea>
      <scatterChart>
        <ser>
          <idx val="0"/>
          <order val="0"/>
          <tx>
            <v>solver dwells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'SOC Waterfall'!$A$2:$A$3244</f>
            </numRef>
          </xVal>
          <yVal>
            <numRef>
              <f>'SOC Waterfall'!$C$2:$C$3244</f>
            </numRef>
          </yVal>
          <smooth val="0"/>
        </ser>
        <ser>
          <idx val="1"/>
          <order val="1"/>
          <tx>
            <v>scheduled 25-min dwells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'SOC Waterfall'!$A$2:$A$3244</f>
            </numRef>
          </xVal>
          <yVal>
            <numRef>
              <f>'SOC Waterfall'!$D$2:$D$3244</f>
            </numRef>
          </yVal>
          <smooth val="0"/>
        </ser>
        <ser>
          <idx val="2"/>
          <order val="2"/>
          <tx>
            <v>reserve floor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'SOC Waterfall'!$A$2:$A$3244</f>
            </numRef>
          </xVal>
          <yVal>
            <numRef>
              <f>'SOC Waterfall'!$E$2:$E$3244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route mile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" customWidth="1" min="1" max="1"/>
    <col width="130" customWidth="1" min="2" max="2"/>
  </cols>
  <sheetData>
    <row r="1">
      <c r="A1" s="1" t="inlineStr">
        <is>
          <t>Drive Cycle &amp; Range — Macon → Pooler (unload) → Plastic Express (charge) → Macon · cruise 25 mph</t>
        </is>
      </c>
    </row>
    <row r="2">
      <c r="A2" t="inlineStr">
        <is>
          <t>SOC = State of Charge, the battery fuel gauge, in kWh (265 = full; 26.5 = the 10% reserve floor).</t>
        </is>
      </c>
    </row>
    <row r="3">
      <c r="A3" t="inlineStr">
        <is>
          <t>SEVEN assumptions drive everything (Parameters, yellow). Consumption is flat: loaded 2.0 / empty 1.0 kWh/mi — the numbers as given, no invented speed curve.</t>
        </is>
      </c>
    </row>
    <row r="5">
      <c r="A5" s="2" t="inlineStr">
        <is>
          <t>SHEET GUIDE</t>
        </is>
      </c>
    </row>
    <row r="6">
      <c r="A6" t="inlineStr"/>
      <c r="B6" t="inlineStr">
        <is>
          <t>Parameters — 7 assumptions, your ops allowances, 2 decision toggles. Derived arithmetic is hidden at the bottom.</t>
        </is>
      </c>
    </row>
    <row r="7">
      <c r="A7" t="inlineStr"/>
      <c r="B7" t="inlineStr">
        <is>
          <t>First Principles — the 12-zone ledger and the what-if speed table.</t>
        </is>
      </c>
    </row>
    <row r="8">
      <c r="A8" t="inlineStr"/>
      <c r="B8" t="inlineStr">
        <is>
          <t>Drive Cycle — mile / limit / mph, live kinematics (v² changes ≤180 per 0.1-mile row).</t>
        </is>
      </c>
    </row>
    <row r="9">
      <c r="A9" t="inlineStr"/>
      <c r="B9" t="inlineStr">
        <is>
          <t>Dwell Plans — charge solver + chronological energy &amp; time ledger (using and depleting, correlated to time).</t>
        </is>
      </c>
    </row>
    <row r="10">
      <c r="A10" t="inlineStr"/>
      <c r="B10" t="inlineStr">
        <is>
          <t>Time Budget — your ops allowance list vs the 24-h roundtrip and 48-h reefer constraints.</t>
        </is>
      </c>
    </row>
    <row r="11">
      <c r="A11" t="inlineStr"/>
      <c r="B11" t="inlineStr">
        <is>
          <t>SOC Waterfall — battery vs route mile; drain is shallower on the empty return.</t>
        </is>
      </c>
    </row>
    <row r="13">
      <c r="A13" s="2" t="inlineStr">
        <is>
          <t>KEY RESULTS: empty return (1.0 kWh/mi) fits the pack nonstop — no westbound charge stop (break-even ~1.47 kWh/mi).</t>
        </is>
      </c>
    </row>
    <row r="14">
      <c r="A14" t="inlineStr">
        <is>
          <t>CHARGING IS THE BINDING CONSTRAINT: each cycle needs ~486 kWh of charge. At the planned 40 kW mobile charger that is ~12 h</t>
        </is>
      </c>
    </row>
    <row r="15">
      <c r="A15" t="inlineStr">
        <is>
          <t>of plug time -&gt; ~29-h cycle, MISSING the 24-h target. See the Scenarios sheet for the options (2×40 kW, 4th vehicle, slow fallback).</t>
        </is>
      </c>
    </row>
    <row r="17">
      <c r="A17" t="inlineStr">
        <is>
          <t>SPOT CHECKS: Drive Cycle mile 2.1 = 16.73 · 6.1 = 24.08 · 48.9 = 16.73 · First Principles totals 159.1 mi / 451 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52" customWidth="1" min="3" max="3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cruise speed (mph)</t>
        </is>
      </c>
      <c r="B2" s="3" t="n">
        <v>25</v>
      </c>
      <c r="C2" s="3" t="inlineStr">
        <is>
          <t>the decision: run the track limit</t>
        </is>
      </c>
    </row>
    <row r="3">
      <c r="A3" s="3" t="inlineStr">
        <is>
          <t>acceleration / braking (mph/s)</t>
        </is>
      </c>
      <c r="B3" s="3" t="n">
        <v>0.25</v>
      </c>
      <c r="C3" s="3" t="inlineStr">
        <is>
          <t>PLACEHOLDER — engineering to replace</t>
        </is>
      </c>
    </row>
    <row r="4">
      <c r="A4" s="3" t="inlineStr">
        <is>
          <t>consumption LOADED (kWh/mi)</t>
        </is>
      </c>
      <c r="B4" s="3" t="n">
        <v>2</v>
      </c>
      <c r="C4" s="3" t="inlineStr">
        <is>
          <t>PLACEHOLDER — as quoted; flat at all speeds</t>
        </is>
      </c>
    </row>
    <row r="5">
      <c r="A5" s="3" t="inlineStr">
        <is>
          <t>consumption EMPTY (kWh/mi)</t>
        </is>
      </c>
      <c r="B5" s="3" t="n">
        <v>1</v>
      </c>
      <c r="C5" s="3" t="inlineStr">
        <is>
          <t>PLACEHOLDER — ops estimate; verify on shakedown</t>
        </is>
      </c>
    </row>
    <row r="6">
      <c r="A6" s="3" t="inlineStr">
        <is>
          <t>battery pack (kWh)</t>
        </is>
      </c>
      <c r="B6" s="3" t="n">
        <v>265</v>
      </c>
      <c r="C6" s="3" t="inlineStr">
        <is>
          <t>midpoint of 260–270</t>
        </is>
      </c>
    </row>
    <row r="7">
      <c r="A7" s="3" t="inlineStr">
        <is>
          <t>reserve floor (fraction)</t>
        </is>
      </c>
      <c r="B7" s="3" t="n">
        <v>0.1</v>
      </c>
      <c r="C7" s="3" t="inlineStr">
        <is>
          <t>policy: never plan below 10%</t>
        </is>
      </c>
    </row>
    <row r="8">
      <c r="A8" s="3" t="inlineStr">
        <is>
          <t>charge power (kW)</t>
        </is>
      </c>
      <c r="B8" s="3" t="n">
        <v>40</v>
      </c>
      <c r="C8" s="3" t="inlineStr">
        <is>
          <t>fast DC mobile charger — planned vehicle upgrade; see Scenarios</t>
        </is>
      </c>
    </row>
    <row r="9">
      <c r="A9" s="2" t="inlineStr">
        <is>
          <t>— OPS ALLOWANCES (your numbers) —</t>
        </is>
      </c>
      <c r="B9" t="inlineStr"/>
      <c r="C9" t="inlineStr"/>
    </row>
    <row r="10">
      <c r="A10" t="inlineStr">
        <is>
          <t>off-power loading @ Macon (min)</t>
        </is>
      </c>
      <c r="B10" t="n">
        <v>30</v>
      </c>
      <c r="C10" t="inlineStr"/>
    </row>
    <row r="11">
      <c r="A11" t="inlineStr">
        <is>
          <t>Macon hand-throw switch (min)</t>
        </is>
      </c>
      <c r="B11" t="n">
        <v>10</v>
      </c>
      <c r="C11" t="inlineStr"/>
    </row>
    <row r="12">
      <c r="A12" t="inlineStr">
        <is>
          <t>get on charging track (min)</t>
        </is>
      </c>
      <c r="B12" t="n">
        <v>15</v>
      </c>
      <c r="C12" t="inlineStr"/>
    </row>
    <row r="13">
      <c r="A13" t="inlineStr">
        <is>
          <t>stop charging, back on route (min)</t>
        </is>
      </c>
      <c r="B13" t="n">
        <v>15</v>
      </c>
      <c r="C13" t="inlineStr"/>
    </row>
    <row r="14">
      <c r="A14" t="inlineStr">
        <is>
          <t>Pooler switch &amp; positioning (min)</t>
        </is>
      </c>
      <c r="B14" t="n">
        <v>15</v>
      </c>
      <c r="C14" t="inlineStr"/>
    </row>
    <row r="15">
      <c r="A15" t="inlineStr">
        <is>
          <t>port ramp/dray/ingate/shore power (min)</t>
        </is>
      </c>
      <c r="B15" t="n">
        <v>360</v>
      </c>
      <c r="C15" t="inlineStr"/>
    </row>
    <row r="16">
      <c r="A16" t="inlineStr">
        <is>
          <t>max roundtrip per vehicle (h)</t>
        </is>
      </c>
      <c r="B16" t="n">
        <v>24</v>
      </c>
      <c r="C16" t="inlineStr"/>
    </row>
    <row r="17">
      <c r="A17" t="inlineStr">
        <is>
          <t>max reefer off-power (h)</t>
        </is>
      </c>
      <c r="B17" t="n">
        <v>48</v>
      </c>
      <c r="C17" t="inlineStr"/>
    </row>
    <row r="18">
      <c r="A18" s="2" t="inlineStr">
        <is>
          <t>— DECISIONS —</t>
        </is>
      </c>
      <c r="B18" t="inlineStr"/>
      <c r="C18" t="inlineStr"/>
    </row>
    <row r="19">
      <c r="A19" t="inlineStr">
        <is>
          <t>include port time in VEHICLE cycle (0/1)</t>
        </is>
      </c>
      <c r="B19" t="n">
        <v>0</v>
      </c>
      <c r="C19" t="inlineStr">
        <is>
          <t>1 breaks the 24-h budget; dray usually decouples</t>
        </is>
      </c>
    </row>
    <row r="20">
      <c r="A20" t="inlineStr">
        <is>
          <t>Macon top-up charge to full (0/1)</t>
        </is>
      </c>
      <c r="B20" t="n">
        <v>1</v>
      </c>
      <c r="C20" t="inlineStr">
        <is>
          <t>needed so each cycle starts full</t>
        </is>
      </c>
    </row>
    <row r="21" hidden="1">
      <c r="A21" t="inlineStr">
        <is>
          <t>— derived (hidden) —</t>
        </is>
      </c>
      <c r="B21" t="inlineStr"/>
      <c r="C21" t="inlineStr"/>
    </row>
    <row r="22" hidden="1">
      <c r="A22" t="inlineStr">
        <is>
          <t>2a converted (mi/h²)</t>
        </is>
      </c>
      <c r="B22">
        <f>2*3600*B3</f>
        <v/>
      </c>
      <c r="C22" t="inlineStr"/>
    </row>
    <row r="23" hidden="1">
      <c r="A23" t="inlineStr">
        <is>
          <t>drive-cycle grid (mi)</t>
        </is>
      </c>
      <c r="B23" t="n">
        <v>0.1</v>
      </c>
      <c r="C23" t="inlineStr"/>
    </row>
    <row r="24" hidden="1">
      <c r="A24" t="inlineStr">
        <is>
          <t>per-row v² change</t>
        </is>
      </c>
      <c r="B24">
        <f>B22*B23</f>
        <v/>
      </c>
      <c r="C24" t="inlineStr"/>
    </row>
    <row r="25" hidden="1">
      <c r="A25" t="inlineStr">
        <is>
          <t>floor (kWh)</t>
        </is>
      </c>
      <c r="B25">
        <f>B6*B7</f>
        <v/>
      </c>
      <c r="C25" t="inlineStr"/>
    </row>
    <row r="26" hidden="1">
      <c r="A26" t="inlineStr">
        <is>
          <t>scheduled Vidalia dwell for comparison (min)</t>
        </is>
      </c>
      <c r="B26" t="n">
        <v>25</v>
      </c>
      <c r="C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6" customWidth="1" min="5" max="5"/>
    <col width="12" customWidth="1" min="6" max="6"/>
    <col width="36" customWidth="1" min="7" max="7"/>
  </cols>
  <sheetData>
    <row r="1">
      <c r="A1" s="1" t="inlineStr">
        <is>
          <t>Per-zone ledger — G&amp;W 'Authorized Speed by MP' (presentation p.6). Savannah Sub: chainage = 92.3 + (577.8 − MP). Service ends at Pooler (159.1); vehicle continues 3.0 mi to Plastic Express to charge.</t>
        </is>
      </c>
    </row>
    <row r="3">
      <c r="A3" s="2" t="inlineStr">
        <is>
          <t>Sub</t>
        </is>
      </c>
      <c r="B3" s="2" t="inlineStr">
        <is>
          <t>MP range</t>
        </is>
      </c>
      <c r="C3" s="2" t="inlineStr">
        <is>
          <t>mph</t>
        </is>
      </c>
      <c r="D3" s="2" t="inlineStr">
        <is>
          <t>Chainage</t>
        </is>
      </c>
      <c r="E3" s="2" t="inlineStr">
        <is>
          <t>Miles traversed</t>
        </is>
      </c>
      <c r="F3" s="2" t="inlineStr">
        <is>
          <t>Min @ limit</t>
        </is>
      </c>
      <c r="G3" s="2" t="inlineStr">
        <is>
          <t>Note</t>
        </is>
      </c>
    </row>
    <row r="4">
      <c r="A4" t="inlineStr">
        <is>
          <t>Macon</t>
        </is>
      </c>
      <c r="B4" t="inlineStr">
        <is>
          <t>0.0 – 2.0</t>
        </is>
      </c>
      <c r="C4" t="n">
        <v>10</v>
      </c>
      <c r="D4" t="inlineStr">
        <is>
          <t>0.0 – 2.0</t>
        </is>
      </c>
      <c r="E4" t="n">
        <v>2</v>
      </c>
      <c r="F4">
        <f>IF(C4=0,0,E4/C4*60)</f>
        <v/>
      </c>
      <c r="G4" t="inlineStr"/>
    </row>
    <row r="5">
      <c r="A5" t="inlineStr">
        <is>
          <t>Macon</t>
        </is>
      </c>
      <c r="B5" t="inlineStr">
        <is>
          <t>2.0 – 6.0</t>
        </is>
      </c>
      <c r="C5" t="n">
        <v>20</v>
      </c>
      <c r="D5" t="inlineStr">
        <is>
          <t>2.0 – 6.0</t>
        </is>
      </c>
      <c r="E5" t="n">
        <v>4</v>
      </c>
      <c r="F5">
        <f>IF(C5=0,0,E5/C5*60)</f>
        <v/>
      </c>
      <c r="G5" t="inlineStr"/>
    </row>
    <row r="6">
      <c r="A6" t="inlineStr">
        <is>
          <t>Macon</t>
        </is>
      </c>
      <c r="B6" t="inlineStr">
        <is>
          <t>6.0 – 49.0</t>
        </is>
      </c>
      <c r="C6" t="n">
        <v>25</v>
      </c>
      <c r="D6" t="inlineStr">
        <is>
          <t>6.0 – 49.0</t>
        </is>
      </c>
      <c r="E6" t="n">
        <v>43</v>
      </c>
      <c r="F6">
        <f>IF(C6=0,0,E6/C6*60)</f>
        <v/>
      </c>
      <c r="G6" t="inlineStr"/>
    </row>
    <row r="7">
      <c r="A7" t="inlineStr">
        <is>
          <t>Macon</t>
        </is>
      </c>
      <c r="B7" t="inlineStr">
        <is>
          <t>49.0 – 58.6</t>
        </is>
      </c>
      <c r="C7" t="n">
        <v>10</v>
      </c>
      <c r="D7" t="inlineStr">
        <is>
          <t>49.0 – 58.6</t>
        </is>
      </c>
      <c r="E7" t="n">
        <v>9.6</v>
      </c>
      <c r="F7">
        <f>IF(C7=0,0,E7/C7*60)</f>
        <v/>
      </c>
      <c r="G7" t="inlineStr">
        <is>
          <t>Dublin Yard</t>
        </is>
      </c>
    </row>
    <row r="8">
      <c r="A8" t="inlineStr">
        <is>
          <t>Macon</t>
        </is>
      </c>
      <c r="B8" t="inlineStr">
        <is>
          <t>58.6 – 91.3</t>
        </is>
      </c>
      <c r="C8" t="n">
        <v>25</v>
      </c>
      <c r="D8" t="inlineStr">
        <is>
          <t>58.6 – 91.3</t>
        </is>
      </c>
      <c r="E8" t="n">
        <v>32.7</v>
      </c>
      <c r="F8">
        <f>IF(C8=0,0,E8/C8*60)</f>
        <v/>
      </c>
      <c r="G8" t="inlineStr"/>
    </row>
    <row r="9">
      <c r="A9" t="inlineStr">
        <is>
          <t>Macon</t>
        </is>
      </c>
      <c r="B9" t="inlineStr">
        <is>
          <t>91.3 – 92.3</t>
        </is>
      </c>
      <c r="C9" t="n">
        <v>10</v>
      </c>
      <c r="D9" t="inlineStr">
        <is>
          <t>91.3 – 92.3</t>
        </is>
      </c>
      <c r="E9" t="n">
        <v>1</v>
      </c>
      <c r="F9">
        <f>IF(C9=0,0,E9/C9*60)</f>
        <v/>
      </c>
      <c r="G9" t="inlineStr">
        <is>
          <t>Vidalia approach</t>
        </is>
      </c>
    </row>
    <row r="10">
      <c r="A10" t="inlineStr">
        <is>
          <t>Savannah</t>
        </is>
      </c>
      <c r="B10" t="inlineStr">
        <is>
          <t>577.8 – 575.6</t>
        </is>
      </c>
      <c r="C10" t="n">
        <v>10</v>
      </c>
      <c r="D10" t="inlineStr">
        <is>
          <t>92.3 – 94.5</t>
        </is>
      </c>
      <c r="E10" t="n">
        <v>2.2</v>
      </c>
      <c r="F10">
        <f>IF(C10=0,0,E10/C10*60)</f>
        <v/>
      </c>
      <c r="G10" t="inlineStr"/>
    </row>
    <row r="11">
      <c r="A11" t="inlineStr">
        <is>
          <t>Savannah</t>
        </is>
      </c>
      <c r="B11" t="inlineStr">
        <is>
          <t>575.6 – 558.0</t>
        </is>
      </c>
      <c r="C11" t="n">
        <v>25</v>
      </c>
      <c r="D11" t="inlineStr">
        <is>
          <t>94.5 – 112.1</t>
        </is>
      </c>
      <c r="E11" t="n">
        <v>17.6</v>
      </c>
      <c r="F11">
        <f>IF(C11=0,0,E11/C11*60)</f>
        <v/>
      </c>
      <c r="G11" t="inlineStr"/>
    </row>
    <row r="12">
      <c r="A12" t="inlineStr">
        <is>
          <t>Savannah</t>
        </is>
      </c>
      <c r="B12" t="inlineStr">
        <is>
          <t>558.0 – 556.0</t>
        </is>
      </c>
      <c r="C12" t="n">
        <v>10</v>
      </c>
      <c r="D12" t="inlineStr">
        <is>
          <t>112.1 – 114.1</t>
        </is>
      </c>
      <c r="E12" t="n">
        <v>2</v>
      </c>
      <c r="F12">
        <f>IF(C12=0,0,E12/C12*60)</f>
        <v/>
      </c>
      <c r="G12" t="inlineStr">
        <is>
          <t>Collins Yard</t>
        </is>
      </c>
    </row>
    <row r="13">
      <c r="A13" t="inlineStr">
        <is>
          <t>Savannah</t>
        </is>
      </c>
      <c r="B13" t="inlineStr">
        <is>
          <t>556.0 – 521.5</t>
        </is>
      </c>
      <c r="C13" t="n">
        <v>25</v>
      </c>
      <c r="D13" t="inlineStr">
        <is>
          <t>114.1 – 148.6</t>
        </is>
      </c>
      <c r="E13" t="n">
        <v>34.5</v>
      </c>
      <c r="F13">
        <f>IF(C13=0,0,E13/C13*60)</f>
        <v/>
      </c>
      <c r="G13" t="inlineStr"/>
    </row>
    <row r="14">
      <c r="A14" t="inlineStr">
        <is>
          <t>Savannah</t>
        </is>
      </c>
      <c r="B14" t="inlineStr">
        <is>
          <t>521.5 – 504.0</t>
        </is>
      </c>
      <c r="C14" t="n">
        <v>20</v>
      </c>
      <c r="D14" t="inlineStr">
        <is>
          <t>148.6 – 166.1</t>
        </is>
      </c>
      <c r="E14" t="n">
        <v>10.5</v>
      </c>
      <c r="F14">
        <f>IF(C14=0,0,E14/C14*60)</f>
        <v/>
      </c>
      <c r="G14" t="inlineStr">
        <is>
          <t>truncated at Pooler 159.1</t>
        </is>
      </c>
    </row>
    <row r="15">
      <c r="A15" t="inlineStr">
        <is>
          <t>Savannah</t>
        </is>
      </c>
      <c r="B15" t="inlineStr">
        <is>
          <t>504.0 – 499.0</t>
        </is>
      </c>
      <c r="C15" t="n">
        <v>10</v>
      </c>
      <c r="D15" t="inlineStr">
        <is>
          <t>166.1 – 171.1</t>
        </is>
      </c>
      <c r="E15" t="n">
        <v>0</v>
      </c>
      <c r="F15">
        <f>IF(C15=0,0,E15/C15*60)</f>
        <v/>
      </c>
      <c r="G15" t="inlineStr">
        <is>
          <t>beyond Pooler — not traversed</t>
        </is>
      </c>
    </row>
    <row r="16">
      <c r="A16" s="4" t="inlineStr">
        <is>
          <t>TOTALS</t>
        </is>
      </c>
      <c r="B16" s="5" t="inlineStr"/>
      <c r="C16" s="5" t="inlineStr"/>
      <c r="D16" s="5" t="inlineStr"/>
      <c r="E16" s="5">
        <f>SUM(E4:E15)</f>
        <v/>
      </c>
      <c r="F16" s="5">
        <f>SUM(F4:F15)</f>
        <v/>
      </c>
      <c r="G16" s="5" t="inlineStr">
        <is>
          <t>closure: 159.1 mi · 451 min = 7 h 31 m</t>
        </is>
      </c>
    </row>
    <row r="18">
      <c r="A18" s="2" t="inlineStr">
        <is>
          <t>WHAT-IF: slower cruise speeds (for reference — the plan runs 25)</t>
        </is>
      </c>
    </row>
    <row r="19">
      <c r="A19" s="2" t="inlineStr">
        <is>
          <t>cruise mph</t>
        </is>
      </c>
      <c r="B19" s="2" t="inlineStr">
        <is>
          <t>10-zone min (fixed)</t>
        </is>
      </c>
      <c r="C19" s="2" t="inlineStr">
        <is>
          <t>20-zone min</t>
        </is>
      </c>
      <c r="D19" s="2" t="inlineStr">
        <is>
          <t>25-zone min</t>
        </is>
      </c>
      <c r="E19" s="2" t="inlineStr">
        <is>
          <t>one-way total min</t>
        </is>
      </c>
      <c r="F19" s="2" t="inlineStr">
        <is>
          <t>one-way h:mm</t>
        </is>
      </c>
      <c r="G19" s="2" t="n"/>
    </row>
    <row r="20">
      <c r="A20" s="5" t="n">
        <v>25</v>
      </c>
      <c r="B20" s="5">
        <f>16.8/10*60</f>
        <v/>
      </c>
      <c r="C20" s="5">
        <f>14.5/MIN(A20,20)*60</f>
        <v/>
      </c>
      <c r="D20" s="5">
        <f>127.8/MIN(A20,25)*60</f>
        <v/>
      </c>
      <c r="E20" s="5">
        <f>SUM(B20:D20)</f>
        <v/>
      </c>
      <c r="F20" s="5">
        <f>TEXT(E20/1440,"h:mm")</f>
        <v/>
      </c>
      <c r="G20" s="5" t="n"/>
    </row>
    <row r="21">
      <c r="A21" t="n">
        <v>24</v>
      </c>
      <c r="B21">
        <f>16.8/10*60</f>
        <v/>
      </c>
      <c r="C21">
        <f>14.5/MIN(A21,20)*60</f>
        <v/>
      </c>
      <c r="D21">
        <f>127.8/MIN(A21,25)*60</f>
        <v/>
      </c>
      <c r="E21">
        <f>SUM(B21:D21)</f>
        <v/>
      </c>
      <c r="F21">
        <f>TEXT(E21/1440,"h:mm")</f>
        <v/>
      </c>
    </row>
    <row r="22">
      <c r="A22" t="n">
        <v>23</v>
      </c>
      <c r="B22">
        <f>16.8/10*60</f>
        <v/>
      </c>
      <c r="C22">
        <f>14.5/MIN(A22,20)*60</f>
        <v/>
      </c>
      <c r="D22">
        <f>127.8/MIN(A22,25)*60</f>
        <v/>
      </c>
      <c r="E22">
        <f>SUM(B22:D22)</f>
        <v/>
      </c>
      <c r="F22">
        <f>TEXT(E22/1440,"h:mm")</f>
        <v/>
      </c>
    </row>
    <row r="23">
      <c r="A23" t="n">
        <v>22</v>
      </c>
      <c r="B23">
        <f>16.8/10*60</f>
        <v/>
      </c>
      <c r="C23">
        <f>14.5/MIN(A23,20)*60</f>
        <v/>
      </c>
      <c r="D23">
        <f>127.8/MIN(A23,25)*60</f>
        <v/>
      </c>
      <c r="E23">
        <f>SUM(B23:D23)</f>
        <v/>
      </c>
      <c r="F23">
        <f>TEXT(E23/1440,"h:mm")</f>
        <v/>
      </c>
    </row>
    <row r="24">
      <c r="A24" t="n">
        <v>21</v>
      </c>
      <c r="B24">
        <f>16.8/10*60</f>
        <v/>
      </c>
      <c r="C24">
        <f>14.5/MIN(A24,20)*60</f>
        <v/>
      </c>
      <c r="D24">
        <f>127.8/MIN(A24,25)*60</f>
        <v/>
      </c>
      <c r="E24">
        <f>SUM(B24:D24)</f>
        <v/>
      </c>
      <c r="F24">
        <f>TEXT(E24/1440,"h:mm")</f>
        <v/>
      </c>
    </row>
    <row r="25">
      <c r="A25" t="n">
        <v>20</v>
      </c>
      <c r="B25">
        <f>16.8/10*60</f>
        <v/>
      </c>
      <c r="C25">
        <f>14.5/MIN(A25,20)*60</f>
        <v/>
      </c>
      <c r="D25">
        <f>127.8/MIN(A25,25)*60</f>
        <v/>
      </c>
      <c r="E25">
        <f>SUM(B25:D25)</f>
        <v/>
      </c>
      <c r="F25">
        <f>TEXT(E25/1440,"h:mm")</f>
        <v/>
      </c>
    </row>
    <row r="26">
      <c r="A26" t="n">
        <v>19</v>
      </c>
      <c r="B26">
        <f>16.8/10*60</f>
        <v/>
      </c>
      <c r="C26">
        <f>14.5/MIN(A26,20)*60</f>
        <v/>
      </c>
      <c r="D26">
        <f>127.8/MIN(A26,25)*60</f>
        <v/>
      </c>
      <c r="E26">
        <f>SUM(B26:D26)</f>
        <v/>
      </c>
      <c r="F26">
        <f>TEXT(E26/1440,"h:mm")</f>
        <v/>
      </c>
    </row>
    <row r="27">
      <c r="A27" t="n">
        <v>18</v>
      </c>
      <c r="B27">
        <f>16.8/10*60</f>
        <v/>
      </c>
      <c r="C27">
        <f>14.5/MIN(A27,20)*60</f>
        <v/>
      </c>
      <c r="D27">
        <f>127.8/MIN(A27,25)*60</f>
        <v/>
      </c>
      <c r="E27">
        <f>SUM(B27:D27)</f>
        <v/>
      </c>
      <c r="F27">
        <f>TEXT(E27/1440,"h:mm")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hidden="1" width="13" customWidth="1" min="4" max="4"/>
    <col hidden="1" width="13" customWidth="1" min="5" max="5"/>
  </cols>
  <sheetData>
    <row r="1">
      <c r="A1" s="2" t="inlineStr">
        <is>
          <t>mile</t>
        </is>
      </c>
      <c r="B1" s="2" t="inlineStr">
        <is>
          <t>limit (mph)</t>
        </is>
      </c>
      <c r="C1" s="2" t="inlineStr">
        <is>
          <t>mph</t>
        </is>
      </c>
      <c r="D1" s="2" t="inlineStr">
        <is>
          <t>fwd v² (helper)</t>
        </is>
      </c>
      <c r="E1" s="2" t="inlineStr">
        <is>
          <t>final v² (helper)</t>
        </is>
      </c>
    </row>
    <row r="2">
      <c r="A2" t="n">
        <v>0</v>
      </c>
      <c r="B2" t="n">
        <v>0</v>
      </c>
      <c r="C2">
        <f>ROUND(SQRT(E2),2)</f>
        <v/>
      </c>
      <c r="D2">
        <f>MIN(B2,Parameters!$B$2)^2</f>
        <v/>
      </c>
      <c r="E2">
        <f>MIN(D2, E3+Parameters!$B$24)</f>
        <v/>
      </c>
    </row>
    <row r="3">
      <c r="A3" t="n">
        <v>0.1</v>
      </c>
      <c r="B3" t="n">
        <v>10</v>
      </c>
      <c r="C3">
        <f>ROUND(SQRT(E3),2)</f>
        <v/>
      </c>
      <c r="D3">
        <f>MIN(MIN(B3,Parameters!$B$2)^2, D2+Parameters!$B$24)</f>
        <v/>
      </c>
      <c r="E3">
        <f>MIN(D3, E4+Parameters!$B$24)</f>
        <v/>
      </c>
    </row>
    <row r="4">
      <c r="A4" t="n">
        <v>0.2</v>
      </c>
      <c r="B4" t="n">
        <v>10</v>
      </c>
      <c r="C4">
        <f>ROUND(SQRT(E4),2)</f>
        <v/>
      </c>
      <c r="D4">
        <f>MIN(MIN(B4,Parameters!$B$2)^2, D3+Parameters!$B$24)</f>
        <v/>
      </c>
      <c r="E4">
        <f>MIN(D4, E5+Parameters!$B$24)</f>
        <v/>
      </c>
    </row>
    <row r="5">
      <c r="A5" t="n">
        <v>0.3</v>
      </c>
      <c r="B5" t="n">
        <v>10</v>
      </c>
      <c r="C5">
        <f>ROUND(SQRT(E5),2)</f>
        <v/>
      </c>
      <c r="D5">
        <f>MIN(MIN(B5,Parameters!$B$2)^2, D4+Parameters!$B$24)</f>
        <v/>
      </c>
      <c r="E5">
        <f>MIN(D5, E6+Parameters!$B$24)</f>
        <v/>
      </c>
    </row>
    <row r="6">
      <c r="A6" t="n">
        <v>0.4</v>
      </c>
      <c r="B6" t="n">
        <v>10</v>
      </c>
      <c r="C6">
        <f>ROUND(SQRT(E6),2)</f>
        <v/>
      </c>
      <c r="D6">
        <f>MIN(MIN(B6,Parameters!$B$2)^2, D5+Parameters!$B$24)</f>
        <v/>
      </c>
      <c r="E6">
        <f>MIN(D6, E7+Parameters!$B$24)</f>
        <v/>
      </c>
    </row>
    <row r="7">
      <c r="A7" t="n">
        <v>0.5</v>
      </c>
      <c r="B7" t="n">
        <v>10</v>
      </c>
      <c r="C7">
        <f>ROUND(SQRT(E7),2)</f>
        <v/>
      </c>
      <c r="D7">
        <f>MIN(MIN(B7,Parameters!$B$2)^2, D6+Parameters!$B$24)</f>
        <v/>
      </c>
      <c r="E7">
        <f>MIN(D7, E8+Parameters!$B$24)</f>
        <v/>
      </c>
    </row>
    <row r="8">
      <c r="A8" t="n">
        <v>0.6</v>
      </c>
      <c r="B8" t="n">
        <v>10</v>
      </c>
      <c r="C8">
        <f>ROUND(SQRT(E8),2)</f>
        <v/>
      </c>
      <c r="D8">
        <f>MIN(MIN(B8,Parameters!$B$2)^2, D7+Parameters!$B$24)</f>
        <v/>
      </c>
      <c r="E8">
        <f>MIN(D8, E9+Parameters!$B$24)</f>
        <v/>
      </c>
    </row>
    <row r="9">
      <c r="A9" t="n">
        <v>0.7</v>
      </c>
      <c r="B9" t="n">
        <v>10</v>
      </c>
      <c r="C9">
        <f>ROUND(SQRT(E9),2)</f>
        <v/>
      </c>
      <c r="D9">
        <f>MIN(MIN(B9,Parameters!$B$2)^2, D8+Parameters!$B$24)</f>
        <v/>
      </c>
      <c r="E9">
        <f>MIN(D9, E10+Parameters!$B$24)</f>
        <v/>
      </c>
    </row>
    <row r="10">
      <c r="A10" t="n">
        <v>0.8</v>
      </c>
      <c r="B10" t="n">
        <v>10</v>
      </c>
      <c r="C10">
        <f>ROUND(SQRT(E10),2)</f>
        <v/>
      </c>
      <c r="D10">
        <f>MIN(MIN(B10,Parameters!$B$2)^2, D9+Parameters!$B$24)</f>
        <v/>
      </c>
      <c r="E10">
        <f>MIN(D10, E11+Parameters!$B$24)</f>
        <v/>
      </c>
    </row>
    <row r="11">
      <c r="A11" t="n">
        <v>0.9</v>
      </c>
      <c r="B11" t="n">
        <v>10</v>
      </c>
      <c r="C11">
        <f>ROUND(SQRT(E11),2)</f>
        <v/>
      </c>
      <c r="D11">
        <f>MIN(MIN(B11,Parameters!$B$2)^2, D10+Parameters!$B$24)</f>
        <v/>
      </c>
      <c r="E11">
        <f>MIN(D11, E12+Parameters!$B$24)</f>
        <v/>
      </c>
    </row>
    <row r="12">
      <c r="A12" t="n">
        <v>1</v>
      </c>
      <c r="B12" t="n">
        <v>10</v>
      </c>
      <c r="C12">
        <f>ROUND(SQRT(E12),2)</f>
        <v/>
      </c>
      <c r="D12">
        <f>MIN(MIN(B12,Parameters!$B$2)^2, D11+Parameters!$B$24)</f>
        <v/>
      </c>
      <c r="E12">
        <f>MIN(D12, E13+Parameters!$B$24)</f>
        <v/>
      </c>
    </row>
    <row r="13">
      <c r="A13" t="n">
        <v>1.1</v>
      </c>
      <c r="B13" t="n">
        <v>10</v>
      </c>
      <c r="C13">
        <f>ROUND(SQRT(E13),2)</f>
        <v/>
      </c>
      <c r="D13">
        <f>MIN(MIN(B13,Parameters!$B$2)^2, D12+Parameters!$B$24)</f>
        <v/>
      </c>
      <c r="E13">
        <f>MIN(D13, E14+Parameters!$B$24)</f>
        <v/>
      </c>
    </row>
    <row r="14">
      <c r="A14" t="n">
        <v>1.2</v>
      </c>
      <c r="B14" t="n">
        <v>10</v>
      </c>
      <c r="C14">
        <f>ROUND(SQRT(E14),2)</f>
        <v/>
      </c>
      <c r="D14">
        <f>MIN(MIN(B14,Parameters!$B$2)^2, D13+Parameters!$B$24)</f>
        <v/>
      </c>
      <c r="E14">
        <f>MIN(D14, E15+Parameters!$B$24)</f>
        <v/>
      </c>
    </row>
    <row r="15">
      <c r="A15" t="n">
        <v>1.3</v>
      </c>
      <c r="B15" t="n">
        <v>10</v>
      </c>
      <c r="C15">
        <f>ROUND(SQRT(E15),2)</f>
        <v/>
      </c>
      <c r="D15">
        <f>MIN(MIN(B15,Parameters!$B$2)^2, D14+Parameters!$B$24)</f>
        <v/>
      </c>
      <c r="E15">
        <f>MIN(D15, E16+Parameters!$B$24)</f>
        <v/>
      </c>
    </row>
    <row r="16">
      <c r="A16" t="n">
        <v>1.4</v>
      </c>
      <c r="B16" t="n">
        <v>10</v>
      </c>
      <c r="C16">
        <f>ROUND(SQRT(E16),2)</f>
        <v/>
      </c>
      <c r="D16">
        <f>MIN(MIN(B16,Parameters!$B$2)^2, D15+Parameters!$B$24)</f>
        <v/>
      </c>
      <c r="E16">
        <f>MIN(D16, E17+Parameters!$B$24)</f>
        <v/>
      </c>
    </row>
    <row r="17">
      <c r="A17" t="n">
        <v>1.5</v>
      </c>
      <c r="B17" t="n">
        <v>10</v>
      </c>
      <c r="C17">
        <f>ROUND(SQRT(E17),2)</f>
        <v/>
      </c>
      <c r="D17">
        <f>MIN(MIN(B17,Parameters!$B$2)^2, D16+Parameters!$B$24)</f>
        <v/>
      </c>
      <c r="E17">
        <f>MIN(D17, E18+Parameters!$B$24)</f>
        <v/>
      </c>
    </row>
    <row r="18">
      <c r="A18" t="n">
        <v>1.6</v>
      </c>
      <c r="B18" t="n">
        <v>10</v>
      </c>
      <c r="C18">
        <f>ROUND(SQRT(E18),2)</f>
        <v/>
      </c>
      <c r="D18">
        <f>MIN(MIN(B18,Parameters!$B$2)^2, D17+Parameters!$B$24)</f>
        <v/>
      </c>
      <c r="E18">
        <f>MIN(D18, E19+Parameters!$B$24)</f>
        <v/>
      </c>
    </row>
    <row r="19">
      <c r="A19" t="n">
        <v>1.7</v>
      </c>
      <c r="B19" t="n">
        <v>10</v>
      </c>
      <c r="C19">
        <f>ROUND(SQRT(E19),2)</f>
        <v/>
      </c>
      <c r="D19">
        <f>MIN(MIN(B19,Parameters!$B$2)^2, D18+Parameters!$B$24)</f>
        <v/>
      </c>
      <c r="E19">
        <f>MIN(D19, E20+Parameters!$B$24)</f>
        <v/>
      </c>
    </row>
    <row r="20">
      <c r="A20" t="n">
        <v>1.8</v>
      </c>
      <c r="B20" t="n">
        <v>10</v>
      </c>
      <c r="C20">
        <f>ROUND(SQRT(E20),2)</f>
        <v/>
      </c>
      <c r="D20">
        <f>MIN(MIN(B20,Parameters!$B$2)^2, D19+Parameters!$B$24)</f>
        <v/>
      </c>
      <c r="E20">
        <f>MIN(D20, E21+Parameters!$B$24)</f>
        <v/>
      </c>
    </row>
    <row r="21">
      <c r="A21" t="n">
        <v>1.9</v>
      </c>
      <c r="B21" t="n">
        <v>10</v>
      </c>
      <c r="C21">
        <f>ROUND(SQRT(E21),2)</f>
        <v/>
      </c>
      <c r="D21">
        <f>MIN(MIN(B21,Parameters!$B$2)^2, D20+Parameters!$B$24)</f>
        <v/>
      </c>
      <c r="E21">
        <f>MIN(D21, E22+Parameters!$B$24)</f>
        <v/>
      </c>
    </row>
    <row r="22">
      <c r="A22" t="n">
        <v>2</v>
      </c>
      <c r="B22" t="n">
        <v>10</v>
      </c>
      <c r="C22">
        <f>ROUND(SQRT(E22),2)</f>
        <v/>
      </c>
      <c r="D22">
        <f>MIN(MIN(B22,Parameters!$B$2)^2, D21+Parameters!$B$24)</f>
        <v/>
      </c>
      <c r="E22">
        <f>MIN(D22, E23+Parameters!$B$24)</f>
        <v/>
      </c>
    </row>
    <row r="23">
      <c r="A23" t="n">
        <v>2.1</v>
      </c>
      <c r="B23" t="n">
        <v>20</v>
      </c>
      <c r="C23">
        <f>ROUND(SQRT(E23),2)</f>
        <v/>
      </c>
      <c r="D23">
        <f>MIN(MIN(B23,Parameters!$B$2)^2, D22+Parameters!$B$24)</f>
        <v/>
      </c>
      <c r="E23">
        <f>MIN(D23, E24+Parameters!$B$24)</f>
        <v/>
      </c>
    </row>
    <row r="24">
      <c r="A24" t="n">
        <v>2.2</v>
      </c>
      <c r="B24" t="n">
        <v>20</v>
      </c>
      <c r="C24">
        <f>ROUND(SQRT(E24),2)</f>
        <v/>
      </c>
      <c r="D24">
        <f>MIN(MIN(B24,Parameters!$B$2)^2, D23+Parameters!$B$24)</f>
        <v/>
      </c>
      <c r="E24">
        <f>MIN(D24, E25+Parameters!$B$24)</f>
        <v/>
      </c>
    </row>
    <row r="25">
      <c r="A25" t="n">
        <v>2.3</v>
      </c>
      <c r="B25" t="n">
        <v>20</v>
      </c>
      <c r="C25">
        <f>ROUND(SQRT(E25),2)</f>
        <v/>
      </c>
      <c r="D25">
        <f>MIN(MIN(B25,Parameters!$B$2)^2, D24+Parameters!$B$24)</f>
        <v/>
      </c>
      <c r="E25">
        <f>MIN(D25, E26+Parameters!$B$24)</f>
        <v/>
      </c>
    </row>
    <row r="26">
      <c r="A26" t="n">
        <v>2.4</v>
      </c>
      <c r="B26" t="n">
        <v>20</v>
      </c>
      <c r="C26">
        <f>ROUND(SQRT(E26),2)</f>
        <v/>
      </c>
      <c r="D26">
        <f>MIN(MIN(B26,Parameters!$B$2)^2, D25+Parameters!$B$24)</f>
        <v/>
      </c>
      <c r="E26">
        <f>MIN(D26, E27+Parameters!$B$24)</f>
        <v/>
      </c>
    </row>
    <row r="27">
      <c r="A27" t="n">
        <v>2.5</v>
      </c>
      <c r="B27" t="n">
        <v>20</v>
      </c>
      <c r="C27">
        <f>ROUND(SQRT(E27),2)</f>
        <v/>
      </c>
      <c r="D27">
        <f>MIN(MIN(B27,Parameters!$B$2)^2, D26+Parameters!$B$24)</f>
        <v/>
      </c>
      <c r="E27">
        <f>MIN(D27, E28+Parameters!$B$24)</f>
        <v/>
      </c>
    </row>
    <row r="28">
      <c r="A28" t="n">
        <v>2.6</v>
      </c>
      <c r="B28" t="n">
        <v>20</v>
      </c>
      <c r="C28">
        <f>ROUND(SQRT(E28),2)</f>
        <v/>
      </c>
      <c r="D28">
        <f>MIN(MIN(B28,Parameters!$B$2)^2, D27+Parameters!$B$24)</f>
        <v/>
      </c>
      <c r="E28">
        <f>MIN(D28, E29+Parameters!$B$24)</f>
        <v/>
      </c>
    </row>
    <row r="29">
      <c r="A29" t="n">
        <v>2.7</v>
      </c>
      <c r="B29" t="n">
        <v>20</v>
      </c>
      <c r="C29">
        <f>ROUND(SQRT(E29),2)</f>
        <v/>
      </c>
      <c r="D29">
        <f>MIN(MIN(B29,Parameters!$B$2)^2, D28+Parameters!$B$24)</f>
        <v/>
      </c>
      <c r="E29">
        <f>MIN(D29, E30+Parameters!$B$24)</f>
        <v/>
      </c>
    </row>
    <row r="30">
      <c r="A30" t="n">
        <v>2.8</v>
      </c>
      <c r="B30" t="n">
        <v>20</v>
      </c>
      <c r="C30">
        <f>ROUND(SQRT(E30),2)</f>
        <v/>
      </c>
      <c r="D30">
        <f>MIN(MIN(B30,Parameters!$B$2)^2, D29+Parameters!$B$24)</f>
        <v/>
      </c>
      <c r="E30">
        <f>MIN(D30, E31+Parameters!$B$24)</f>
        <v/>
      </c>
    </row>
    <row r="31">
      <c r="A31" t="n">
        <v>2.9</v>
      </c>
      <c r="B31" t="n">
        <v>20</v>
      </c>
      <c r="C31">
        <f>ROUND(SQRT(E31),2)</f>
        <v/>
      </c>
      <c r="D31">
        <f>MIN(MIN(B31,Parameters!$B$2)^2, D30+Parameters!$B$24)</f>
        <v/>
      </c>
      <c r="E31">
        <f>MIN(D31, E32+Parameters!$B$24)</f>
        <v/>
      </c>
    </row>
    <row r="32">
      <c r="A32" t="n">
        <v>3</v>
      </c>
      <c r="B32" t="n">
        <v>20</v>
      </c>
      <c r="C32">
        <f>ROUND(SQRT(E32),2)</f>
        <v/>
      </c>
      <c r="D32">
        <f>MIN(MIN(B32,Parameters!$B$2)^2, D31+Parameters!$B$24)</f>
        <v/>
      </c>
      <c r="E32">
        <f>MIN(D32, E33+Parameters!$B$24)</f>
        <v/>
      </c>
    </row>
    <row r="33">
      <c r="A33" t="n">
        <v>3.1</v>
      </c>
      <c r="B33" t="n">
        <v>20</v>
      </c>
      <c r="C33">
        <f>ROUND(SQRT(E33),2)</f>
        <v/>
      </c>
      <c r="D33">
        <f>MIN(MIN(B33,Parameters!$B$2)^2, D32+Parameters!$B$24)</f>
        <v/>
      </c>
      <c r="E33">
        <f>MIN(D33, E34+Parameters!$B$24)</f>
        <v/>
      </c>
    </row>
    <row r="34">
      <c r="A34" t="n">
        <v>3.2</v>
      </c>
      <c r="B34" t="n">
        <v>20</v>
      </c>
      <c r="C34">
        <f>ROUND(SQRT(E34),2)</f>
        <v/>
      </c>
      <c r="D34">
        <f>MIN(MIN(B34,Parameters!$B$2)^2, D33+Parameters!$B$24)</f>
        <v/>
      </c>
      <c r="E34">
        <f>MIN(D34, E35+Parameters!$B$24)</f>
        <v/>
      </c>
    </row>
    <row r="35">
      <c r="A35" t="n">
        <v>3.3</v>
      </c>
      <c r="B35" t="n">
        <v>20</v>
      </c>
      <c r="C35">
        <f>ROUND(SQRT(E35),2)</f>
        <v/>
      </c>
      <c r="D35">
        <f>MIN(MIN(B35,Parameters!$B$2)^2, D34+Parameters!$B$24)</f>
        <v/>
      </c>
      <c r="E35">
        <f>MIN(D35, E36+Parameters!$B$24)</f>
        <v/>
      </c>
    </row>
    <row r="36">
      <c r="A36" t="n">
        <v>3.4</v>
      </c>
      <c r="B36" t="n">
        <v>20</v>
      </c>
      <c r="C36">
        <f>ROUND(SQRT(E36),2)</f>
        <v/>
      </c>
      <c r="D36">
        <f>MIN(MIN(B36,Parameters!$B$2)^2, D35+Parameters!$B$24)</f>
        <v/>
      </c>
      <c r="E36">
        <f>MIN(D36, E37+Parameters!$B$24)</f>
        <v/>
      </c>
    </row>
    <row r="37">
      <c r="A37" t="n">
        <v>3.5</v>
      </c>
      <c r="B37" t="n">
        <v>20</v>
      </c>
      <c r="C37">
        <f>ROUND(SQRT(E37),2)</f>
        <v/>
      </c>
      <c r="D37">
        <f>MIN(MIN(B37,Parameters!$B$2)^2, D36+Parameters!$B$24)</f>
        <v/>
      </c>
      <c r="E37">
        <f>MIN(D37, E38+Parameters!$B$24)</f>
        <v/>
      </c>
    </row>
    <row r="38">
      <c r="A38" t="n">
        <v>3.6</v>
      </c>
      <c r="B38" t="n">
        <v>20</v>
      </c>
      <c r="C38">
        <f>ROUND(SQRT(E38),2)</f>
        <v/>
      </c>
      <c r="D38">
        <f>MIN(MIN(B38,Parameters!$B$2)^2, D37+Parameters!$B$24)</f>
        <v/>
      </c>
      <c r="E38">
        <f>MIN(D38, E39+Parameters!$B$24)</f>
        <v/>
      </c>
    </row>
    <row r="39">
      <c r="A39" t="n">
        <v>3.7</v>
      </c>
      <c r="B39" t="n">
        <v>20</v>
      </c>
      <c r="C39">
        <f>ROUND(SQRT(E39),2)</f>
        <v/>
      </c>
      <c r="D39">
        <f>MIN(MIN(B39,Parameters!$B$2)^2, D38+Parameters!$B$24)</f>
        <v/>
      </c>
      <c r="E39">
        <f>MIN(D39, E40+Parameters!$B$24)</f>
        <v/>
      </c>
    </row>
    <row r="40">
      <c r="A40" t="n">
        <v>3.8</v>
      </c>
      <c r="B40" t="n">
        <v>20</v>
      </c>
      <c r="C40">
        <f>ROUND(SQRT(E40),2)</f>
        <v/>
      </c>
      <c r="D40">
        <f>MIN(MIN(B40,Parameters!$B$2)^2, D39+Parameters!$B$24)</f>
        <v/>
      </c>
      <c r="E40">
        <f>MIN(D40, E41+Parameters!$B$24)</f>
        <v/>
      </c>
    </row>
    <row r="41">
      <c r="A41" t="n">
        <v>3.9</v>
      </c>
      <c r="B41" t="n">
        <v>20</v>
      </c>
      <c r="C41">
        <f>ROUND(SQRT(E41),2)</f>
        <v/>
      </c>
      <c r="D41">
        <f>MIN(MIN(B41,Parameters!$B$2)^2, D40+Parameters!$B$24)</f>
        <v/>
      </c>
      <c r="E41">
        <f>MIN(D41, E42+Parameters!$B$24)</f>
        <v/>
      </c>
    </row>
    <row r="42">
      <c r="A42" t="n">
        <v>4</v>
      </c>
      <c r="B42" t="n">
        <v>20</v>
      </c>
      <c r="C42">
        <f>ROUND(SQRT(E42),2)</f>
        <v/>
      </c>
      <c r="D42">
        <f>MIN(MIN(B42,Parameters!$B$2)^2, D41+Parameters!$B$24)</f>
        <v/>
      </c>
      <c r="E42">
        <f>MIN(D42, E43+Parameters!$B$24)</f>
        <v/>
      </c>
    </row>
    <row r="43">
      <c r="A43" t="n">
        <v>4.1</v>
      </c>
      <c r="B43" t="n">
        <v>20</v>
      </c>
      <c r="C43">
        <f>ROUND(SQRT(E43),2)</f>
        <v/>
      </c>
      <c r="D43">
        <f>MIN(MIN(B43,Parameters!$B$2)^2, D42+Parameters!$B$24)</f>
        <v/>
      </c>
      <c r="E43">
        <f>MIN(D43, E44+Parameters!$B$24)</f>
        <v/>
      </c>
    </row>
    <row r="44">
      <c r="A44" t="n">
        <v>4.2</v>
      </c>
      <c r="B44" t="n">
        <v>20</v>
      </c>
      <c r="C44">
        <f>ROUND(SQRT(E44),2)</f>
        <v/>
      </c>
      <c r="D44">
        <f>MIN(MIN(B44,Parameters!$B$2)^2, D43+Parameters!$B$24)</f>
        <v/>
      </c>
      <c r="E44">
        <f>MIN(D44, E45+Parameters!$B$24)</f>
        <v/>
      </c>
    </row>
    <row r="45">
      <c r="A45" t="n">
        <v>4.3</v>
      </c>
      <c r="B45" t="n">
        <v>20</v>
      </c>
      <c r="C45">
        <f>ROUND(SQRT(E45),2)</f>
        <v/>
      </c>
      <c r="D45">
        <f>MIN(MIN(B45,Parameters!$B$2)^2, D44+Parameters!$B$24)</f>
        <v/>
      </c>
      <c r="E45">
        <f>MIN(D45, E46+Parameters!$B$24)</f>
        <v/>
      </c>
    </row>
    <row r="46">
      <c r="A46" t="n">
        <v>4.4</v>
      </c>
      <c r="B46" t="n">
        <v>20</v>
      </c>
      <c r="C46">
        <f>ROUND(SQRT(E46),2)</f>
        <v/>
      </c>
      <c r="D46">
        <f>MIN(MIN(B46,Parameters!$B$2)^2, D45+Parameters!$B$24)</f>
        <v/>
      </c>
      <c r="E46">
        <f>MIN(D46, E47+Parameters!$B$24)</f>
        <v/>
      </c>
    </row>
    <row r="47">
      <c r="A47" t="n">
        <v>4.5</v>
      </c>
      <c r="B47" t="n">
        <v>20</v>
      </c>
      <c r="C47">
        <f>ROUND(SQRT(E47),2)</f>
        <v/>
      </c>
      <c r="D47">
        <f>MIN(MIN(B47,Parameters!$B$2)^2, D46+Parameters!$B$24)</f>
        <v/>
      </c>
      <c r="E47">
        <f>MIN(D47, E48+Parameters!$B$24)</f>
        <v/>
      </c>
    </row>
    <row r="48">
      <c r="A48" t="n">
        <v>4.6</v>
      </c>
      <c r="B48" t="n">
        <v>20</v>
      </c>
      <c r="C48">
        <f>ROUND(SQRT(E48),2)</f>
        <v/>
      </c>
      <c r="D48">
        <f>MIN(MIN(B48,Parameters!$B$2)^2, D47+Parameters!$B$24)</f>
        <v/>
      </c>
      <c r="E48">
        <f>MIN(D48, E49+Parameters!$B$24)</f>
        <v/>
      </c>
    </row>
    <row r="49">
      <c r="A49" t="n">
        <v>4.7</v>
      </c>
      <c r="B49" t="n">
        <v>20</v>
      </c>
      <c r="C49">
        <f>ROUND(SQRT(E49),2)</f>
        <v/>
      </c>
      <c r="D49">
        <f>MIN(MIN(B49,Parameters!$B$2)^2, D48+Parameters!$B$24)</f>
        <v/>
      </c>
      <c r="E49">
        <f>MIN(D49, E50+Parameters!$B$24)</f>
        <v/>
      </c>
    </row>
    <row r="50">
      <c r="A50" t="n">
        <v>4.8</v>
      </c>
      <c r="B50" t="n">
        <v>20</v>
      </c>
      <c r="C50">
        <f>ROUND(SQRT(E50),2)</f>
        <v/>
      </c>
      <c r="D50">
        <f>MIN(MIN(B50,Parameters!$B$2)^2, D49+Parameters!$B$24)</f>
        <v/>
      </c>
      <c r="E50">
        <f>MIN(D50, E51+Parameters!$B$24)</f>
        <v/>
      </c>
    </row>
    <row r="51">
      <c r="A51" t="n">
        <v>4.9</v>
      </c>
      <c r="B51" t="n">
        <v>20</v>
      </c>
      <c r="C51">
        <f>ROUND(SQRT(E51),2)</f>
        <v/>
      </c>
      <c r="D51">
        <f>MIN(MIN(B51,Parameters!$B$2)^2, D50+Parameters!$B$24)</f>
        <v/>
      </c>
      <c r="E51">
        <f>MIN(D51, E52+Parameters!$B$24)</f>
        <v/>
      </c>
    </row>
    <row r="52">
      <c r="A52" t="n">
        <v>5</v>
      </c>
      <c r="B52" t="n">
        <v>20</v>
      </c>
      <c r="C52">
        <f>ROUND(SQRT(E52),2)</f>
        <v/>
      </c>
      <c r="D52">
        <f>MIN(MIN(B52,Parameters!$B$2)^2, D51+Parameters!$B$24)</f>
        <v/>
      </c>
      <c r="E52">
        <f>MIN(D52, E53+Parameters!$B$24)</f>
        <v/>
      </c>
    </row>
    <row r="53">
      <c r="A53" t="n">
        <v>5.1</v>
      </c>
      <c r="B53" t="n">
        <v>20</v>
      </c>
      <c r="C53">
        <f>ROUND(SQRT(E53),2)</f>
        <v/>
      </c>
      <c r="D53">
        <f>MIN(MIN(B53,Parameters!$B$2)^2, D52+Parameters!$B$24)</f>
        <v/>
      </c>
      <c r="E53">
        <f>MIN(D53, E54+Parameters!$B$24)</f>
        <v/>
      </c>
    </row>
    <row r="54">
      <c r="A54" t="n">
        <v>5.2</v>
      </c>
      <c r="B54" t="n">
        <v>20</v>
      </c>
      <c r="C54">
        <f>ROUND(SQRT(E54),2)</f>
        <v/>
      </c>
      <c r="D54">
        <f>MIN(MIN(B54,Parameters!$B$2)^2, D53+Parameters!$B$24)</f>
        <v/>
      </c>
      <c r="E54">
        <f>MIN(D54, E55+Parameters!$B$24)</f>
        <v/>
      </c>
    </row>
    <row r="55">
      <c r="A55" t="n">
        <v>5.3</v>
      </c>
      <c r="B55" t="n">
        <v>20</v>
      </c>
      <c r="C55">
        <f>ROUND(SQRT(E55),2)</f>
        <v/>
      </c>
      <c r="D55">
        <f>MIN(MIN(B55,Parameters!$B$2)^2, D54+Parameters!$B$24)</f>
        <v/>
      </c>
      <c r="E55">
        <f>MIN(D55, E56+Parameters!$B$24)</f>
        <v/>
      </c>
    </row>
    <row r="56">
      <c r="A56" t="n">
        <v>5.4</v>
      </c>
      <c r="B56" t="n">
        <v>20</v>
      </c>
      <c r="C56">
        <f>ROUND(SQRT(E56),2)</f>
        <v/>
      </c>
      <c r="D56">
        <f>MIN(MIN(B56,Parameters!$B$2)^2, D55+Parameters!$B$24)</f>
        <v/>
      </c>
      <c r="E56">
        <f>MIN(D56, E57+Parameters!$B$24)</f>
        <v/>
      </c>
    </row>
    <row r="57">
      <c r="A57" t="n">
        <v>5.5</v>
      </c>
      <c r="B57" t="n">
        <v>20</v>
      </c>
      <c r="C57">
        <f>ROUND(SQRT(E57),2)</f>
        <v/>
      </c>
      <c r="D57">
        <f>MIN(MIN(B57,Parameters!$B$2)^2, D56+Parameters!$B$24)</f>
        <v/>
      </c>
      <c r="E57">
        <f>MIN(D57, E58+Parameters!$B$24)</f>
        <v/>
      </c>
    </row>
    <row r="58">
      <c r="A58" t="n">
        <v>5.6</v>
      </c>
      <c r="B58" t="n">
        <v>20</v>
      </c>
      <c r="C58">
        <f>ROUND(SQRT(E58),2)</f>
        <v/>
      </c>
      <c r="D58">
        <f>MIN(MIN(B58,Parameters!$B$2)^2, D57+Parameters!$B$24)</f>
        <v/>
      </c>
      <c r="E58">
        <f>MIN(D58, E59+Parameters!$B$24)</f>
        <v/>
      </c>
    </row>
    <row r="59">
      <c r="A59" t="n">
        <v>5.7</v>
      </c>
      <c r="B59" t="n">
        <v>20</v>
      </c>
      <c r="C59">
        <f>ROUND(SQRT(E59),2)</f>
        <v/>
      </c>
      <c r="D59">
        <f>MIN(MIN(B59,Parameters!$B$2)^2, D58+Parameters!$B$24)</f>
        <v/>
      </c>
      <c r="E59">
        <f>MIN(D59, E60+Parameters!$B$24)</f>
        <v/>
      </c>
    </row>
    <row r="60">
      <c r="A60" t="n">
        <v>5.8</v>
      </c>
      <c r="B60" t="n">
        <v>20</v>
      </c>
      <c r="C60">
        <f>ROUND(SQRT(E60),2)</f>
        <v/>
      </c>
      <c r="D60">
        <f>MIN(MIN(B60,Parameters!$B$2)^2, D59+Parameters!$B$24)</f>
        <v/>
      </c>
      <c r="E60">
        <f>MIN(D60, E61+Parameters!$B$24)</f>
        <v/>
      </c>
    </row>
    <row r="61">
      <c r="A61" t="n">
        <v>5.9</v>
      </c>
      <c r="B61" t="n">
        <v>20</v>
      </c>
      <c r="C61">
        <f>ROUND(SQRT(E61),2)</f>
        <v/>
      </c>
      <c r="D61">
        <f>MIN(MIN(B61,Parameters!$B$2)^2, D60+Parameters!$B$24)</f>
        <v/>
      </c>
      <c r="E61">
        <f>MIN(D61, E62+Parameters!$B$24)</f>
        <v/>
      </c>
    </row>
    <row r="62">
      <c r="A62" t="n">
        <v>6</v>
      </c>
      <c r="B62" t="n">
        <v>20</v>
      </c>
      <c r="C62">
        <f>ROUND(SQRT(E62),2)</f>
        <v/>
      </c>
      <c r="D62">
        <f>MIN(MIN(B62,Parameters!$B$2)^2, D61+Parameters!$B$24)</f>
        <v/>
      </c>
      <c r="E62">
        <f>MIN(D62, E63+Parameters!$B$24)</f>
        <v/>
      </c>
    </row>
    <row r="63">
      <c r="A63" t="n">
        <v>6.1</v>
      </c>
      <c r="B63" t="n">
        <v>25</v>
      </c>
      <c r="C63">
        <f>ROUND(SQRT(E63),2)</f>
        <v/>
      </c>
      <c r="D63">
        <f>MIN(MIN(B63,Parameters!$B$2)^2, D62+Parameters!$B$24)</f>
        <v/>
      </c>
      <c r="E63">
        <f>MIN(D63, E64+Parameters!$B$24)</f>
        <v/>
      </c>
    </row>
    <row r="64">
      <c r="A64" t="n">
        <v>6.2</v>
      </c>
      <c r="B64" t="n">
        <v>25</v>
      </c>
      <c r="C64">
        <f>ROUND(SQRT(E64),2)</f>
        <v/>
      </c>
      <c r="D64">
        <f>MIN(MIN(B64,Parameters!$B$2)^2, D63+Parameters!$B$24)</f>
        <v/>
      </c>
      <c r="E64">
        <f>MIN(D64, E65+Parameters!$B$24)</f>
        <v/>
      </c>
    </row>
    <row r="65">
      <c r="A65" t="n">
        <v>6.3</v>
      </c>
      <c r="B65" t="n">
        <v>25</v>
      </c>
      <c r="C65">
        <f>ROUND(SQRT(E65),2)</f>
        <v/>
      </c>
      <c r="D65">
        <f>MIN(MIN(B65,Parameters!$B$2)^2, D64+Parameters!$B$24)</f>
        <v/>
      </c>
      <c r="E65">
        <f>MIN(D65, E66+Parameters!$B$24)</f>
        <v/>
      </c>
    </row>
    <row r="66">
      <c r="A66" t="n">
        <v>6.4</v>
      </c>
      <c r="B66" t="n">
        <v>25</v>
      </c>
      <c r="C66">
        <f>ROUND(SQRT(E66),2)</f>
        <v/>
      </c>
      <c r="D66">
        <f>MIN(MIN(B66,Parameters!$B$2)^2, D65+Parameters!$B$24)</f>
        <v/>
      </c>
      <c r="E66">
        <f>MIN(D66, E67+Parameters!$B$24)</f>
        <v/>
      </c>
    </row>
    <row r="67">
      <c r="A67" t="n">
        <v>6.5</v>
      </c>
      <c r="B67" t="n">
        <v>25</v>
      </c>
      <c r="C67">
        <f>ROUND(SQRT(E67),2)</f>
        <v/>
      </c>
      <c r="D67">
        <f>MIN(MIN(B67,Parameters!$B$2)^2, D66+Parameters!$B$24)</f>
        <v/>
      </c>
      <c r="E67">
        <f>MIN(D67, E68+Parameters!$B$24)</f>
        <v/>
      </c>
    </row>
    <row r="68">
      <c r="A68" t="n">
        <v>6.6</v>
      </c>
      <c r="B68" t="n">
        <v>25</v>
      </c>
      <c r="C68">
        <f>ROUND(SQRT(E68),2)</f>
        <v/>
      </c>
      <c r="D68">
        <f>MIN(MIN(B68,Parameters!$B$2)^2, D67+Parameters!$B$24)</f>
        <v/>
      </c>
      <c r="E68">
        <f>MIN(D68, E69+Parameters!$B$24)</f>
        <v/>
      </c>
    </row>
    <row r="69">
      <c r="A69" t="n">
        <v>6.7</v>
      </c>
      <c r="B69" t="n">
        <v>25</v>
      </c>
      <c r="C69">
        <f>ROUND(SQRT(E69),2)</f>
        <v/>
      </c>
      <c r="D69">
        <f>MIN(MIN(B69,Parameters!$B$2)^2, D68+Parameters!$B$24)</f>
        <v/>
      </c>
      <c r="E69">
        <f>MIN(D69, E70+Parameters!$B$24)</f>
        <v/>
      </c>
    </row>
    <row r="70">
      <c r="A70" t="n">
        <v>6.8</v>
      </c>
      <c r="B70" t="n">
        <v>25</v>
      </c>
      <c r="C70">
        <f>ROUND(SQRT(E70),2)</f>
        <v/>
      </c>
      <c r="D70">
        <f>MIN(MIN(B70,Parameters!$B$2)^2, D69+Parameters!$B$24)</f>
        <v/>
      </c>
      <c r="E70">
        <f>MIN(D70, E71+Parameters!$B$24)</f>
        <v/>
      </c>
    </row>
    <row r="71">
      <c r="A71" t="n">
        <v>6.9</v>
      </c>
      <c r="B71" t="n">
        <v>25</v>
      </c>
      <c r="C71">
        <f>ROUND(SQRT(E71),2)</f>
        <v/>
      </c>
      <c r="D71">
        <f>MIN(MIN(B71,Parameters!$B$2)^2, D70+Parameters!$B$24)</f>
        <v/>
      </c>
      <c r="E71">
        <f>MIN(D71, E72+Parameters!$B$24)</f>
        <v/>
      </c>
    </row>
    <row r="72">
      <c r="A72" t="n">
        <v>7</v>
      </c>
      <c r="B72" t="n">
        <v>25</v>
      </c>
      <c r="C72">
        <f>ROUND(SQRT(E72),2)</f>
        <v/>
      </c>
      <c r="D72">
        <f>MIN(MIN(B72,Parameters!$B$2)^2, D71+Parameters!$B$24)</f>
        <v/>
      </c>
      <c r="E72">
        <f>MIN(D72, E73+Parameters!$B$24)</f>
        <v/>
      </c>
    </row>
    <row r="73">
      <c r="A73" t="n">
        <v>7.1</v>
      </c>
      <c r="B73" t="n">
        <v>25</v>
      </c>
      <c r="C73">
        <f>ROUND(SQRT(E73),2)</f>
        <v/>
      </c>
      <c r="D73">
        <f>MIN(MIN(B73,Parameters!$B$2)^2, D72+Parameters!$B$24)</f>
        <v/>
      </c>
      <c r="E73">
        <f>MIN(D73, E74+Parameters!$B$24)</f>
        <v/>
      </c>
    </row>
    <row r="74">
      <c r="A74" t="n">
        <v>7.2</v>
      </c>
      <c r="B74" t="n">
        <v>25</v>
      </c>
      <c r="C74">
        <f>ROUND(SQRT(E74),2)</f>
        <v/>
      </c>
      <c r="D74">
        <f>MIN(MIN(B74,Parameters!$B$2)^2, D73+Parameters!$B$24)</f>
        <v/>
      </c>
      <c r="E74">
        <f>MIN(D74, E75+Parameters!$B$24)</f>
        <v/>
      </c>
    </row>
    <row r="75">
      <c r="A75" t="n">
        <v>7.3</v>
      </c>
      <c r="B75" t="n">
        <v>25</v>
      </c>
      <c r="C75">
        <f>ROUND(SQRT(E75),2)</f>
        <v/>
      </c>
      <c r="D75">
        <f>MIN(MIN(B75,Parameters!$B$2)^2, D74+Parameters!$B$24)</f>
        <v/>
      </c>
      <c r="E75">
        <f>MIN(D75, E76+Parameters!$B$24)</f>
        <v/>
      </c>
    </row>
    <row r="76">
      <c r="A76" t="n">
        <v>7.4</v>
      </c>
      <c r="B76" t="n">
        <v>25</v>
      </c>
      <c r="C76">
        <f>ROUND(SQRT(E76),2)</f>
        <v/>
      </c>
      <c r="D76">
        <f>MIN(MIN(B76,Parameters!$B$2)^2, D75+Parameters!$B$24)</f>
        <v/>
      </c>
      <c r="E76">
        <f>MIN(D76, E77+Parameters!$B$24)</f>
        <v/>
      </c>
    </row>
    <row r="77">
      <c r="A77" t="n">
        <v>7.5</v>
      </c>
      <c r="B77" t="n">
        <v>25</v>
      </c>
      <c r="C77">
        <f>ROUND(SQRT(E77),2)</f>
        <v/>
      </c>
      <c r="D77">
        <f>MIN(MIN(B77,Parameters!$B$2)^2, D76+Parameters!$B$24)</f>
        <v/>
      </c>
      <c r="E77">
        <f>MIN(D77, E78+Parameters!$B$24)</f>
        <v/>
      </c>
    </row>
    <row r="78">
      <c r="A78" t="n">
        <v>7.6</v>
      </c>
      <c r="B78" t="n">
        <v>25</v>
      </c>
      <c r="C78">
        <f>ROUND(SQRT(E78),2)</f>
        <v/>
      </c>
      <c r="D78">
        <f>MIN(MIN(B78,Parameters!$B$2)^2, D77+Parameters!$B$24)</f>
        <v/>
      </c>
      <c r="E78">
        <f>MIN(D78, E79+Parameters!$B$24)</f>
        <v/>
      </c>
    </row>
    <row r="79">
      <c r="A79" t="n">
        <v>7.7</v>
      </c>
      <c r="B79" t="n">
        <v>25</v>
      </c>
      <c r="C79">
        <f>ROUND(SQRT(E79),2)</f>
        <v/>
      </c>
      <c r="D79">
        <f>MIN(MIN(B79,Parameters!$B$2)^2, D78+Parameters!$B$24)</f>
        <v/>
      </c>
      <c r="E79">
        <f>MIN(D79, E80+Parameters!$B$24)</f>
        <v/>
      </c>
    </row>
    <row r="80">
      <c r="A80" t="n">
        <v>7.8</v>
      </c>
      <c r="B80" t="n">
        <v>25</v>
      </c>
      <c r="C80">
        <f>ROUND(SQRT(E80),2)</f>
        <v/>
      </c>
      <c r="D80">
        <f>MIN(MIN(B80,Parameters!$B$2)^2, D79+Parameters!$B$24)</f>
        <v/>
      </c>
      <c r="E80">
        <f>MIN(D80, E81+Parameters!$B$24)</f>
        <v/>
      </c>
    </row>
    <row r="81">
      <c r="A81" t="n">
        <v>7.9</v>
      </c>
      <c r="B81" t="n">
        <v>25</v>
      </c>
      <c r="C81">
        <f>ROUND(SQRT(E81),2)</f>
        <v/>
      </c>
      <c r="D81">
        <f>MIN(MIN(B81,Parameters!$B$2)^2, D80+Parameters!$B$24)</f>
        <v/>
      </c>
      <c r="E81">
        <f>MIN(D81, E82+Parameters!$B$24)</f>
        <v/>
      </c>
    </row>
    <row r="82">
      <c r="A82" t="n">
        <v>8</v>
      </c>
      <c r="B82" t="n">
        <v>25</v>
      </c>
      <c r="C82">
        <f>ROUND(SQRT(E82),2)</f>
        <v/>
      </c>
      <c r="D82">
        <f>MIN(MIN(B82,Parameters!$B$2)^2, D81+Parameters!$B$24)</f>
        <v/>
      </c>
      <c r="E82">
        <f>MIN(D82, E83+Parameters!$B$24)</f>
        <v/>
      </c>
    </row>
    <row r="83">
      <c r="A83" t="n">
        <v>8.1</v>
      </c>
      <c r="B83" t="n">
        <v>25</v>
      </c>
      <c r="C83">
        <f>ROUND(SQRT(E83),2)</f>
        <v/>
      </c>
      <c r="D83">
        <f>MIN(MIN(B83,Parameters!$B$2)^2, D82+Parameters!$B$24)</f>
        <v/>
      </c>
      <c r="E83">
        <f>MIN(D83, E84+Parameters!$B$24)</f>
        <v/>
      </c>
    </row>
    <row r="84">
      <c r="A84" t="n">
        <v>8.199999999999999</v>
      </c>
      <c r="B84" t="n">
        <v>25</v>
      </c>
      <c r="C84">
        <f>ROUND(SQRT(E84),2)</f>
        <v/>
      </c>
      <c r="D84">
        <f>MIN(MIN(B84,Parameters!$B$2)^2, D83+Parameters!$B$24)</f>
        <v/>
      </c>
      <c r="E84">
        <f>MIN(D84, E85+Parameters!$B$24)</f>
        <v/>
      </c>
    </row>
    <row r="85">
      <c r="A85" t="n">
        <v>8.300000000000001</v>
      </c>
      <c r="B85" t="n">
        <v>25</v>
      </c>
      <c r="C85">
        <f>ROUND(SQRT(E85),2)</f>
        <v/>
      </c>
      <c r="D85">
        <f>MIN(MIN(B85,Parameters!$B$2)^2, D84+Parameters!$B$24)</f>
        <v/>
      </c>
      <c r="E85">
        <f>MIN(D85, E86+Parameters!$B$24)</f>
        <v/>
      </c>
    </row>
    <row r="86">
      <c r="A86" t="n">
        <v>8.4</v>
      </c>
      <c r="B86" t="n">
        <v>25</v>
      </c>
      <c r="C86">
        <f>ROUND(SQRT(E86),2)</f>
        <v/>
      </c>
      <c r="D86">
        <f>MIN(MIN(B86,Parameters!$B$2)^2, D85+Parameters!$B$24)</f>
        <v/>
      </c>
      <c r="E86">
        <f>MIN(D86, E87+Parameters!$B$24)</f>
        <v/>
      </c>
    </row>
    <row r="87">
      <c r="A87" t="n">
        <v>8.5</v>
      </c>
      <c r="B87" t="n">
        <v>25</v>
      </c>
      <c r="C87">
        <f>ROUND(SQRT(E87),2)</f>
        <v/>
      </c>
      <c r="D87">
        <f>MIN(MIN(B87,Parameters!$B$2)^2, D86+Parameters!$B$24)</f>
        <v/>
      </c>
      <c r="E87">
        <f>MIN(D87, E88+Parameters!$B$24)</f>
        <v/>
      </c>
    </row>
    <row r="88">
      <c r="A88" t="n">
        <v>8.6</v>
      </c>
      <c r="B88" t="n">
        <v>25</v>
      </c>
      <c r="C88">
        <f>ROUND(SQRT(E88),2)</f>
        <v/>
      </c>
      <c r="D88">
        <f>MIN(MIN(B88,Parameters!$B$2)^2, D87+Parameters!$B$24)</f>
        <v/>
      </c>
      <c r="E88">
        <f>MIN(D88, E89+Parameters!$B$24)</f>
        <v/>
      </c>
    </row>
    <row r="89">
      <c r="A89" t="n">
        <v>8.699999999999999</v>
      </c>
      <c r="B89" t="n">
        <v>25</v>
      </c>
      <c r="C89">
        <f>ROUND(SQRT(E89),2)</f>
        <v/>
      </c>
      <c r="D89">
        <f>MIN(MIN(B89,Parameters!$B$2)^2, D88+Parameters!$B$24)</f>
        <v/>
      </c>
      <c r="E89">
        <f>MIN(D89, E90+Parameters!$B$24)</f>
        <v/>
      </c>
    </row>
    <row r="90">
      <c r="A90" t="n">
        <v>8.800000000000001</v>
      </c>
      <c r="B90" t="n">
        <v>25</v>
      </c>
      <c r="C90">
        <f>ROUND(SQRT(E90),2)</f>
        <v/>
      </c>
      <c r="D90">
        <f>MIN(MIN(B90,Parameters!$B$2)^2, D89+Parameters!$B$24)</f>
        <v/>
      </c>
      <c r="E90">
        <f>MIN(D90, E91+Parameters!$B$24)</f>
        <v/>
      </c>
    </row>
    <row r="91">
      <c r="A91" t="n">
        <v>8.9</v>
      </c>
      <c r="B91" t="n">
        <v>25</v>
      </c>
      <c r="C91">
        <f>ROUND(SQRT(E91),2)</f>
        <v/>
      </c>
      <c r="D91">
        <f>MIN(MIN(B91,Parameters!$B$2)^2, D90+Parameters!$B$24)</f>
        <v/>
      </c>
      <c r="E91">
        <f>MIN(D91, E92+Parameters!$B$24)</f>
        <v/>
      </c>
    </row>
    <row r="92">
      <c r="A92" t="n">
        <v>9</v>
      </c>
      <c r="B92" t="n">
        <v>25</v>
      </c>
      <c r="C92">
        <f>ROUND(SQRT(E92),2)</f>
        <v/>
      </c>
      <c r="D92">
        <f>MIN(MIN(B92,Parameters!$B$2)^2, D91+Parameters!$B$24)</f>
        <v/>
      </c>
      <c r="E92">
        <f>MIN(D92, E93+Parameters!$B$24)</f>
        <v/>
      </c>
    </row>
    <row r="93">
      <c r="A93" t="n">
        <v>9.1</v>
      </c>
      <c r="B93" t="n">
        <v>25</v>
      </c>
      <c r="C93">
        <f>ROUND(SQRT(E93),2)</f>
        <v/>
      </c>
      <c r="D93">
        <f>MIN(MIN(B93,Parameters!$B$2)^2, D92+Parameters!$B$24)</f>
        <v/>
      </c>
      <c r="E93">
        <f>MIN(D93, E94+Parameters!$B$24)</f>
        <v/>
      </c>
    </row>
    <row r="94">
      <c r="A94" t="n">
        <v>9.199999999999999</v>
      </c>
      <c r="B94" t="n">
        <v>25</v>
      </c>
      <c r="C94">
        <f>ROUND(SQRT(E94),2)</f>
        <v/>
      </c>
      <c r="D94">
        <f>MIN(MIN(B94,Parameters!$B$2)^2, D93+Parameters!$B$24)</f>
        <v/>
      </c>
      <c r="E94">
        <f>MIN(D94, E95+Parameters!$B$24)</f>
        <v/>
      </c>
    </row>
    <row r="95">
      <c r="A95" t="n">
        <v>9.300000000000001</v>
      </c>
      <c r="B95" t="n">
        <v>25</v>
      </c>
      <c r="C95">
        <f>ROUND(SQRT(E95),2)</f>
        <v/>
      </c>
      <c r="D95">
        <f>MIN(MIN(B95,Parameters!$B$2)^2, D94+Parameters!$B$24)</f>
        <v/>
      </c>
      <c r="E95">
        <f>MIN(D95, E96+Parameters!$B$24)</f>
        <v/>
      </c>
    </row>
    <row r="96">
      <c r="A96" t="n">
        <v>9.4</v>
      </c>
      <c r="B96" t="n">
        <v>25</v>
      </c>
      <c r="C96">
        <f>ROUND(SQRT(E96),2)</f>
        <v/>
      </c>
      <c r="D96">
        <f>MIN(MIN(B96,Parameters!$B$2)^2, D95+Parameters!$B$24)</f>
        <v/>
      </c>
      <c r="E96">
        <f>MIN(D96, E97+Parameters!$B$24)</f>
        <v/>
      </c>
    </row>
    <row r="97">
      <c r="A97" t="n">
        <v>9.5</v>
      </c>
      <c r="B97" t="n">
        <v>25</v>
      </c>
      <c r="C97">
        <f>ROUND(SQRT(E97),2)</f>
        <v/>
      </c>
      <c r="D97">
        <f>MIN(MIN(B97,Parameters!$B$2)^2, D96+Parameters!$B$24)</f>
        <v/>
      </c>
      <c r="E97">
        <f>MIN(D97, E98+Parameters!$B$24)</f>
        <v/>
      </c>
    </row>
    <row r="98">
      <c r="A98" t="n">
        <v>9.6</v>
      </c>
      <c r="B98" t="n">
        <v>25</v>
      </c>
      <c r="C98">
        <f>ROUND(SQRT(E98),2)</f>
        <v/>
      </c>
      <c r="D98">
        <f>MIN(MIN(B98,Parameters!$B$2)^2, D97+Parameters!$B$24)</f>
        <v/>
      </c>
      <c r="E98">
        <f>MIN(D98, E99+Parameters!$B$24)</f>
        <v/>
      </c>
    </row>
    <row r="99">
      <c r="A99" t="n">
        <v>9.699999999999999</v>
      </c>
      <c r="B99" t="n">
        <v>25</v>
      </c>
      <c r="C99">
        <f>ROUND(SQRT(E99),2)</f>
        <v/>
      </c>
      <c r="D99">
        <f>MIN(MIN(B99,Parameters!$B$2)^2, D98+Parameters!$B$24)</f>
        <v/>
      </c>
      <c r="E99">
        <f>MIN(D99, E100+Parameters!$B$24)</f>
        <v/>
      </c>
    </row>
    <row r="100">
      <c r="A100" t="n">
        <v>9.800000000000001</v>
      </c>
      <c r="B100" t="n">
        <v>25</v>
      </c>
      <c r="C100">
        <f>ROUND(SQRT(E100),2)</f>
        <v/>
      </c>
      <c r="D100">
        <f>MIN(MIN(B100,Parameters!$B$2)^2, D99+Parameters!$B$24)</f>
        <v/>
      </c>
      <c r="E100">
        <f>MIN(D100, E101+Parameters!$B$24)</f>
        <v/>
      </c>
    </row>
    <row r="101">
      <c r="A101" t="n">
        <v>9.9</v>
      </c>
      <c r="B101" t="n">
        <v>25</v>
      </c>
      <c r="C101">
        <f>ROUND(SQRT(E101),2)</f>
        <v/>
      </c>
      <c r="D101">
        <f>MIN(MIN(B101,Parameters!$B$2)^2, D100+Parameters!$B$24)</f>
        <v/>
      </c>
      <c r="E101">
        <f>MIN(D101, E102+Parameters!$B$24)</f>
        <v/>
      </c>
    </row>
    <row r="102">
      <c r="A102" t="n">
        <v>10</v>
      </c>
      <c r="B102" t="n">
        <v>25</v>
      </c>
      <c r="C102">
        <f>ROUND(SQRT(E102),2)</f>
        <v/>
      </c>
      <c r="D102">
        <f>MIN(MIN(B102,Parameters!$B$2)^2, D101+Parameters!$B$24)</f>
        <v/>
      </c>
      <c r="E102">
        <f>MIN(D102, E103+Parameters!$B$24)</f>
        <v/>
      </c>
    </row>
    <row r="103">
      <c r="A103" t="n">
        <v>10.1</v>
      </c>
      <c r="B103" t="n">
        <v>25</v>
      </c>
      <c r="C103">
        <f>ROUND(SQRT(E103),2)</f>
        <v/>
      </c>
      <c r="D103">
        <f>MIN(MIN(B103,Parameters!$B$2)^2, D102+Parameters!$B$24)</f>
        <v/>
      </c>
      <c r="E103">
        <f>MIN(D103, E104+Parameters!$B$24)</f>
        <v/>
      </c>
    </row>
    <row r="104">
      <c r="A104" t="n">
        <v>10.2</v>
      </c>
      <c r="B104" t="n">
        <v>25</v>
      </c>
      <c r="C104">
        <f>ROUND(SQRT(E104),2)</f>
        <v/>
      </c>
      <c r="D104">
        <f>MIN(MIN(B104,Parameters!$B$2)^2, D103+Parameters!$B$24)</f>
        <v/>
      </c>
      <c r="E104">
        <f>MIN(D104, E105+Parameters!$B$24)</f>
        <v/>
      </c>
    </row>
    <row r="105">
      <c r="A105" t="n">
        <v>10.3</v>
      </c>
      <c r="B105" t="n">
        <v>25</v>
      </c>
      <c r="C105">
        <f>ROUND(SQRT(E105),2)</f>
        <v/>
      </c>
      <c r="D105">
        <f>MIN(MIN(B105,Parameters!$B$2)^2, D104+Parameters!$B$24)</f>
        <v/>
      </c>
      <c r="E105">
        <f>MIN(D105, E106+Parameters!$B$24)</f>
        <v/>
      </c>
    </row>
    <row r="106">
      <c r="A106" t="n">
        <v>10.4</v>
      </c>
      <c r="B106" t="n">
        <v>25</v>
      </c>
      <c r="C106">
        <f>ROUND(SQRT(E106),2)</f>
        <v/>
      </c>
      <c r="D106">
        <f>MIN(MIN(B106,Parameters!$B$2)^2, D105+Parameters!$B$24)</f>
        <v/>
      </c>
      <c r="E106">
        <f>MIN(D106, E107+Parameters!$B$24)</f>
        <v/>
      </c>
    </row>
    <row r="107">
      <c r="A107" t="n">
        <v>10.5</v>
      </c>
      <c r="B107" t="n">
        <v>25</v>
      </c>
      <c r="C107">
        <f>ROUND(SQRT(E107),2)</f>
        <v/>
      </c>
      <c r="D107">
        <f>MIN(MIN(B107,Parameters!$B$2)^2, D106+Parameters!$B$24)</f>
        <v/>
      </c>
      <c r="E107">
        <f>MIN(D107, E108+Parameters!$B$24)</f>
        <v/>
      </c>
    </row>
    <row r="108">
      <c r="A108" t="n">
        <v>10.6</v>
      </c>
      <c r="B108" t="n">
        <v>25</v>
      </c>
      <c r="C108">
        <f>ROUND(SQRT(E108),2)</f>
        <v/>
      </c>
      <c r="D108">
        <f>MIN(MIN(B108,Parameters!$B$2)^2, D107+Parameters!$B$24)</f>
        <v/>
      </c>
      <c r="E108">
        <f>MIN(D108, E109+Parameters!$B$24)</f>
        <v/>
      </c>
    </row>
    <row r="109">
      <c r="A109" t="n">
        <v>10.7</v>
      </c>
      <c r="B109" t="n">
        <v>25</v>
      </c>
      <c r="C109">
        <f>ROUND(SQRT(E109),2)</f>
        <v/>
      </c>
      <c r="D109">
        <f>MIN(MIN(B109,Parameters!$B$2)^2, D108+Parameters!$B$24)</f>
        <v/>
      </c>
      <c r="E109">
        <f>MIN(D109, E110+Parameters!$B$24)</f>
        <v/>
      </c>
    </row>
    <row r="110">
      <c r="A110" t="n">
        <v>10.8</v>
      </c>
      <c r="B110" t="n">
        <v>25</v>
      </c>
      <c r="C110">
        <f>ROUND(SQRT(E110),2)</f>
        <v/>
      </c>
      <c r="D110">
        <f>MIN(MIN(B110,Parameters!$B$2)^2, D109+Parameters!$B$24)</f>
        <v/>
      </c>
      <c r="E110">
        <f>MIN(D110, E111+Parameters!$B$24)</f>
        <v/>
      </c>
    </row>
    <row r="111">
      <c r="A111" t="n">
        <v>10.9</v>
      </c>
      <c r="B111" t="n">
        <v>25</v>
      </c>
      <c r="C111">
        <f>ROUND(SQRT(E111),2)</f>
        <v/>
      </c>
      <c r="D111">
        <f>MIN(MIN(B111,Parameters!$B$2)^2, D110+Parameters!$B$24)</f>
        <v/>
      </c>
      <c r="E111">
        <f>MIN(D111, E112+Parameters!$B$24)</f>
        <v/>
      </c>
    </row>
    <row r="112">
      <c r="A112" t="n">
        <v>11</v>
      </c>
      <c r="B112" t="n">
        <v>25</v>
      </c>
      <c r="C112">
        <f>ROUND(SQRT(E112),2)</f>
        <v/>
      </c>
      <c r="D112">
        <f>MIN(MIN(B112,Parameters!$B$2)^2, D111+Parameters!$B$24)</f>
        <v/>
      </c>
      <c r="E112">
        <f>MIN(D112, E113+Parameters!$B$24)</f>
        <v/>
      </c>
    </row>
    <row r="113">
      <c r="A113" t="n">
        <v>11.1</v>
      </c>
      <c r="B113" t="n">
        <v>25</v>
      </c>
      <c r="C113">
        <f>ROUND(SQRT(E113),2)</f>
        <v/>
      </c>
      <c r="D113">
        <f>MIN(MIN(B113,Parameters!$B$2)^2, D112+Parameters!$B$24)</f>
        <v/>
      </c>
      <c r="E113">
        <f>MIN(D113, E114+Parameters!$B$24)</f>
        <v/>
      </c>
    </row>
    <row r="114">
      <c r="A114" t="n">
        <v>11.2</v>
      </c>
      <c r="B114" t="n">
        <v>25</v>
      </c>
      <c r="C114">
        <f>ROUND(SQRT(E114),2)</f>
        <v/>
      </c>
      <c r="D114">
        <f>MIN(MIN(B114,Parameters!$B$2)^2, D113+Parameters!$B$24)</f>
        <v/>
      </c>
      <c r="E114">
        <f>MIN(D114, E115+Parameters!$B$24)</f>
        <v/>
      </c>
    </row>
    <row r="115">
      <c r="A115" t="n">
        <v>11.3</v>
      </c>
      <c r="B115" t="n">
        <v>25</v>
      </c>
      <c r="C115">
        <f>ROUND(SQRT(E115),2)</f>
        <v/>
      </c>
      <c r="D115">
        <f>MIN(MIN(B115,Parameters!$B$2)^2, D114+Parameters!$B$24)</f>
        <v/>
      </c>
      <c r="E115">
        <f>MIN(D115, E116+Parameters!$B$24)</f>
        <v/>
      </c>
    </row>
    <row r="116">
      <c r="A116" t="n">
        <v>11.4</v>
      </c>
      <c r="B116" t="n">
        <v>25</v>
      </c>
      <c r="C116">
        <f>ROUND(SQRT(E116),2)</f>
        <v/>
      </c>
      <c r="D116">
        <f>MIN(MIN(B116,Parameters!$B$2)^2, D115+Parameters!$B$24)</f>
        <v/>
      </c>
      <c r="E116">
        <f>MIN(D116, E117+Parameters!$B$24)</f>
        <v/>
      </c>
    </row>
    <row r="117">
      <c r="A117" t="n">
        <v>11.5</v>
      </c>
      <c r="B117" t="n">
        <v>25</v>
      </c>
      <c r="C117">
        <f>ROUND(SQRT(E117),2)</f>
        <v/>
      </c>
      <c r="D117">
        <f>MIN(MIN(B117,Parameters!$B$2)^2, D116+Parameters!$B$24)</f>
        <v/>
      </c>
      <c r="E117">
        <f>MIN(D117, E118+Parameters!$B$24)</f>
        <v/>
      </c>
    </row>
    <row r="118">
      <c r="A118" t="n">
        <v>11.6</v>
      </c>
      <c r="B118" t="n">
        <v>25</v>
      </c>
      <c r="C118">
        <f>ROUND(SQRT(E118),2)</f>
        <v/>
      </c>
      <c r="D118">
        <f>MIN(MIN(B118,Parameters!$B$2)^2, D117+Parameters!$B$24)</f>
        <v/>
      </c>
      <c r="E118">
        <f>MIN(D118, E119+Parameters!$B$24)</f>
        <v/>
      </c>
    </row>
    <row r="119">
      <c r="A119" t="n">
        <v>11.7</v>
      </c>
      <c r="B119" t="n">
        <v>25</v>
      </c>
      <c r="C119">
        <f>ROUND(SQRT(E119),2)</f>
        <v/>
      </c>
      <c r="D119">
        <f>MIN(MIN(B119,Parameters!$B$2)^2, D118+Parameters!$B$24)</f>
        <v/>
      </c>
      <c r="E119">
        <f>MIN(D119, E120+Parameters!$B$24)</f>
        <v/>
      </c>
    </row>
    <row r="120">
      <c r="A120" t="n">
        <v>11.8</v>
      </c>
      <c r="B120" t="n">
        <v>25</v>
      </c>
      <c r="C120">
        <f>ROUND(SQRT(E120),2)</f>
        <v/>
      </c>
      <c r="D120">
        <f>MIN(MIN(B120,Parameters!$B$2)^2, D119+Parameters!$B$24)</f>
        <v/>
      </c>
      <c r="E120">
        <f>MIN(D120, E121+Parameters!$B$24)</f>
        <v/>
      </c>
    </row>
    <row r="121">
      <c r="A121" t="n">
        <v>11.9</v>
      </c>
      <c r="B121" t="n">
        <v>25</v>
      </c>
      <c r="C121">
        <f>ROUND(SQRT(E121),2)</f>
        <v/>
      </c>
      <c r="D121">
        <f>MIN(MIN(B121,Parameters!$B$2)^2, D120+Parameters!$B$24)</f>
        <v/>
      </c>
      <c r="E121">
        <f>MIN(D121, E122+Parameters!$B$24)</f>
        <v/>
      </c>
    </row>
    <row r="122">
      <c r="A122" t="n">
        <v>12</v>
      </c>
      <c r="B122" t="n">
        <v>25</v>
      </c>
      <c r="C122">
        <f>ROUND(SQRT(E122),2)</f>
        <v/>
      </c>
      <c r="D122">
        <f>MIN(MIN(B122,Parameters!$B$2)^2, D121+Parameters!$B$24)</f>
        <v/>
      </c>
      <c r="E122">
        <f>MIN(D122, E123+Parameters!$B$24)</f>
        <v/>
      </c>
    </row>
    <row r="123">
      <c r="A123" t="n">
        <v>12.1</v>
      </c>
      <c r="B123" t="n">
        <v>25</v>
      </c>
      <c r="C123">
        <f>ROUND(SQRT(E123),2)</f>
        <v/>
      </c>
      <c r="D123">
        <f>MIN(MIN(B123,Parameters!$B$2)^2, D122+Parameters!$B$24)</f>
        <v/>
      </c>
      <c r="E123">
        <f>MIN(D123, E124+Parameters!$B$24)</f>
        <v/>
      </c>
    </row>
    <row r="124">
      <c r="A124" t="n">
        <v>12.2</v>
      </c>
      <c r="B124" t="n">
        <v>25</v>
      </c>
      <c r="C124">
        <f>ROUND(SQRT(E124),2)</f>
        <v/>
      </c>
      <c r="D124">
        <f>MIN(MIN(B124,Parameters!$B$2)^2, D123+Parameters!$B$24)</f>
        <v/>
      </c>
      <c r="E124">
        <f>MIN(D124, E125+Parameters!$B$24)</f>
        <v/>
      </c>
    </row>
    <row r="125">
      <c r="A125" t="n">
        <v>12.3</v>
      </c>
      <c r="B125" t="n">
        <v>25</v>
      </c>
      <c r="C125">
        <f>ROUND(SQRT(E125),2)</f>
        <v/>
      </c>
      <c r="D125">
        <f>MIN(MIN(B125,Parameters!$B$2)^2, D124+Parameters!$B$24)</f>
        <v/>
      </c>
      <c r="E125">
        <f>MIN(D125, E126+Parameters!$B$24)</f>
        <v/>
      </c>
    </row>
    <row r="126">
      <c r="A126" t="n">
        <v>12.4</v>
      </c>
      <c r="B126" t="n">
        <v>25</v>
      </c>
      <c r="C126">
        <f>ROUND(SQRT(E126),2)</f>
        <v/>
      </c>
      <c r="D126">
        <f>MIN(MIN(B126,Parameters!$B$2)^2, D125+Parameters!$B$24)</f>
        <v/>
      </c>
      <c r="E126">
        <f>MIN(D126, E127+Parameters!$B$24)</f>
        <v/>
      </c>
    </row>
    <row r="127">
      <c r="A127" t="n">
        <v>12.5</v>
      </c>
      <c r="B127" t="n">
        <v>25</v>
      </c>
      <c r="C127">
        <f>ROUND(SQRT(E127),2)</f>
        <v/>
      </c>
      <c r="D127">
        <f>MIN(MIN(B127,Parameters!$B$2)^2, D126+Parameters!$B$24)</f>
        <v/>
      </c>
      <c r="E127">
        <f>MIN(D127, E128+Parameters!$B$24)</f>
        <v/>
      </c>
    </row>
    <row r="128">
      <c r="A128" t="n">
        <v>12.6</v>
      </c>
      <c r="B128" t="n">
        <v>25</v>
      </c>
      <c r="C128">
        <f>ROUND(SQRT(E128),2)</f>
        <v/>
      </c>
      <c r="D128">
        <f>MIN(MIN(B128,Parameters!$B$2)^2, D127+Parameters!$B$24)</f>
        <v/>
      </c>
      <c r="E128">
        <f>MIN(D128, E129+Parameters!$B$24)</f>
        <v/>
      </c>
    </row>
    <row r="129">
      <c r="A129" t="n">
        <v>12.7</v>
      </c>
      <c r="B129" t="n">
        <v>25</v>
      </c>
      <c r="C129">
        <f>ROUND(SQRT(E129),2)</f>
        <v/>
      </c>
      <c r="D129">
        <f>MIN(MIN(B129,Parameters!$B$2)^2, D128+Parameters!$B$24)</f>
        <v/>
      </c>
      <c r="E129">
        <f>MIN(D129, E130+Parameters!$B$24)</f>
        <v/>
      </c>
    </row>
    <row r="130">
      <c r="A130" t="n">
        <v>12.8</v>
      </c>
      <c r="B130" t="n">
        <v>25</v>
      </c>
      <c r="C130">
        <f>ROUND(SQRT(E130),2)</f>
        <v/>
      </c>
      <c r="D130">
        <f>MIN(MIN(B130,Parameters!$B$2)^2, D129+Parameters!$B$24)</f>
        <v/>
      </c>
      <c r="E130">
        <f>MIN(D130, E131+Parameters!$B$24)</f>
        <v/>
      </c>
    </row>
    <row r="131">
      <c r="A131" t="n">
        <v>12.9</v>
      </c>
      <c r="B131" t="n">
        <v>25</v>
      </c>
      <c r="C131">
        <f>ROUND(SQRT(E131),2)</f>
        <v/>
      </c>
      <c r="D131">
        <f>MIN(MIN(B131,Parameters!$B$2)^2, D130+Parameters!$B$24)</f>
        <v/>
      </c>
      <c r="E131">
        <f>MIN(D131, E132+Parameters!$B$24)</f>
        <v/>
      </c>
    </row>
    <row r="132">
      <c r="A132" t="n">
        <v>13</v>
      </c>
      <c r="B132" t="n">
        <v>25</v>
      </c>
      <c r="C132">
        <f>ROUND(SQRT(E132),2)</f>
        <v/>
      </c>
      <c r="D132">
        <f>MIN(MIN(B132,Parameters!$B$2)^2, D131+Parameters!$B$24)</f>
        <v/>
      </c>
      <c r="E132">
        <f>MIN(D132, E133+Parameters!$B$24)</f>
        <v/>
      </c>
    </row>
    <row r="133">
      <c r="A133" t="n">
        <v>13.1</v>
      </c>
      <c r="B133" t="n">
        <v>25</v>
      </c>
      <c r="C133">
        <f>ROUND(SQRT(E133),2)</f>
        <v/>
      </c>
      <c r="D133">
        <f>MIN(MIN(B133,Parameters!$B$2)^2, D132+Parameters!$B$24)</f>
        <v/>
      </c>
      <c r="E133">
        <f>MIN(D133, E134+Parameters!$B$24)</f>
        <v/>
      </c>
    </row>
    <row r="134">
      <c r="A134" t="n">
        <v>13.2</v>
      </c>
      <c r="B134" t="n">
        <v>25</v>
      </c>
      <c r="C134">
        <f>ROUND(SQRT(E134),2)</f>
        <v/>
      </c>
      <c r="D134">
        <f>MIN(MIN(B134,Parameters!$B$2)^2, D133+Parameters!$B$24)</f>
        <v/>
      </c>
      <c r="E134">
        <f>MIN(D134, E135+Parameters!$B$24)</f>
        <v/>
      </c>
    </row>
    <row r="135">
      <c r="A135" t="n">
        <v>13.3</v>
      </c>
      <c r="B135" t="n">
        <v>25</v>
      </c>
      <c r="C135">
        <f>ROUND(SQRT(E135),2)</f>
        <v/>
      </c>
      <c r="D135">
        <f>MIN(MIN(B135,Parameters!$B$2)^2, D134+Parameters!$B$24)</f>
        <v/>
      </c>
      <c r="E135">
        <f>MIN(D135, E136+Parameters!$B$24)</f>
        <v/>
      </c>
    </row>
    <row r="136">
      <c r="A136" t="n">
        <v>13.4</v>
      </c>
      <c r="B136" t="n">
        <v>25</v>
      </c>
      <c r="C136">
        <f>ROUND(SQRT(E136),2)</f>
        <v/>
      </c>
      <c r="D136">
        <f>MIN(MIN(B136,Parameters!$B$2)^2, D135+Parameters!$B$24)</f>
        <v/>
      </c>
      <c r="E136">
        <f>MIN(D136, E137+Parameters!$B$24)</f>
        <v/>
      </c>
    </row>
    <row r="137">
      <c r="A137" t="n">
        <v>13.5</v>
      </c>
      <c r="B137" t="n">
        <v>25</v>
      </c>
      <c r="C137">
        <f>ROUND(SQRT(E137),2)</f>
        <v/>
      </c>
      <c r="D137">
        <f>MIN(MIN(B137,Parameters!$B$2)^2, D136+Parameters!$B$24)</f>
        <v/>
      </c>
      <c r="E137">
        <f>MIN(D137, E138+Parameters!$B$24)</f>
        <v/>
      </c>
    </row>
    <row r="138">
      <c r="A138" t="n">
        <v>13.6</v>
      </c>
      <c r="B138" t="n">
        <v>25</v>
      </c>
      <c r="C138">
        <f>ROUND(SQRT(E138),2)</f>
        <v/>
      </c>
      <c r="D138">
        <f>MIN(MIN(B138,Parameters!$B$2)^2, D137+Parameters!$B$24)</f>
        <v/>
      </c>
      <c r="E138">
        <f>MIN(D138, E139+Parameters!$B$24)</f>
        <v/>
      </c>
    </row>
    <row r="139">
      <c r="A139" t="n">
        <v>13.7</v>
      </c>
      <c r="B139" t="n">
        <v>25</v>
      </c>
      <c r="C139">
        <f>ROUND(SQRT(E139),2)</f>
        <v/>
      </c>
      <c r="D139">
        <f>MIN(MIN(B139,Parameters!$B$2)^2, D138+Parameters!$B$24)</f>
        <v/>
      </c>
      <c r="E139">
        <f>MIN(D139, E140+Parameters!$B$24)</f>
        <v/>
      </c>
    </row>
    <row r="140">
      <c r="A140" t="n">
        <v>13.8</v>
      </c>
      <c r="B140" t="n">
        <v>25</v>
      </c>
      <c r="C140">
        <f>ROUND(SQRT(E140),2)</f>
        <v/>
      </c>
      <c r="D140">
        <f>MIN(MIN(B140,Parameters!$B$2)^2, D139+Parameters!$B$24)</f>
        <v/>
      </c>
      <c r="E140">
        <f>MIN(D140, E141+Parameters!$B$24)</f>
        <v/>
      </c>
    </row>
    <row r="141">
      <c r="A141" t="n">
        <v>13.9</v>
      </c>
      <c r="B141" t="n">
        <v>25</v>
      </c>
      <c r="C141">
        <f>ROUND(SQRT(E141),2)</f>
        <v/>
      </c>
      <c r="D141">
        <f>MIN(MIN(B141,Parameters!$B$2)^2, D140+Parameters!$B$24)</f>
        <v/>
      </c>
      <c r="E141">
        <f>MIN(D141, E142+Parameters!$B$24)</f>
        <v/>
      </c>
    </row>
    <row r="142">
      <c r="A142" t="n">
        <v>14</v>
      </c>
      <c r="B142" t="n">
        <v>25</v>
      </c>
      <c r="C142">
        <f>ROUND(SQRT(E142),2)</f>
        <v/>
      </c>
      <c r="D142">
        <f>MIN(MIN(B142,Parameters!$B$2)^2, D141+Parameters!$B$24)</f>
        <v/>
      </c>
      <c r="E142">
        <f>MIN(D142, E143+Parameters!$B$24)</f>
        <v/>
      </c>
    </row>
    <row r="143">
      <c r="A143" t="n">
        <v>14.1</v>
      </c>
      <c r="B143" t="n">
        <v>25</v>
      </c>
      <c r="C143">
        <f>ROUND(SQRT(E143),2)</f>
        <v/>
      </c>
      <c r="D143">
        <f>MIN(MIN(B143,Parameters!$B$2)^2, D142+Parameters!$B$24)</f>
        <v/>
      </c>
      <c r="E143">
        <f>MIN(D143, E144+Parameters!$B$24)</f>
        <v/>
      </c>
    </row>
    <row r="144">
      <c r="A144" t="n">
        <v>14.2</v>
      </c>
      <c r="B144" t="n">
        <v>25</v>
      </c>
      <c r="C144">
        <f>ROUND(SQRT(E144),2)</f>
        <v/>
      </c>
      <c r="D144">
        <f>MIN(MIN(B144,Parameters!$B$2)^2, D143+Parameters!$B$24)</f>
        <v/>
      </c>
      <c r="E144">
        <f>MIN(D144, E145+Parameters!$B$24)</f>
        <v/>
      </c>
    </row>
    <row r="145">
      <c r="A145" t="n">
        <v>14.3</v>
      </c>
      <c r="B145" t="n">
        <v>25</v>
      </c>
      <c r="C145">
        <f>ROUND(SQRT(E145),2)</f>
        <v/>
      </c>
      <c r="D145">
        <f>MIN(MIN(B145,Parameters!$B$2)^2, D144+Parameters!$B$24)</f>
        <v/>
      </c>
      <c r="E145">
        <f>MIN(D145, E146+Parameters!$B$24)</f>
        <v/>
      </c>
    </row>
    <row r="146">
      <c r="A146" t="n">
        <v>14.4</v>
      </c>
      <c r="B146" t="n">
        <v>25</v>
      </c>
      <c r="C146">
        <f>ROUND(SQRT(E146),2)</f>
        <v/>
      </c>
      <c r="D146">
        <f>MIN(MIN(B146,Parameters!$B$2)^2, D145+Parameters!$B$24)</f>
        <v/>
      </c>
      <c r="E146">
        <f>MIN(D146, E147+Parameters!$B$24)</f>
        <v/>
      </c>
    </row>
    <row r="147">
      <c r="A147" t="n">
        <v>14.5</v>
      </c>
      <c r="B147" t="n">
        <v>25</v>
      </c>
      <c r="C147">
        <f>ROUND(SQRT(E147),2)</f>
        <v/>
      </c>
      <c r="D147">
        <f>MIN(MIN(B147,Parameters!$B$2)^2, D146+Parameters!$B$24)</f>
        <v/>
      </c>
      <c r="E147">
        <f>MIN(D147, E148+Parameters!$B$24)</f>
        <v/>
      </c>
    </row>
    <row r="148">
      <c r="A148" t="n">
        <v>14.6</v>
      </c>
      <c r="B148" t="n">
        <v>25</v>
      </c>
      <c r="C148">
        <f>ROUND(SQRT(E148),2)</f>
        <v/>
      </c>
      <c r="D148">
        <f>MIN(MIN(B148,Parameters!$B$2)^2, D147+Parameters!$B$24)</f>
        <v/>
      </c>
      <c r="E148">
        <f>MIN(D148, E149+Parameters!$B$24)</f>
        <v/>
      </c>
    </row>
    <row r="149">
      <c r="A149" t="n">
        <v>14.7</v>
      </c>
      <c r="B149" t="n">
        <v>25</v>
      </c>
      <c r="C149">
        <f>ROUND(SQRT(E149),2)</f>
        <v/>
      </c>
      <c r="D149">
        <f>MIN(MIN(B149,Parameters!$B$2)^2, D148+Parameters!$B$24)</f>
        <v/>
      </c>
      <c r="E149">
        <f>MIN(D149, E150+Parameters!$B$24)</f>
        <v/>
      </c>
    </row>
    <row r="150">
      <c r="A150" t="n">
        <v>14.8</v>
      </c>
      <c r="B150" t="n">
        <v>25</v>
      </c>
      <c r="C150">
        <f>ROUND(SQRT(E150),2)</f>
        <v/>
      </c>
      <c r="D150">
        <f>MIN(MIN(B150,Parameters!$B$2)^2, D149+Parameters!$B$24)</f>
        <v/>
      </c>
      <c r="E150">
        <f>MIN(D150, E151+Parameters!$B$24)</f>
        <v/>
      </c>
    </row>
    <row r="151">
      <c r="A151" t="n">
        <v>14.9</v>
      </c>
      <c r="B151" t="n">
        <v>25</v>
      </c>
      <c r="C151">
        <f>ROUND(SQRT(E151),2)</f>
        <v/>
      </c>
      <c r="D151">
        <f>MIN(MIN(B151,Parameters!$B$2)^2, D150+Parameters!$B$24)</f>
        <v/>
      </c>
      <c r="E151">
        <f>MIN(D151, E152+Parameters!$B$24)</f>
        <v/>
      </c>
    </row>
    <row r="152">
      <c r="A152" t="n">
        <v>15</v>
      </c>
      <c r="B152" t="n">
        <v>25</v>
      </c>
      <c r="C152">
        <f>ROUND(SQRT(E152),2)</f>
        <v/>
      </c>
      <c r="D152">
        <f>MIN(MIN(B152,Parameters!$B$2)^2, D151+Parameters!$B$24)</f>
        <v/>
      </c>
      <c r="E152">
        <f>MIN(D152, E153+Parameters!$B$24)</f>
        <v/>
      </c>
    </row>
    <row r="153">
      <c r="A153" t="n">
        <v>15.1</v>
      </c>
      <c r="B153" t="n">
        <v>25</v>
      </c>
      <c r="C153">
        <f>ROUND(SQRT(E153),2)</f>
        <v/>
      </c>
      <c r="D153">
        <f>MIN(MIN(B153,Parameters!$B$2)^2, D152+Parameters!$B$24)</f>
        <v/>
      </c>
      <c r="E153">
        <f>MIN(D153, E154+Parameters!$B$24)</f>
        <v/>
      </c>
    </row>
    <row r="154">
      <c r="A154" t="n">
        <v>15.2</v>
      </c>
      <c r="B154" t="n">
        <v>25</v>
      </c>
      <c r="C154">
        <f>ROUND(SQRT(E154),2)</f>
        <v/>
      </c>
      <c r="D154">
        <f>MIN(MIN(B154,Parameters!$B$2)^2, D153+Parameters!$B$24)</f>
        <v/>
      </c>
      <c r="E154">
        <f>MIN(D154, E155+Parameters!$B$24)</f>
        <v/>
      </c>
    </row>
    <row r="155">
      <c r="A155" t="n">
        <v>15.3</v>
      </c>
      <c r="B155" t="n">
        <v>25</v>
      </c>
      <c r="C155">
        <f>ROUND(SQRT(E155),2)</f>
        <v/>
      </c>
      <c r="D155">
        <f>MIN(MIN(B155,Parameters!$B$2)^2, D154+Parameters!$B$24)</f>
        <v/>
      </c>
      <c r="E155">
        <f>MIN(D155, E156+Parameters!$B$24)</f>
        <v/>
      </c>
    </row>
    <row r="156">
      <c r="A156" t="n">
        <v>15.4</v>
      </c>
      <c r="B156" t="n">
        <v>25</v>
      </c>
      <c r="C156">
        <f>ROUND(SQRT(E156),2)</f>
        <v/>
      </c>
      <c r="D156">
        <f>MIN(MIN(B156,Parameters!$B$2)^2, D155+Parameters!$B$24)</f>
        <v/>
      </c>
      <c r="E156">
        <f>MIN(D156, E157+Parameters!$B$24)</f>
        <v/>
      </c>
    </row>
    <row r="157">
      <c r="A157" t="n">
        <v>15.5</v>
      </c>
      <c r="B157" t="n">
        <v>25</v>
      </c>
      <c r="C157">
        <f>ROUND(SQRT(E157),2)</f>
        <v/>
      </c>
      <c r="D157">
        <f>MIN(MIN(B157,Parameters!$B$2)^2, D156+Parameters!$B$24)</f>
        <v/>
      </c>
      <c r="E157">
        <f>MIN(D157, E158+Parameters!$B$24)</f>
        <v/>
      </c>
    </row>
    <row r="158">
      <c r="A158" t="n">
        <v>15.6</v>
      </c>
      <c r="B158" t="n">
        <v>25</v>
      </c>
      <c r="C158">
        <f>ROUND(SQRT(E158),2)</f>
        <v/>
      </c>
      <c r="D158">
        <f>MIN(MIN(B158,Parameters!$B$2)^2, D157+Parameters!$B$24)</f>
        <v/>
      </c>
      <c r="E158">
        <f>MIN(D158, E159+Parameters!$B$24)</f>
        <v/>
      </c>
    </row>
    <row r="159">
      <c r="A159" t="n">
        <v>15.7</v>
      </c>
      <c r="B159" t="n">
        <v>25</v>
      </c>
      <c r="C159">
        <f>ROUND(SQRT(E159),2)</f>
        <v/>
      </c>
      <c r="D159">
        <f>MIN(MIN(B159,Parameters!$B$2)^2, D158+Parameters!$B$24)</f>
        <v/>
      </c>
      <c r="E159">
        <f>MIN(D159, E160+Parameters!$B$24)</f>
        <v/>
      </c>
    </row>
    <row r="160">
      <c r="A160" t="n">
        <v>15.8</v>
      </c>
      <c r="B160" t="n">
        <v>25</v>
      </c>
      <c r="C160">
        <f>ROUND(SQRT(E160),2)</f>
        <v/>
      </c>
      <c r="D160">
        <f>MIN(MIN(B160,Parameters!$B$2)^2, D159+Parameters!$B$24)</f>
        <v/>
      </c>
      <c r="E160">
        <f>MIN(D160, E161+Parameters!$B$24)</f>
        <v/>
      </c>
    </row>
    <row r="161">
      <c r="A161" t="n">
        <v>15.9</v>
      </c>
      <c r="B161" t="n">
        <v>25</v>
      </c>
      <c r="C161">
        <f>ROUND(SQRT(E161),2)</f>
        <v/>
      </c>
      <c r="D161">
        <f>MIN(MIN(B161,Parameters!$B$2)^2, D160+Parameters!$B$24)</f>
        <v/>
      </c>
      <c r="E161">
        <f>MIN(D161, E162+Parameters!$B$24)</f>
        <v/>
      </c>
    </row>
    <row r="162">
      <c r="A162" t="n">
        <v>16</v>
      </c>
      <c r="B162" t="n">
        <v>25</v>
      </c>
      <c r="C162">
        <f>ROUND(SQRT(E162),2)</f>
        <v/>
      </c>
      <c r="D162">
        <f>MIN(MIN(B162,Parameters!$B$2)^2, D161+Parameters!$B$24)</f>
        <v/>
      </c>
      <c r="E162">
        <f>MIN(D162, E163+Parameters!$B$24)</f>
        <v/>
      </c>
    </row>
    <row r="163">
      <c r="A163" t="n">
        <v>16.1</v>
      </c>
      <c r="B163" t="n">
        <v>25</v>
      </c>
      <c r="C163">
        <f>ROUND(SQRT(E163),2)</f>
        <v/>
      </c>
      <c r="D163">
        <f>MIN(MIN(B163,Parameters!$B$2)^2, D162+Parameters!$B$24)</f>
        <v/>
      </c>
      <c r="E163">
        <f>MIN(D163, E164+Parameters!$B$24)</f>
        <v/>
      </c>
    </row>
    <row r="164">
      <c r="A164" t="n">
        <v>16.2</v>
      </c>
      <c r="B164" t="n">
        <v>25</v>
      </c>
      <c r="C164">
        <f>ROUND(SQRT(E164),2)</f>
        <v/>
      </c>
      <c r="D164">
        <f>MIN(MIN(B164,Parameters!$B$2)^2, D163+Parameters!$B$24)</f>
        <v/>
      </c>
      <c r="E164">
        <f>MIN(D164, E165+Parameters!$B$24)</f>
        <v/>
      </c>
    </row>
    <row r="165">
      <c r="A165" t="n">
        <v>16.3</v>
      </c>
      <c r="B165" t="n">
        <v>25</v>
      </c>
      <c r="C165">
        <f>ROUND(SQRT(E165),2)</f>
        <v/>
      </c>
      <c r="D165">
        <f>MIN(MIN(B165,Parameters!$B$2)^2, D164+Parameters!$B$24)</f>
        <v/>
      </c>
      <c r="E165">
        <f>MIN(D165, E166+Parameters!$B$24)</f>
        <v/>
      </c>
    </row>
    <row r="166">
      <c r="A166" t="n">
        <v>16.4</v>
      </c>
      <c r="B166" t="n">
        <v>25</v>
      </c>
      <c r="C166">
        <f>ROUND(SQRT(E166),2)</f>
        <v/>
      </c>
      <c r="D166">
        <f>MIN(MIN(B166,Parameters!$B$2)^2, D165+Parameters!$B$24)</f>
        <v/>
      </c>
      <c r="E166">
        <f>MIN(D166, E167+Parameters!$B$24)</f>
        <v/>
      </c>
    </row>
    <row r="167">
      <c r="A167" t="n">
        <v>16.5</v>
      </c>
      <c r="B167" t="n">
        <v>25</v>
      </c>
      <c r="C167">
        <f>ROUND(SQRT(E167),2)</f>
        <v/>
      </c>
      <c r="D167">
        <f>MIN(MIN(B167,Parameters!$B$2)^2, D166+Parameters!$B$24)</f>
        <v/>
      </c>
      <c r="E167">
        <f>MIN(D167, E168+Parameters!$B$24)</f>
        <v/>
      </c>
    </row>
    <row r="168">
      <c r="A168" t="n">
        <v>16.6</v>
      </c>
      <c r="B168" t="n">
        <v>25</v>
      </c>
      <c r="C168">
        <f>ROUND(SQRT(E168),2)</f>
        <v/>
      </c>
      <c r="D168">
        <f>MIN(MIN(B168,Parameters!$B$2)^2, D167+Parameters!$B$24)</f>
        <v/>
      </c>
      <c r="E168">
        <f>MIN(D168, E169+Parameters!$B$24)</f>
        <v/>
      </c>
    </row>
    <row r="169">
      <c r="A169" t="n">
        <v>16.7</v>
      </c>
      <c r="B169" t="n">
        <v>25</v>
      </c>
      <c r="C169">
        <f>ROUND(SQRT(E169),2)</f>
        <v/>
      </c>
      <c r="D169">
        <f>MIN(MIN(B169,Parameters!$B$2)^2, D168+Parameters!$B$24)</f>
        <v/>
      </c>
      <c r="E169">
        <f>MIN(D169, E170+Parameters!$B$24)</f>
        <v/>
      </c>
    </row>
    <row r="170">
      <c r="A170" t="n">
        <v>16.8</v>
      </c>
      <c r="B170" t="n">
        <v>25</v>
      </c>
      <c r="C170">
        <f>ROUND(SQRT(E170),2)</f>
        <v/>
      </c>
      <c r="D170">
        <f>MIN(MIN(B170,Parameters!$B$2)^2, D169+Parameters!$B$24)</f>
        <v/>
      </c>
      <c r="E170">
        <f>MIN(D170, E171+Parameters!$B$24)</f>
        <v/>
      </c>
    </row>
    <row r="171">
      <c r="A171" t="n">
        <v>16.9</v>
      </c>
      <c r="B171" t="n">
        <v>25</v>
      </c>
      <c r="C171">
        <f>ROUND(SQRT(E171),2)</f>
        <v/>
      </c>
      <c r="D171">
        <f>MIN(MIN(B171,Parameters!$B$2)^2, D170+Parameters!$B$24)</f>
        <v/>
      </c>
      <c r="E171">
        <f>MIN(D171, E172+Parameters!$B$24)</f>
        <v/>
      </c>
    </row>
    <row r="172">
      <c r="A172" t="n">
        <v>17</v>
      </c>
      <c r="B172" t="n">
        <v>25</v>
      </c>
      <c r="C172">
        <f>ROUND(SQRT(E172),2)</f>
        <v/>
      </c>
      <c r="D172">
        <f>MIN(MIN(B172,Parameters!$B$2)^2, D171+Parameters!$B$24)</f>
        <v/>
      </c>
      <c r="E172">
        <f>MIN(D172, E173+Parameters!$B$24)</f>
        <v/>
      </c>
    </row>
    <row r="173">
      <c r="A173" t="n">
        <v>17.1</v>
      </c>
      <c r="B173" t="n">
        <v>25</v>
      </c>
      <c r="C173">
        <f>ROUND(SQRT(E173),2)</f>
        <v/>
      </c>
      <c r="D173">
        <f>MIN(MIN(B173,Parameters!$B$2)^2, D172+Parameters!$B$24)</f>
        <v/>
      </c>
      <c r="E173">
        <f>MIN(D173, E174+Parameters!$B$24)</f>
        <v/>
      </c>
    </row>
    <row r="174">
      <c r="A174" t="n">
        <v>17.2</v>
      </c>
      <c r="B174" t="n">
        <v>25</v>
      </c>
      <c r="C174">
        <f>ROUND(SQRT(E174),2)</f>
        <v/>
      </c>
      <c r="D174">
        <f>MIN(MIN(B174,Parameters!$B$2)^2, D173+Parameters!$B$24)</f>
        <v/>
      </c>
      <c r="E174">
        <f>MIN(D174, E175+Parameters!$B$24)</f>
        <v/>
      </c>
    </row>
    <row r="175">
      <c r="A175" t="n">
        <v>17.3</v>
      </c>
      <c r="B175" t="n">
        <v>25</v>
      </c>
      <c r="C175">
        <f>ROUND(SQRT(E175),2)</f>
        <v/>
      </c>
      <c r="D175">
        <f>MIN(MIN(B175,Parameters!$B$2)^2, D174+Parameters!$B$24)</f>
        <v/>
      </c>
      <c r="E175">
        <f>MIN(D175, E176+Parameters!$B$24)</f>
        <v/>
      </c>
    </row>
    <row r="176">
      <c r="A176" t="n">
        <v>17.4</v>
      </c>
      <c r="B176" t="n">
        <v>25</v>
      </c>
      <c r="C176">
        <f>ROUND(SQRT(E176),2)</f>
        <v/>
      </c>
      <c r="D176">
        <f>MIN(MIN(B176,Parameters!$B$2)^2, D175+Parameters!$B$24)</f>
        <v/>
      </c>
      <c r="E176">
        <f>MIN(D176, E177+Parameters!$B$24)</f>
        <v/>
      </c>
    </row>
    <row r="177">
      <c r="A177" t="n">
        <v>17.5</v>
      </c>
      <c r="B177" t="n">
        <v>25</v>
      </c>
      <c r="C177">
        <f>ROUND(SQRT(E177),2)</f>
        <v/>
      </c>
      <c r="D177">
        <f>MIN(MIN(B177,Parameters!$B$2)^2, D176+Parameters!$B$24)</f>
        <v/>
      </c>
      <c r="E177">
        <f>MIN(D177, E178+Parameters!$B$24)</f>
        <v/>
      </c>
    </row>
    <row r="178">
      <c r="A178" t="n">
        <v>17.6</v>
      </c>
      <c r="B178" t="n">
        <v>25</v>
      </c>
      <c r="C178">
        <f>ROUND(SQRT(E178),2)</f>
        <v/>
      </c>
      <c r="D178">
        <f>MIN(MIN(B178,Parameters!$B$2)^2, D177+Parameters!$B$24)</f>
        <v/>
      </c>
      <c r="E178">
        <f>MIN(D178, E179+Parameters!$B$24)</f>
        <v/>
      </c>
    </row>
    <row r="179">
      <c r="A179" t="n">
        <v>17.7</v>
      </c>
      <c r="B179" t="n">
        <v>25</v>
      </c>
      <c r="C179">
        <f>ROUND(SQRT(E179),2)</f>
        <v/>
      </c>
      <c r="D179">
        <f>MIN(MIN(B179,Parameters!$B$2)^2, D178+Parameters!$B$24)</f>
        <v/>
      </c>
      <c r="E179">
        <f>MIN(D179, E180+Parameters!$B$24)</f>
        <v/>
      </c>
    </row>
    <row r="180">
      <c r="A180" t="n">
        <v>17.8</v>
      </c>
      <c r="B180" t="n">
        <v>25</v>
      </c>
      <c r="C180">
        <f>ROUND(SQRT(E180),2)</f>
        <v/>
      </c>
      <c r="D180">
        <f>MIN(MIN(B180,Parameters!$B$2)^2, D179+Parameters!$B$24)</f>
        <v/>
      </c>
      <c r="E180">
        <f>MIN(D180, E181+Parameters!$B$24)</f>
        <v/>
      </c>
    </row>
    <row r="181">
      <c r="A181" t="n">
        <v>17.9</v>
      </c>
      <c r="B181" t="n">
        <v>25</v>
      </c>
      <c r="C181">
        <f>ROUND(SQRT(E181),2)</f>
        <v/>
      </c>
      <c r="D181">
        <f>MIN(MIN(B181,Parameters!$B$2)^2, D180+Parameters!$B$24)</f>
        <v/>
      </c>
      <c r="E181">
        <f>MIN(D181, E182+Parameters!$B$24)</f>
        <v/>
      </c>
    </row>
    <row r="182">
      <c r="A182" t="n">
        <v>18</v>
      </c>
      <c r="B182" t="n">
        <v>25</v>
      </c>
      <c r="C182">
        <f>ROUND(SQRT(E182),2)</f>
        <v/>
      </c>
      <c r="D182">
        <f>MIN(MIN(B182,Parameters!$B$2)^2, D181+Parameters!$B$24)</f>
        <v/>
      </c>
      <c r="E182">
        <f>MIN(D182, E183+Parameters!$B$24)</f>
        <v/>
      </c>
    </row>
    <row r="183">
      <c r="A183" t="n">
        <v>18.1</v>
      </c>
      <c r="B183" t="n">
        <v>25</v>
      </c>
      <c r="C183">
        <f>ROUND(SQRT(E183),2)</f>
        <v/>
      </c>
      <c r="D183">
        <f>MIN(MIN(B183,Parameters!$B$2)^2, D182+Parameters!$B$24)</f>
        <v/>
      </c>
      <c r="E183">
        <f>MIN(D183, E184+Parameters!$B$24)</f>
        <v/>
      </c>
    </row>
    <row r="184">
      <c r="A184" t="n">
        <v>18.2</v>
      </c>
      <c r="B184" t="n">
        <v>25</v>
      </c>
      <c r="C184">
        <f>ROUND(SQRT(E184),2)</f>
        <v/>
      </c>
      <c r="D184">
        <f>MIN(MIN(B184,Parameters!$B$2)^2, D183+Parameters!$B$24)</f>
        <v/>
      </c>
      <c r="E184">
        <f>MIN(D184, E185+Parameters!$B$24)</f>
        <v/>
      </c>
    </row>
    <row r="185">
      <c r="A185" t="n">
        <v>18.3</v>
      </c>
      <c r="B185" t="n">
        <v>25</v>
      </c>
      <c r="C185">
        <f>ROUND(SQRT(E185),2)</f>
        <v/>
      </c>
      <c r="D185">
        <f>MIN(MIN(B185,Parameters!$B$2)^2, D184+Parameters!$B$24)</f>
        <v/>
      </c>
      <c r="E185">
        <f>MIN(D185, E186+Parameters!$B$24)</f>
        <v/>
      </c>
    </row>
    <row r="186">
      <c r="A186" t="n">
        <v>18.4</v>
      </c>
      <c r="B186" t="n">
        <v>25</v>
      </c>
      <c r="C186">
        <f>ROUND(SQRT(E186),2)</f>
        <v/>
      </c>
      <c r="D186">
        <f>MIN(MIN(B186,Parameters!$B$2)^2, D185+Parameters!$B$24)</f>
        <v/>
      </c>
      <c r="E186">
        <f>MIN(D186, E187+Parameters!$B$24)</f>
        <v/>
      </c>
    </row>
    <row r="187">
      <c r="A187" t="n">
        <v>18.5</v>
      </c>
      <c r="B187" t="n">
        <v>25</v>
      </c>
      <c r="C187">
        <f>ROUND(SQRT(E187),2)</f>
        <v/>
      </c>
      <c r="D187">
        <f>MIN(MIN(B187,Parameters!$B$2)^2, D186+Parameters!$B$24)</f>
        <v/>
      </c>
      <c r="E187">
        <f>MIN(D187, E188+Parameters!$B$24)</f>
        <v/>
      </c>
    </row>
    <row r="188">
      <c r="A188" t="n">
        <v>18.6</v>
      </c>
      <c r="B188" t="n">
        <v>25</v>
      </c>
      <c r="C188">
        <f>ROUND(SQRT(E188),2)</f>
        <v/>
      </c>
      <c r="D188">
        <f>MIN(MIN(B188,Parameters!$B$2)^2, D187+Parameters!$B$24)</f>
        <v/>
      </c>
      <c r="E188">
        <f>MIN(D188, E189+Parameters!$B$24)</f>
        <v/>
      </c>
    </row>
    <row r="189">
      <c r="A189" t="n">
        <v>18.7</v>
      </c>
      <c r="B189" t="n">
        <v>25</v>
      </c>
      <c r="C189">
        <f>ROUND(SQRT(E189),2)</f>
        <v/>
      </c>
      <c r="D189">
        <f>MIN(MIN(B189,Parameters!$B$2)^2, D188+Parameters!$B$24)</f>
        <v/>
      </c>
      <c r="E189">
        <f>MIN(D189, E190+Parameters!$B$24)</f>
        <v/>
      </c>
    </row>
    <row r="190">
      <c r="A190" t="n">
        <v>18.8</v>
      </c>
      <c r="B190" t="n">
        <v>25</v>
      </c>
      <c r="C190">
        <f>ROUND(SQRT(E190),2)</f>
        <v/>
      </c>
      <c r="D190">
        <f>MIN(MIN(B190,Parameters!$B$2)^2, D189+Parameters!$B$24)</f>
        <v/>
      </c>
      <c r="E190">
        <f>MIN(D190, E191+Parameters!$B$24)</f>
        <v/>
      </c>
    </row>
    <row r="191">
      <c r="A191" t="n">
        <v>18.9</v>
      </c>
      <c r="B191" t="n">
        <v>25</v>
      </c>
      <c r="C191">
        <f>ROUND(SQRT(E191),2)</f>
        <v/>
      </c>
      <c r="D191">
        <f>MIN(MIN(B191,Parameters!$B$2)^2, D190+Parameters!$B$24)</f>
        <v/>
      </c>
      <c r="E191">
        <f>MIN(D191, E192+Parameters!$B$24)</f>
        <v/>
      </c>
    </row>
    <row r="192">
      <c r="A192" t="n">
        <v>19</v>
      </c>
      <c r="B192" t="n">
        <v>25</v>
      </c>
      <c r="C192">
        <f>ROUND(SQRT(E192),2)</f>
        <v/>
      </c>
      <c r="D192">
        <f>MIN(MIN(B192,Parameters!$B$2)^2, D191+Parameters!$B$24)</f>
        <v/>
      </c>
      <c r="E192">
        <f>MIN(D192, E193+Parameters!$B$24)</f>
        <v/>
      </c>
    </row>
    <row r="193">
      <c r="A193" t="n">
        <v>19.1</v>
      </c>
      <c r="B193" t="n">
        <v>25</v>
      </c>
      <c r="C193">
        <f>ROUND(SQRT(E193),2)</f>
        <v/>
      </c>
      <c r="D193">
        <f>MIN(MIN(B193,Parameters!$B$2)^2, D192+Parameters!$B$24)</f>
        <v/>
      </c>
      <c r="E193">
        <f>MIN(D193, E194+Parameters!$B$24)</f>
        <v/>
      </c>
    </row>
    <row r="194">
      <c r="A194" t="n">
        <v>19.2</v>
      </c>
      <c r="B194" t="n">
        <v>25</v>
      </c>
      <c r="C194">
        <f>ROUND(SQRT(E194),2)</f>
        <v/>
      </c>
      <c r="D194">
        <f>MIN(MIN(B194,Parameters!$B$2)^2, D193+Parameters!$B$24)</f>
        <v/>
      </c>
      <c r="E194">
        <f>MIN(D194, E195+Parameters!$B$24)</f>
        <v/>
      </c>
    </row>
    <row r="195">
      <c r="A195" t="n">
        <v>19.3</v>
      </c>
      <c r="B195" t="n">
        <v>25</v>
      </c>
      <c r="C195">
        <f>ROUND(SQRT(E195),2)</f>
        <v/>
      </c>
      <c r="D195">
        <f>MIN(MIN(B195,Parameters!$B$2)^2, D194+Parameters!$B$24)</f>
        <v/>
      </c>
      <c r="E195">
        <f>MIN(D195, E196+Parameters!$B$24)</f>
        <v/>
      </c>
    </row>
    <row r="196">
      <c r="A196" t="n">
        <v>19.4</v>
      </c>
      <c r="B196" t="n">
        <v>25</v>
      </c>
      <c r="C196">
        <f>ROUND(SQRT(E196),2)</f>
        <v/>
      </c>
      <c r="D196">
        <f>MIN(MIN(B196,Parameters!$B$2)^2, D195+Parameters!$B$24)</f>
        <v/>
      </c>
      <c r="E196">
        <f>MIN(D196, E197+Parameters!$B$24)</f>
        <v/>
      </c>
    </row>
    <row r="197">
      <c r="A197" t="n">
        <v>19.5</v>
      </c>
      <c r="B197" t="n">
        <v>25</v>
      </c>
      <c r="C197">
        <f>ROUND(SQRT(E197),2)</f>
        <v/>
      </c>
      <c r="D197">
        <f>MIN(MIN(B197,Parameters!$B$2)^2, D196+Parameters!$B$24)</f>
        <v/>
      </c>
      <c r="E197">
        <f>MIN(D197, E198+Parameters!$B$24)</f>
        <v/>
      </c>
    </row>
    <row r="198">
      <c r="A198" t="n">
        <v>19.6</v>
      </c>
      <c r="B198" t="n">
        <v>25</v>
      </c>
      <c r="C198">
        <f>ROUND(SQRT(E198),2)</f>
        <v/>
      </c>
      <c r="D198">
        <f>MIN(MIN(B198,Parameters!$B$2)^2, D197+Parameters!$B$24)</f>
        <v/>
      </c>
      <c r="E198">
        <f>MIN(D198, E199+Parameters!$B$24)</f>
        <v/>
      </c>
    </row>
    <row r="199">
      <c r="A199" t="n">
        <v>19.7</v>
      </c>
      <c r="B199" t="n">
        <v>25</v>
      </c>
      <c r="C199">
        <f>ROUND(SQRT(E199),2)</f>
        <v/>
      </c>
      <c r="D199">
        <f>MIN(MIN(B199,Parameters!$B$2)^2, D198+Parameters!$B$24)</f>
        <v/>
      </c>
      <c r="E199">
        <f>MIN(D199, E200+Parameters!$B$24)</f>
        <v/>
      </c>
    </row>
    <row r="200">
      <c r="A200" t="n">
        <v>19.8</v>
      </c>
      <c r="B200" t="n">
        <v>25</v>
      </c>
      <c r="C200">
        <f>ROUND(SQRT(E200),2)</f>
        <v/>
      </c>
      <c r="D200">
        <f>MIN(MIN(B200,Parameters!$B$2)^2, D199+Parameters!$B$24)</f>
        <v/>
      </c>
      <c r="E200">
        <f>MIN(D200, E201+Parameters!$B$24)</f>
        <v/>
      </c>
    </row>
    <row r="201">
      <c r="A201" t="n">
        <v>19.9</v>
      </c>
      <c r="B201" t="n">
        <v>25</v>
      </c>
      <c r="C201">
        <f>ROUND(SQRT(E201),2)</f>
        <v/>
      </c>
      <c r="D201">
        <f>MIN(MIN(B201,Parameters!$B$2)^2, D200+Parameters!$B$24)</f>
        <v/>
      </c>
      <c r="E201">
        <f>MIN(D201, E202+Parameters!$B$24)</f>
        <v/>
      </c>
    </row>
    <row r="202">
      <c r="A202" t="n">
        <v>20</v>
      </c>
      <c r="B202" t="n">
        <v>25</v>
      </c>
      <c r="C202">
        <f>ROUND(SQRT(E202),2)</f>
        <v/>
      </c>
      <c r="D202">
        <f>MIN(MIN(B202,Parameters!$B$2)^2, D201+Parameters!$B$24)</f>
        <v/>
      </c>
      <c r="E202">
        <f>MIN(D202, E203+Parameters!$B$24)</f>
        <v/>
      </c>
    </row>
    <row r="203">
      <c r="A203" t="n">
        <v>20.1</v>
      </c>
      <c r="B203" t="n">
        <v>25</v>
      </c>
      <c r="C203">
        <f>ROUND(SQRT(E203),2)</f>
        <v/>
      </c>
      <c r="D203">
        <f>MIN(MIN(B203,Parameters!$B$2)^2, D202+Parameters!$B$24)</f>
        <v/>
      </c>
      <c r="E203">
        <f>MIN(D203, E204+Parameters!$B$24)</f>
        <v/>
      </c>
    </row>
    <row r="204">
      <c r="A204" t="n">
        <v>20.2</v>
      </c>
      <c r="B204" t="n">
        <v>25</v>
      </c>
      <c r="C204">
        <f>ROUND(SQRT(E204),2)</f>
        <v/>
      </c>
      <c r="D204">
        <f>MIN(MIN(B204,Parameters!$B$2)^2, D203+Parameters!$B$24)</f>
        <v/>
      </c>
      <c r="E204">
        <f>MIN(D204, E205+Parameters!$B$24)</f>
        <v/>
      </c>
    </row>
    <row r="205">
      <c r="A205" t="n">
        <v>20.3</v>
      </c>
      <c r="B205" t="n">
        <v>25</v>
      </c>
      <c r="C205">
        <f>ROUND(SQRT(E205),2)</f>
        <v/>
      </c>
      <c r="D205">
        <f>MIN(MIN(B205,Parameters!$B$2)^2, D204+Parameters!$B$24)</f>
        <v/>
      </c>
      <c r="E205">
        <f>MIN(D205, E206+Parameters!$B$24)</f>
        <v/>
      </c>
    </row>
    <row r="206">
      <c r="A206" t="n">
        <v>20.4</v>
      </c>
      <c r="B206" t="n">
        <v>25</v>
      </c>
      <c r="C206">
        <f>ROUND(SQRT(E206),2)</f>
        <v/>
      </c>
      <c r="D206">
        <f>MIN(MIN(B206,Parameters!$B$2)^2, D205+Parameters!$B$24)</f>
        <v/>
      </c>
      <c r="E206">
        <f>MIN(D206, E207+Parameters!$B$24)</f>
        <v/>
      </c>
    </row>
    <row r="207">
      <c r="A207" t="n">
        <v>20.5</v>
      </c>
      <c r="B207" t="n">
        <v>25</v>
      </c>
      <c r="C207">
        <f>ROUND(SQRT(E207),2)</f>
        <v/>
      </c>
      <c r="D207">
        <f>MIN(MIN(B207,Parameters!$B$2)^2, D206+Parameters!$B$24)</f>
        <v/>
      </c>
      <c r="E207">
        <f>MIN(D207, E208+Parameters!$B$24)</f>
        <v/>
      </c>
    </row>
    <row r="208">
      <c r="A208" t="n">
        <v>20.6</v>
      </c>
      <c r="B208" t="n">
        <v>25</v>
      </c>
      <c r="C208">
        <f>ROUND(SQRT(E208),2)</f>
        <v/>
      </c>
      <c r="D208">
        <f>MIN(MIN(B208,Parameters!$B$2)^2, D207+Parameters!$B$24)</f>
        <v/>
      </c>
      <c r="E208">
        <f>MIN(D208, E209+Parameters!$B$24)</f>
        <v/>
      </c>
    </row>
    <row r="209">
      <c r="A209" t="n">
        <v>20.7</v>
      </c>
      <c r="B209" t="n">
        <v>25</v>
      </c>
      <c r="C209">
        <f>ROUND(SQRT(E209),2)</f>
        <v/>
      </c>
      <c r="D209">
        <f>MIN(MIN(B209,Parameters!$B$2)^2, D208+Parameters!$B$24)</f>
        <v/>
      </c>
      <c r="E209">
        <f>MIN(D209, E210+Parameters!$B$24)</f>
        <v/>
      </c>
    </row>
    <row r="210">
      <c r="A210" t="n">
        <v>20.8</v>
      </c>
      <c r="B210" t="n">
        <v>25</v>
      </c>
      <c r="C210">
        <f>ROUND(SQRT(E210),2)</f>
        <v/>
      </c>
      <c r="D210">
        <f>MIN(MIN(B210,Parameters!$B$2)^2, D209+Parameters!$B$24)</f>
        <v/>
      </c>
      <c r="E210">
        <f>MIN(D210, E211+Parameters!$B$24)</f>
        <v/>
      </c>
    </row>
    <row r="211">
      <c r="A211" t="n">
        <v>20.9</v>
      </c>
      <c r="B211" t="n">
        <v>25</v>
      </c>
      <c r="C211">
        <f>ROUND(SQRT(E211),2)</f>
        <v/>
      </c>
      <c r="D211">
        <f>MIN(MIN(B211,Parameters!$B$2)^2, D210+Parameters!$B$24)</f>
        <v/>
      </c>
      <c r="E211">
        <f>MIN(D211, E212+Parameters!$B$24)</f>
        <v/>
      </c>
    </row>
    <row r="212">
      <c r="A212" t="n">
        <v>21</v>
      </c>
      <c r="B212" t="n">
        <v>25</v>
      </c>
      <c r="C212">
        <f>ROUND(SQRT(E212),2)</f>
        <v/>
      </c>
      <c r="D212">
        <f>MIN(MIN(B212,Parameters!$B$2)^2, D211+Parameters!$B$24)</f>
        <v/>
      </c>
      <c r="E212">
        <f>MIN(D212, E213+Parameters!$B$24)</f>
        <v/>
      </c>
    </row>
    <row r="213">
      <c r="A213" t="n">
        <v>21.1</v>
      </c>
      <c r="B213" t="n">
        <v>25</v>
      </c>
      <c r="C213">
        <f>ROUND(SQRT(E213),2)</f>
        <v/>
      </c>
      <c r="D213">
        <f>MIN(MIN(B213,Parameters!$B$2)^2, D212+Parameters!$B$24)</f>
        <v/>
      </c>
      <c r="E213">
        <f>MIN(D213, E214+Parameters!$B$24)</f>
        <v/>
      </c>
    </row>
    <row r="214">
      <c r="A214" t="n">
        <v>21.2</v>
      </c>
      <c r="B214" t="n">
        <v>25</v>
      </c>
      <c r="C214">
        <f>ROUND(SQRT(E214),2)</f>
        <v/>
      </c>
      <c r="D214">
        <f>MIN(MIN(B214,Parameters!$B$2)^2, D213+Parameters!$B$24)</f>
        <v/>
      </c>
      <c r="E214">
        <f>MIN(D214, E215+Parameters!$B$24)</f>
        <v/>
      </c>
    </row>
    <row r="215">
      <c r="A215" t="n">
        <v>21.3</v>
      </c>
      <c r="B215" t="n">
        <v>25</v>
      </c>
      <c r="C215">
        <f>ROUND(SQRT(E215),2)</f>
        <v/>
      </c>
      <c r="D215">
        <f>MIN(MIN(B215,Parameters!$B$2)^2, D214+Parameters!$B$24)</f>
        <v/>
      </c>
      <c r="E215">
        <f>MIN(D215, E216+Parameters!$B$24)</f>
        <v/>
      </c>
    </row>
    <row r="216">
      <c r="A216" t="n">
        <v>21.4</v>
      </c>
      <c r="B216" t="n">
        <v>25</v>
      </c>
      <c r="C216">
        <f>ROUND(SQRT(E216),2)</f>
        <v/>
      </c>
      <c r="D216">
        <f>MIN(MIN(B216,Parameters!$B$2)^2, D215+Parameters!$B$24)</f>
        <v/>
      </c>
      <c r="E216">
        <f>MIN(D216, E217+Parameters!$B$24)</f>
        <v/>
      </c>
    </row>
    <row r="217">
      <c r="A217" t="n">
        <v>21.5</v>
      </c>
      <c r="B217" t="n">
        <v>25</v>
      </c>
      <c r="C217">
        <f>ROUND(SQRT(E217),2)</f>
        <v/>
      </c>
      <c r="D217">
        <f>MIN(MIN(B217,Parameters!$B$2)^2, D216+Parameters!$B$24)</f>
        <v/>
      </c>
      <c r="E217">
        <f>MIN(D217, E218+Parameters!$B$24)</f>
        <v/>
      </c>
    </row>
    <row r="218">
      <c r="A218" t="n">
        <v>21.6</v>
      </c>
      <c r="B218" t="n">
        <v>25</v>
      </c>
      <c r="C218">
        <f>ROUND(SQRT(E218),2)</f>
        <v/>
      </c>
      <c r="D218">
        <f>MIN(MIN(B218,Parameters!$B$2)^2, D217+Parameters!$B$24)</f>
        <v/>
      </c>
      <c r="E218">
        <f>MIN(D218, E219+Parameters!$B$24)</f>
        <v/>
      </c>
    </row>
    <row r="219">
      <c r="A219" t="n">
        <v>21.7</v>
      </c>
      <c r="B219" t="n">
        <v>25</v>
      </c>
      <c r="C219">
        <f>ROUND(SQRT(E219),2)</f>
        <v/>
      </c>
      <c r="D219">
        <f>MIN(MIN(B219,Parameters!$B$2)^2, D218+Parameters!$B$24)</f>
        <v/>
      </c>
      <c r="E219">
        <f>MIN(D219, E220+Parameters!$B$24)</f>
        <v/>
      </c>
    </row>
    <row r="220">
      <c r="A220" t="n">
        <v>21.8</v>
      </c>
      <c r="B220" t="n">
        <v>25</v>
      </c>
      <c r="C220">
        <f>ROUND(SQRT(E220),2)</f>
        <v/>
      </c>
      <c r="D220">
        <f>MIN(MIN(B220,Parameters!$B$2)^2, D219+Parameters!$B$24)</f>
        <v/>
      </c>
      <c r="E220">
        <f>MIN(D220, E221+Parameters!$B$24)</f>
        <v/>
      </c>
    </row>
    <row r="221">
      <c r="A221" t="n">
        <v>21.9</v>
      </c>
      <c r="B221" t="n">
        <v>25</v>
      </c>
      <c r="C221">
        <f>ROUND(SQRT(E221),2)</f>
        <v/>
      </c>
      <c r="D221">
        <f>MIN(MIN(B221,Parameters!$B$2)^2, D220+Parameters!$B$24)</f>
        <v/>
      </c>
      <c r="E221">
        <f>MIN(D221, E222+Parameters!$B$24)</f>
        <v/>
      </c>
    </row>
    <row r="222">
      <c r="A222" t="n">
        <v>22</v>
      </c>
      <c r="B222" t="n">
        <v>25</v>
      </c>
      <c r="C222">
        <f>ROUND(SQRT(E222),2)</f>
        <v/>
      </c>
      <c r="D222">
        <f>MIN(MIN(B222,Parameters!$B$2)^2, D221+Parameters!$B$24)</f>
        <v/>
      </c>
      <c r="E222">
        <f>MIN(D222, E223+Parameters!$B$24)</f>
        <v/>
      </c>
    </row>
    <row r="223">
      <c r="A223" t="n">
        <v>22.1</v>
      </c>
      <c r="B223" t="n">
        <v>25</v>
      </c>
      <c r="C223">
        <f>ROUND(SQRT(E223),2)</f>
        <v/>
      </c>
      <c r="D223">
        <f>MIN(MIN(B223,Parameters!$B$2)^2, D222+Parameters!$B$24)</f>
        <v/>
      </c>
      <c r="E223">
        <f>MIN(D223, E224+Parameters!$B$24)</f>
        <v/>
      </c>
    </row>
    <row r="224">
      <c r="A224" t="n">
        <v>22.2</v>
      </c>
      <c r="B224" t="n">
        <v>25</v>
      </c>
      <c r="C224">
        <f>ROUND(SQRT(E224),2)</f>
        <v/>
      </c>
      <c r="D224">
        <f>MIN(MIN(B224,Parameters!$B$2)^2, D223+Parameters!$B$24)</f>
        <v/>
      </c>
      <c r="E224">
        <f>MIN(D224, E225+Parameters!$B$24)</f>
        <v/>
      </c>
    </row>
    <row r="225">
      <c r="A225" t="n">
        <v>22.3</v>
      </c>
      <c r="B225" t="n">
        <v>25</v>
      </c>
      <c r="C225">
        <f>ROUND(SQRT(E225),2)</f>
        <v/>
      </c>
      <c r="D225">
        <f>MIN(MIN(B225,Parameters!$B$2)^2, D224+Parameters!$B$24)</f>
        <v/>
      </c>
      <c r="E225">
        <f>MIN(D225, E226+Parameters!$B$24)</f>
        <v/>
      </c>
    </row>
    <row r="226">
      <c r="A226" t="n">
        <v>22.4</v>
      </c>
      <c r="B226" t="n">
        <v>25</v>
      </c>
      <c r="C226">
        <f>ROUND(SQRT(E226),2)</f>
        <v/>
      </c>
      <c r="D226">
        <f>MIN(MIN(B226,Parameters!$B$2)^2, D225+Parameters!$B$24)</f>
        <v/>
      </c>
      <c r="E226">
        <f>MIN(D226, E227+Parameters!$B$24)</f>
        <v/>
      </c>
    </row>
    <row r="227">
      <c r="A227" t="n">
        <v>22.5</v>
      </c>
      <c r="B227" t="n">
        <v>25</v>
      </c>
      <c r="C227">
        <f>ROUND(SQRT(E227),2)</f>
        <v/>
      </c>
      <c r="D227">
        <f>MIN(MIN(B227,Parameters!$B$2)^2, D226+Parameters!$B$24)</f>
        <v/>
      </c>
      <c r="E227">
        <f>MIN(D227, E228+Parameters!$B$24)</f>
        <v/>
      </c>
    </row>
    <row r="228">
      <c r="A228" t="n">
        <v>22.6</v>
      </c>
      <c r="B228" t="n">
        <v>25</v>
      </c>
      <c r="C228">
        <f>ROUND(SQRT(E228),2)</f>
        <v/>
      </c>
      <c r="D228">
        <f>MIN(MIN(B228,Parameters!$B$2)^2, D227+Parameters!$B$24)</f>
        <v/>
      </c>
      <c r="E228">
        <f>MIN(D228, E229+Parameters!$B$24)</f>
        <v/>
      </c>
    </row>
    <row r="229">
      <c r="A229" t="n">
        <v>22.7</v>
      </c>
      <c r="B229" t="n">
        <v>25</v>
      </c>
      <c r="C229">
        <f>ROUND(SQRT(E229),2)</f>
        <v/>
      </c>
      <c r="D229">
        <f>MIN(MIN(B229,Parameters!$B$2)^2, D228+Parameters!$B$24)</f>
        <v/>
      </c>
      <c r="E229">
        <f>MIN(D229, E230+Parameters!$B$24)</f>
        <v/>
      </c>
    </row>
    <row r="230">
      <c r="A230" t="n">
        <v>22.8</v>
      </c>
      <c r="B230" t="n">
        <v>25</v>
      </c>
      <c r="C230">
        <f>ROUND(SQRT(E230),2)</f>
        <v/>
      </c>
      <c r="D230">
        <f>MIN(MIN(B230,Parameters!$B$2)^2, D229+Parameters!$B$24)</f>
        <v/>
      </c>
      <c r="E230">
        <f>MIN(D230, E231+Parameters!$B$24)</f>
        <v/>
      </c>
    </row>
    <row r="231">
      <c r="A231" t="n">
        <v>22.9</v>
      </c>
      <c r="B231" t="n">
        <v>25</v>
      </c>
      <c r="C231">
        <f>ROUND(SQRT(E231),2)</f>
        <v/>
      </c>
      <c r="D231">
        <f>MIN(MIN(B231,Parameters!$B$2)^2, D230+Parameters!$B$24)</f>
        <v/>
      </c>
      <c r="E231">
        <f>MIN(D231, E232+Parameters!$B$24)</f>
        <v/>
      </c>
    </row>
    <row r="232">
      <c r="A232" t="n">
        <v>23</v>
      </c>
      <c r="B232" t="n">
        <v>25</v>
      </c>
      <c r="C232">
        <f>ROUND(SQRT(E232),2)</f>
        <v/>
      </c>
      <c r="D232">
        <f>MIN(MIN(B232,Parameters!$B$2)^2, D231+Parameters!$B$24)</f>
        <v/>
      </c>
      <c r="E232">
        <f>MIN(D232, E233+Parameters!$B$24)</f>
        <v/>
      </c>
    </row>
    <row r="233">
      <c r="A233" t="n">
        <v>23.1</v>
      </c>
      <c r="B233" t="n">
        <v>25</v>
      </c>
      <c r="C233">
        <f>ROUND(SQRT(E233),2)</f>
        <v/>
      </c>
      <c r="D233">
        <f>MIN(MIN(B233,Parameters!$B$2)^2, D232+Parameters!$B$24)</f>
        <v/>
      </c>
      <c r="E233">
        <f>MIN(D233, E234+Parameters!$B$24)</f>
        <v/>
      </c>
    </row>
    <row r="234">
      <c r="A234" t="n">
        <v>23.2</v>
      </c>
      <c r="B234" t="n">
        <v>25</v>
      </c>
      <c r="C234">
        <f>ROUND(SQRT(E234),2)</f>
        <v/>
      </c>
      <c r="D234">
        <f>MIN(MIN(B234,Parameters!$B$2)^2, D233+Parameters!$B$24)</f>
        <v/>
      </c>
      <c r="E234">
        <f>MIN(D234, E235+Parameters!$B$24)</f>
        <v/>
      </c>
    </row>
    <row r="235">
      <c r="A235" t="n">
        <v>23.3</v>
      </c>
      <c r="B235" t="n">
        <v>25</v>
      </c>
      <c r="C235">
        <f>ROUND(SQRT(E235),2)</f>
        <v/>
      </c>
      <c r="D235">
        <f>MIN(MIN(B235,Parameters!$B$2)^2, D234+Parameters!$B$24)</f>
        <v/>
      </c>
      <c r="E235">
        <f>MIN(D235, E236+Parameters!$B$24)</f>
        <v/>
      </c>
    </row>
    <row r="236">
      <c r="A236" t="n">
        <v>23.4</v>
      </c>
      <c r="B236" t="n">
        <v>25</v>
      </c>
      <c r="C236">
        <f>ROUND(SQRT(E236),2)</f>
        <v/>
      </c>
      <c r="D236">
        <f>MIN(MIN(B236,Parameters!$B$2)^2, D235+Parameters!$B$24)</f>
        <v/>
      </c>
      <c r="E236">
        <f>MIN(D236, E237+Parameters!$B$24)</f>
        <v/>
      </c>
    </row>
    <row r="237">
      <c r="A237" t="n">
        <v>23.5</v>
      </c>
      <c r="B237" t="n">
        <v>25</v>
      </c>
      <c r="C237">
        <f>ROUND(SQRT(E237),2)</f>
        <v/>
      </c>
      <c r="D237">
        <f>MIN(MIN(B237,Parameters!$B$2)^2, D236+Parameters!$B$24)</f>
        <v/>
      </c>
      <c r="E237">
        <f>MIN(D237, E238+Parameters!$B$24)</f>
        <v/>
      </c>
    </row>
    <row r="238">
      <c r="A238" t="n">
        <v>23.6</v>
      </c>
      <c r="B238" t="n">
        <v>25</v>
      </c>
      <c r="C238">
        <f>ROUND(SQRT(E238),2)</f>
        <v/>
      </c>
      <c r="D238">
        <f>MIN(MIN(B238,Parameters!$B$2)^2, D237+Parameters!$B$24)</f>
        <v/>
      </c>
      <c r="E238">
        <f>MIN(D238, E239+Parameters!$B$24)</f>
        <v/>
      </c>
    </row>
    <row r="239">
      <c r="A239" t="n">
        <v>23.7</v>
      </c>
      <c r="B239" t="n">
        <v>25</v>
      </c>
      <c r="C239">
        <f>ROUND(SQRT(E239),2)</f>
        <v/>
      </c>
      <c r="D239">
        <f>MIN(MIN(B239,Parameters!$B$2)^2, D238+Parameters!$B$24)</f>
        <v/>
      </c>
      <c r="E239">
        <f>MIN(D239, E240+Parameters!$B$24)</f>
        <v/>
      </c>
    </row>
    <row r="240">
      <c r="A240" t="n">
        <v>23.8</v>
      </c>
      <c r="B240" t="n">
        <v>25</v>
      </c>
      <c r="C240">
        <f>ROUND(SQRT(E240),2)</f>
        <v/>
      </c>
      <c r="D240">
        <f>MIN(MIN(B240,Parameters!$B$2)^2, D239+Parameters!$B$24)</f>
        <v/>
      </c>
      <c r="E240">
        <f>MIN(D240, E241+Parameters!$B$24)</f>
        <v/>
      </c>
    </row>
    <row r="241">
      <c r="A241" t="n">
        <v>23.9</v>
      </c>
      <c r="B241" t="n">
        <v>25</v>
      </c>
      <c r="C241">
        <f>ROUND(SQRT(E241),2)</f>
        <v/>
      </c>
      <c r="D241">
        <f>MIN(MIN(B241,Parameters!$B$2)^2, D240+Parameters!$B$24)</f>
        <v/>
      </c>
      <c r="E241">
        <f>MIN(D241, E242+Parameters!$B$24)</f>
        <v/>
      </c>
    </row>
    <row r="242">
      <c r="A242" t="n">
        <v>24</v>
      </c>
      <c r="B242" t="n">
        <v>25</v>
      </c>
      <c r="C242">
        <f>ROUND(SQRT(E242),2)</f>
        <v/>
      </c>
      <c r="D242">
        <f>MIN(MIN(B242,Parameters!$B$2)^2, D241+Parameters!$B$24)</f>
        <v/>
      </c>
      <c r="E242">
        <f>MIN(D242, E243+Parameters!$B$24)</f>
        <v/>
      </c>
    </row>
    <row r="243">
      <c r="A243" t="n">
        <v>24.1</v>
      </c>
      <c r="B243" t="n">
        <v>25</v>
      </c>
      <c r="C243">
        <f>ROUND(SQRT(E243),2)</f>
        <v/>
      </c>
      <c r="D243">
        <f>MIN(MIN(B243,Parameters!$B$2)^2, D242+Parameters!$B$24)</f>
        <v/>
      </c>
      <c r="E243">
        <f>MIN(D243, E244+Parameters!$B$24)</f>
        <v/>
      </c>
    </row>
    <row r="244">
      <c r="A244" t="n">
        <v>24.2</v>
      </c>
      <c r="B244" t="n">
        <v>25</v>
      </c>
      <c r="C244">
        <f>ROUND(SQRT(E244),2)</f>
        <v/>
      </c>
      <c r="D244">
        <f>MIN(MIN(B244,Parameters!$B$2)^2, D243+Parameters!$B$24)</f>
        <v/>
      </c>
      <c r="E244">
        <f>MIN(D244, E245+Parameters!$B$24)</f>
        <v/>
      </c>
    </row>
    <row r="245">
      <c r="A245" t="n">
        <v>24.3</v>
      </c>
      <c r="B245" t="n">
        <v>25</v>
      </c>
      <c r="C245">
        <f>ROUND(SQRT(E245),2)</f>
        <v/>
      </c>
      <c r="D245">
        <f>MIN(MIN(B245,Parameters!$B$2)^2, D244+Parameters!$B$24)</f>
        <v/>
      </c>
      <c r="E245">
        <f>MIN(D245, E246+Parameters!$B$24)</f>
        <v/>
      </c>
    </row>
    <row r="246">
      <c r="A246" t="n">
        <v>24.4</v>
      </c>
      <c r="B246" t="n">
        <v>25</v>
      </c>
      <c r="C246">
        <f>ROUND(SQRT(E246),2)</f>
        <v/>
      </c>
      <c r="D246">
        <f>MIN(MIN(B246,Parameters!$B$2)^2, D245+Parameters!$B$24)</f>
        <v/>
      </c>
      <c r="E246">
        <f>MIN(D246, E247+Parameters!$B$24)</f>
        <v/>
      </c>
    </row>
    <row r="247">
      <c r="A247" t="n">
        <v>24.5</v>
      </c>
      <c r="B247" t="n">
        <v>25</v>
      </c>
      <c r="C247">
        <f>ROUND(SQRT(E247),2)</f>
        <v/>
      </c>
      <c r="D247">
        <f>MIN(MIN(B247,Parameters!$B$2)^2, D246+Parameters!$B$24)</f>
        <v/>
      </c>
      <c r="E247">
        <f>MIN(D247, E248+Parameters!$B$24)</f>
        <v/>
      </c>
    </row>
    <row r="248">
      <c r="A248" t="n">
        <v>24.6</v>
      </c>
      <c r="B248" t="n">
        <v>25</v>
      </c>
      <c r="C248">
        <f>ROUND(SQRT(E248),2)</f>
        <v/>
      </c>
      <c r="D248">
        <f>MIN(MIN(B248,Parameters!$B$2)^2, D247+Parameters!$B$24)</f>
        <v/>
      </c>
      <c r="E248">
        <f>MIN(D248, E249+Parameters!$B$24)</f>
        <v/>
      </c>
    </row>
    <row r="249">
      <c r="A249" t="n">
        <v>24.7</v>
      </c>
      <c r="B249" t="n">
        <v>25</v>
      </c>
      <c r="C249">
        <f>ROUND(SQRT(E249),2)</f>
        <v/>
      </c>
      <c r="D249">
        <f>MIN(MIN(B249,Parameters!$B$2)^2, D248+Parameters!$B$24)</f>
        <v/>
      </c>
      <c r="E249">
        <f>MIN(D249, E250+Parameters!$B$24)</f>
        <v/>
      </c>
    </row>
    <row r="250">
      <c r="A250" t="n">
        <v>24.8</v>
      </c>
      <c r="B250" t="n">
        <v>25</v>
      </c>
      <c r="C250">
        <f>ROUND(SQRT(E250),2)</f>
        <v/>
      </c>
      <c r="D250">
        <f>MIN(MIN(B250,Parameters!$B$2)^2, D249+Parameters!$B$24)</f>
        <v/>
      </c>
      <c r="E250">
        <f>MIN(D250, E251+Parameters!$B$24)</f>
        <v/>
      </c>
    </row>
    <row r="251">
      <c r="A251" t="n">
        <v>24.9</v>
      </c>
      <c r="B251" t="n">
        <v>25</v>
      </c>
      <c r="C251">
        <f>ROUND(SQRT(E251),2)</f>
        <v/>
      </c>
      <c r="D251">
        <f>MIN(MIN(B251,Parameters!$B$2)^2, D250+Parameters!$B$24)</f>
        <v/>
      </c>
      <c r="E251">
        <f>MIN(D251, E252+Parameters!$B$24)</f>
        <v/>
      </c>
    </row>
    <row r="252">
      <c r="A252" t="n">
        <v>25</v>
      </c>
      <c r="B252" t="n">
        <v>25</v>
      </c>
      <c r="C252">
        <f>ROUND(SQRT(E252),2)</f>
        <v/>
      </c>
      <c r="D252">
        <f>MIN(MIN(B252,Parameters!$B$2)^2, D251+Parameters!$B$24)</f>
        <v/>
      </c>
      <c r="E252">
        <f>MIN(D252, E253+Parameters!$B$24)</f>
        <v/>
      </c>
    </row>
    <row r="253">
      <c r="A253" t="n">
        <v>25.1</v>
      </c>
      <c r="B253" t="n">
        <v>25</v>
      </c>
      <c r="C253">
        <f>ROUND(SQRT(E253),2)</f>
        <v/>
      </c>
      <c r="D253">
        <f>MIN(MIN(B253,Parameters!$B$2)^2, D252+Parameters!$B$24)</f>
        <v/>
      </c>
      <c r="E253">
        <f>MIN(D253, E254+Parameters!$B$24)</f>
        <v/>
      </c>
    </row>
    <row r="254">
      <c r="A254" t="n">
        <v>25.2</v>
      </c>
      <c r="B254" t="n">
        <v>25</v>
      </c>
      <c r="C254">
        <f>ROUND(SQRT(E254),2)</f>
        <v/>
      </c>
      <c r="D254">
        <f>MIN(MIN(B254,Parameters!$B$2)^2, D253+Parameters!$B$24)</f>
        <v/>
      </c>
      <c r="E254">
        <f>MIN(D254, E255+Parameters!$B$24)</f>
        <v/>
      </c>
    </row>
    <row r="255">
      <c r="A255" t="n">
        <v>25.3</v>
      </c>
      <c r="B255" t="n">
        <v>25</v>
      </c>
      <c r="C255">
        <f>ROUND(SQRT(E255),2)</f>
        <v/>
      </c>
      <c r="D255">
        <f>MIN(MIN(B255,Parameters!$B$2)^2, D254+Parameters!$B$24)</f>
        <v/>
      </c>
      <c r="E255">
        <f>MIN(D255, E256+Parameters!$B$24)</f>
        <v/>
      </c>
    </row>
    <row r="256">
      <c r="A256" t="n">
        <v>25.4</v>
      </c>
      <c r="B256" t="n">
        <v>25</v>
      </c>
      <c r="C256">
        <f>ROUND(SQRT(E256),2)</f>
        <v/>
      </c>
      <c r="D256">
        <f>MIN(MIN(B256,Parameters!$B$2)^2, D255+Parameters!$B$24)</f>
        <v/>
      </c>
      <c r="E256">
        <f>MIN(D256, E257+Parameters!$B$24)</f>
        <v/>
      </c>
    </row>
    <row r="257">
      <c r="A257" t="n">
        <v>25.5</v>
      </c>
      <c r="B257" t="n">
        <v>25</v>
      </c>
      <c r="C257">
        <f>ROUND(SQRT(E257),2)</f>
        <v/>
      </c>
      <c r="D257">
        <f>MIN(MIN(B257,Parameters!$B$2)^2, D256+Parameters!$B$24)</f>
        <v/>
      </c>
      <c r="E257">
        <f>MIN(D257, E258+Parameters!$B$24)</f>
        <v/>
      </c>
    </row>
    <row r="258">
      <c r="A258" t="n">
        <v>25.6</v>
      </c>
      <c r="B258" t="n">
        <v>25</v>
      </c>
      <c r="C258">
        <f>ROUND(SQRT(E258),2)</f>
        <v/>
      </c>
      <c r="D258">
        <f>MIN(MIN(B258,Parameters!$B$2)^2, D257+Parameters!$B$24)</f>
        <v/>
      </c>
      <c r="E258">
        <f>MIN(D258, E259+Parameters!$B$24)</f>
        <v/>
      </c>
    </row>
    <row r="259">
      <c r="A259" t="n">
        <v>25.7</v>
      </c>
      <c r="B259" t="n">
        <v>25</v>
      </c>
      <c r="C259">
        <f>ROUND(SQRT(E259),2)</f>
        <v/>
      </c>
      <c r="D259">
        <f>MIN(MIN(B259,Parameters!$B$2)^2, D258+Parameters!$B$24)</f>
        <v/>
      </c>
      <c r="E259">
        <f>MIN(D259, E260+Parameters!$B$24)</f>
        <v/>
      </c>
    </row>
    <row r="260">
      <c r="A260" t="n">
        <v>25.8</v>
      </c>
      <c r="B260" t="n">
        <v>25</v>
      </c>
      <c r="C260">
        <f>ROUND(SQRT(E260),2)</f>
        <v/>
      </c>
      <c r="D260">
        <f>MIN(MIN(B260,Parameters!$B$2)^2, D259+Parameters!$B$24)</f>
        <v/>
      </c>
      <c r="E260">
        <f>MIN(D260, E261+Parameters!$B$24)</f>
        <v/>
      </c>
    </row>
    <row r="261">
      <c r="A261" t="n">
        <v>25.9</v>
      </c>
      <c r="B261" t="n">
        <v>25</v>
      </c>
      <c r="C261">
        <f>ROUND(SQRT(E261),2)</f>
        <v/>
      </c>
      <c r="D261">
        <f>MIN(MIN(B261,Parameters!$B$2)^2, D260+Parameters!$B$24)</f>
        <v/>
      </c>
      <c r="E261">
        <f>MIN(D261, E262+Parameters!$B$24)</f>
        <v/>
      </c>
    </row>
    <row r="262">
      <c r="A262" t="n">
        <v>26</v>
      </c>
      <c r="B262" t="n">
        <v>25</v>
      </c>
      <c r="C262">
        <f>ROUND(SQRT(E262),2)</f>
        <v/>
      </c>
      <c r="D262">
        <f>MIN(MIN(B262,Parameters!$B$2)^2, D261+Parameters!$B$24)</f>
        <v/>
      </c>
      <c r="E262">
        <f>MIN(D262, E263+Parameters!$B$24)</f>
        <v/>
      </c>
    </row>
    <row r="263">
      <c r="A263" t="n">
        <v>26.1</v>
      </c>
      <c r="B263" t="n">
        <v>25</v>
      </c>
      <c r="C263">
        <f>ROUND(SQRT(E263),2)</f>
        <v/>
      </c>
      <c r="D263">
        <f>MIN(MIN(B263,Parameters!$B$2)^2, D262+Parameters!$B$24)</f>
        <v/>
      </c>
      <c r="E263">
        <f>MIN(D263, E264+Parameters!$B$24)</f>
        <v/>
      </c>
    </row>
    <row r="264">
      <c r="A264" t="n">
        <v>26.2</v>
      </c>
      <c r="B264" t="n">
        <v>25</v>
      </c>
      <c r="C264">
        <f>ROUND(SQRT(E264),2)</f>
        <v/>
      </c>
      <c r="D264">
        <f>MIN(MIN(B264,Parameters!$B$2)^2, D263+Parameters!$B$24)</f>
        <v/>
      </c>
      <c r="E264">
        <f>MIN(D264, E265+Parameters!$B$24)</f>
        <v/>
      </c>
    </row>
    <row r="265">
      <c r="A265" t="n">
        <v>26.3</v>
      </c>
      <c r="B265" t="n">
        <v>25</v>
      </c>
      <c r="C265">
        <f>ROUND(SQRT(E265),2)</f>
        <v/>
      </c>
      <c r="D265">
        <f>MIN(MIN(B265,Parameters!$B$2)^2, D264+Parameters!$B$24)</f>
        <v/>
      </c>
      <c r="E265">
        <f>MIN(D265, E266+Parameters!$B$24)</f>
        <v/>
      </c>
    </row>
    <row r="266">
      <c r="A266" t="n">
        <v>26.4</v>
      </c>
      <c r="B266" t="n">
        <v>25</v>
      </c>
      <c r="C266">
        <f>ROUND(SQRT(E266),2)</f>
        <v/>
      </c>
      <c r="D266">
        <f>MIN(MIN(B266,Parameters!$B$2)^2, D265+Parameters!$B$24)</f>
        <v/>
      </c>
      <c r="E266">
        <f>MIN(D266, E267+Parameters!$B$24)</f>
        <v/>
      </c>
    </row>
    <row r="267">
      <c r="A267" t="n">
        <v>26.5</v>
      </c>
      <c r="B267" t="n">
        <v>25</v>
      </c>
      <c r="C267">
        <f>ROUND(SQRT(E267),2)</f>
        <v/>
      </c>
      <c r="D267">
        <f>MIN(MIN(B267,Parameters!$B$2)^2, D266+Parameters!$B$24)</f>
        <v/>
      </c>
      <c r="E267">
        <f>MIN(D267, E268+Parameters!$B$24)</f>
        <v/>
      </c>
    </row>
    <row r="268">
      <c r="A268" t="n">
        <v>26.6</v>
      </c>
      <c r="B268" t="n">
        <v>25</v>
      </c>
      <c r="C268">
        <f>ROUND(SQRT(E268),2)</f>
        <v/>
      </c>
      <c r="D268">
        <f>MIN(MIN(B268,Parameters!$B$2)^2, D267+Parameters!$B$24)</f>
        <v/>
      </c>
      <c r="E268">
        <f>MIN(D268, E269+Parameters!$B$24)</f>
        <v/>
      </c>
    </row>
    <row r="269">
      <c r="A269" t="n">
        <v>26.7</v>
      </c>
      <c r="B269" t="n">
        <v>25</v>
      </c>
      <c r="C269">
        <f>ROUND(SQRT(E269),2)</f>
        <v/>
      </c>
      <c r="D269">
        <f>MIN(MIN(B269,Parameters!$B$2)^2, D268+Parameters!$B$24)</f>
        <v/>
      </c>
      <c r="E269">
        <f>MIN(D269, E270+Parameters!$B$24)</f>
        <v/>
      </c>
    </row>
    <row r="270">
      <c r="A270" t="n">
        <v>26.8</v>
      </c>
      <c r="B270" t="n">
        <v>25</v>
      </c>
      <c r="C270">
        <f>ROUND(SQRT(E270),2)</f>
        <v/>
      </c>
      <c r="D270">
        <f>MIN(MIN(B270,Parameters!$B$2)^2, D269+Parameters!$B$24)</f>
        <v/>
      </c>
      <c r="E270">
        <f>MIN(D270, E271+Parameters!$B$24)</f>
        <v/>
      </c>
    </row>
    <row r="271">
      <c r="A271" t="n">
        <v>26.9</v>
      </c>
      <c r="B271" t="n">
        <v>25</v>
      </c>
      <c r="C271">
        <f>ROUND(SQRT(E271),2)</f>
        <v/>
      </c>
      <c r="D271">
        <f>MIN(MIN(B271,Parameters!$B$2)^2, D270+Parameters!$B$24)</f>
        <v/>
      </c>
      <c r="E271">
        <f>MIN(D271, E272+Parameters!$B$24)</f>
        <v/>
      </c>
    </row>
    <row r="272">
      <c r="A272" t="n">
        <v>27</v>
      </c>
      <c r="B272" t="n">
        <v>25</v>
      </c>
      <c r="C272">
        <f>ROUND(SQRT(E272),2)</f>
        <v/>
      </c>
      <c r="D272">
        <f>MIN(MIN(B272,Parameters!$B$2)^2, D271+Parameters!$B$24)</f>
        <v/>
      </c>
      <c r="E272">
        <f>MIN(D272, E273+Parameters!$B$24)</f>
        <v/>
      </c>
    </row>
    <row r="273">
      <c r="A273" t="n">
        <v>27.1</v>
      </c>
      <c r="B273" t="n">
        <v>25</v>
      </c>
      <c r="C273">
        <f>ROUND(SQRT(E273),2)</f>
        <v/>
      </c>
      <c r="D273">
        <f>MIN(MIN(B273,Parameters!$B$2)^2, D272+Parameters!$B$24)</f>
        <v/>
      </c>
      <c r="E273">
        <f>MIN(D273, E274+Parameters!$B$24)</f>
        <v/>
      </c>
    </row>
    <row r="274">
      <c r="A274" t="n">
        <v>27.2</v>
      </c>
      <c r="B274" t="n">
        <v>25</v>
      </c>
      <c r="C274">
        <f>ROUND(SQRT(E274),2)</f>
        <v/>
      </c>
      <c r="D274">
        <f>MIN(MIN(B274,Parameters!$B$2)^2, D273+Parameters!$B$24)</f>
        <v/>
      </c>
      <c r="E274">
        <f>MIN(D274, E275+Parameters!$B$24)</f>
        <v/>
      </c>
    </row>
    <row r="275">
      <c r="A275" t="n">
        <v>27.3</v>
      </c>
      <c r="B275" t="n">
        <v>25</v>
      </c>
      <c r="C275">
        <f>ROUND(SQRT(E275),2)</f>
        <v/>
      </c>
      <c r="D275">
        <f>MIN(MIN(B275,Parameters!$B$2)^2, D274+Parameters!$B$24)</f>
        <v/>
      </c>
      <c r="E275">
        <f>MIN(D275, E276+Parameters!$B$24)</f>
        <v/>
      </c>
    </row>
    <row r="276">
      <c r="A276" t="n">
        <v>27.4</v>
      </c>
      <c r="B276" t="n">
        <v>25</v>
      </c>
      <c r="C276">
        <f>ROUND(SQRT(E276),2)</f>
        <v/>
      </c>
      <c r="D276">
        <f>MIN(MIN(B276,Parameters!$B$2)^2, D275+Parameters!$B$24)</f>
        <v/>
      </c>
      <c r="E276">
        <f>MIN(D276, E277+Parameters!$B$24)</f>
        <v/>
      </c>
    </row>
    <row r="277">
      <c r="A277" t="n">
        <v>27.5</v>
      </c>
      <c r="B277" t="n">
        <v>25</v>
      </c>
      <c r="C277">
        <f>ROUND(SQRT(E277),2)</f>
        <v/>
      </c>
      <c r="D277">
        <f>MIN(MIN(B277,Parameters!$B$2)^2, D276+Parameters!$B$24)</f>
        <v/>
      </c>
      <c r="E277">
        <f>MIN(D277, E278+Parameters!$B$24)</f>
        <v/>
      </c>
    </row>
    <row r="278">
      <c r="A278" t="n">
        <v>27.6</v>
      </c>
      <c r="B278" t="n">
        <v>25</v>
      </c>
      <c r="C278">
        <f>ROUND(SQRT(E278),2)</f>
        <v/>
      </c>
      <c r="D278">
        <f>MIN(MIN(B278,Parameters!$B$2)^2, D277+Parameters!$B$24)</f>
        <v/>
      </c>
      <c r="E278">
        <f>MIN(D278, E279+Parameters!$B$24)</f>
        <v/>
      </c>
    </row>
    <row r="279">
      <c r="A279" t="n">
        <v>27.7</v>
      </c>
      <c r="B279" t="n">
        <v>25</v>
      </c>
      <c r="C279">
        <f>ROUND(SQRT(E279),2)</f>
        <v/>
      </c>
      <c r="D279">
        <f>MIN(MIN(B279,Parameters!$B$2)^2, D278+Parameters!$B$24)</f>
        <v/>
      </c>
      <c r="E279">
        <f>MIN(D279, E280+Parameters!$B$24)</f>
        <v/>
      </c>
    </row>
    <row r="280">
      <c r="A280" t="n">
        <v>27.8</v>
      </c>
      <c r="B280" t="n">
        <v>25</v>
      </c>
      <c r="C280">
        <f>ROUND(SQRT(E280),2)</f>
        <v/>
      </c>
      <c r="D280">
        <f>MIN(MIN(B280,Parameters!$B$2)^2, D279+Parameters!$B$24)</f>
        <v/>
      </c>
      <c r="E280">
        <f>MIN(D280, E281+Parameters!$B$24)</f>
        <v/>
      </c>
    </row>
    <row r="281">
      <c r="A281" t="n">
        <v>27.9</v>
      </c>
      <c r="B281" t="n">
        <v>25</v>
      </c>
      <c r="C281">
        <f>ROUND(SQRT(E281),2)</f>
        <v/>
      </c>
      <c r="D281">
        <f>MIN(MIN(B281,Parameters!$B$2)^2, D280+Parameters!$B$24)</f>
        <v/>
      </c>
      <c r="E281">
        <f>MIN(D281, E282+Parameters!$B$24)</f>
        <v/>
      </c>
    </row>
    <row r="282">
      <c r="A282" t="n">
        <v>28</v>
      </c>
      <c r="B282" t="n">
        <v>25</v>
      </c>
      <c r="C282">
        <f>ROUND(SQRT(E282),2)</f>
        <v/>
      </c>
      <c r="D282">
        <f>MIN(MIN(B282,Parameters!$B$2)^2, D281+Parameters!$B$24)</f>
        <v/>
      </c>
      <c r="E282">
        <f>MIN(D282, E283+Parameters!$B$24)</f>
        <v/>
      </c>
    </row>
    <row r="283">
      <c r="A283" t="n">
        <v>28.1</v>
      </c>
      <c r="B283" t="n">
        <v>25</v>
      </c>
      <c r="C283">
        <f>ROUND(SQRT(E283),2)</f>
        <v/>
      </c>
      <c r="D283">
        <f>MIN(MIN(B283,Parameters!$B$2)^2, D282+Parameters!$B$24)</f>
        <v/>
      </c>
      <c r="E283">
        <f>MIN(D283, E284+Parameters!$B$24)</f>
        <v/>
      </c>
    </row>
    <row r="284">
      <c r="A284" t="n">
        <v>28.2</v>
      </c>
      <c r="B284" t="n">
        <v>25</v>
      </c>
      <c r="C284">
        <f>ROUND(SQRT(E284),2)</f>
        <v/>
      </c>
      <c r="D284">
        <f>MIN(MIN(B284,Parameters!$B$2)^2, D283+Parameters!$B$24)</f>
        <v/>
      </c>
      <c r="E284">
        <f>MIN(D284, E285+Parameters!$B$24)</f>
        <v/>
      </c>
    </row>
    <row r="285">
      <c r="A285" t="n">
        <v>28.3</v>
      </c>
      <c r="B285" t="n">
        <v>25</v>
      </c>
      <c r="C285">
        <f>ROUND(SQRT(E285),2)</f>
        <v/>
      </c>
      <c r="D285">
        <f>MIN(MIN(B285,Parameters!$B$2)^2, D284+Parameters!$B$24)</f>
        <v/>
      </c>
      <c r="E285">
        <f>MIN(D285, E286+Parameters!$B$24)</f>
        <v/>
      </c>
    </row>
    <row r="286">
      <c r="A286" t="n">
        <v>28.4</v>
      </c>
      <c r="B286" t="n">
        <v>25</v>
      </c>
      <c r="C286">
        <f>ROUND(SQRT(E286),2)</f>
        <v/>
      </c>
      <c r="D286">
        <f>MIN(MIN(B286,Parameters!$B$2)^2, D285+Parameters!$B$24)</f>
        <v/>
      </c>
      <c r="E286">
        <f>MIN(D286, E287+Parameters!$B$24)</f>
        <v/>
      </c>
    </row>
    <row r="287">
      <c r="A287" t="n">
        <v>28.5</v>
      </c>
      <c r="B287" t="n">
        <v>25</v>
      </c>
      <c r="C287">
        <f>ROUND(SQRT(E287),2)</f>
        <v/>
      </c>
      <c r="D287">
        <f>MIN(MIN(B287,Parameters!$B$2)^2, D286+Parameters!$B$24)</f>
        <v/>
      </c>
      <c r="E287">
        <f>MIN(D287, E288+Parameters!$B$24)</f>
        <v/>
      </c>
    </row>
    <row r="288">
      <c r="A288" t="n">
        <v>28.6</v>
      </c>
      <c r="B288" t="n">
        <v>25</v>
      </c>
      <c r="C288">
        <f>ROUND(SQRT(E288),2)</f>
        <v/>
      </c>
      <c r="D288">
        <f>MIN(MIN(B288,Parameters!$B$2)^2, D287+Parameters!$B$24)</f>
        <v/>
      </c>
      <c r="E288">
        <f>MIN(D288, E289+Parameters!$B$24)</f>
        <v/>
      </c>
    </row>
    <row r="289">
      <c r="A289" t="n">
        <v>28.7</v>
      </c>
      <c r="B289" t="n">
        <v>25</v>
      </c>
      <c r="C289">
        <f>ROUND(SQRT(E289),2)</f>
        <v/>
      </c>
      <c r="D289">
        <f>MIN(MIN(B289,Parameters!$B$2)^2, D288+Parameters!$B$24)</f>
        <v/>
      </c>
      <c r="E289">
        <f>MIN(D289, E290+Parameters!$B$24)</f>
        <v/>
      </c>
    </row>
    <row r="290">
      <c r="A290" t="n">
        <v>28.8</v>
      </c>
      <c r="B290" t="n">
        <v>25</v>
      </c>
      <c r="C290">
        <f>ROUND(SQRT(E290),2)</f>
        <v/>
      </c>
      <c r="D290">
        <f>MIN(MIN(B290,Parameters!$B$2)^2, D289+Parameters!$B$24)</f>
        <v/>
      </c>
      <c r="E290">
        <f>MIN(D290, E291+Parameters!$B$24)</f>
        <v/>
      </c>
    </row>
    <row r="291">
      <c r="A291" t="n">
        <v>28.9</v>
      </c>
      <c r="B291" t="n">
        <v>25</v>
      </c>
      <c r="C291">
        <f>ROUND(SQRT(E291),2)</f>
        <v/>
      </c>
      <c r="D291">
        <f>MIN(MIN(B291,Parameters!$B$2)^2, D290+Parameters!$B$24)</f>
        <v/>
      </c>
      <c r="E291">
        <f>MIN(D291, E292+Parameters!$B$24)</f>
        <v/>
      </c>
    </row>
    <row r="292">
      <c r="A292" t="n">
        <v>29</v>
      </c>
      <c r="B292" t="n">
        <v>25</v>
      </c>
      <c r="C292">
        <f>ROUND(SQRT(E292),2)</f>
        <v/>
      </c>
      <c r="D292">
        <f>MIN(MIN(B292,Parameters!$B$2)^2, D291+Parameters!$B$24)</f>
        <v/>
      </c>
      <c r="E292">
        <f>MIN(D292, E293+Parameters!$B$24)</f>
        <v/>
      </c>
    </row>
    <row r="293">
      <c r="A293" t="n">
        <v>29.1</v>
      </c>
      <c r="B293" t="n">
        <v>25</v>
      </c>
      <c r="C293">
        <f>ROUND(SQRT(E293),2)</f>
        <v/>
      </c>
      <c r="D293">
        <f>MIN(MIN(B293,Parameters!$B$2)^2, D292+Parameters!$B$24)</f>
        <v/>
      </c>
      <c r="E293">
        <f>MIN(D293, E294+Parameters!$B$24)</f>
        <v/>
      </c>
    </row>
    <row r="294">
      <c r="A294" t="n">
        <v>29.2</v>
      </c>
      <c r="B294" t="n">
        <v>25</v>
      </c>
      <c r="C294">
        <f>ROUND(SQRT(E294),2)</f>
        <v/>
      </c>
      <c r="D294">
        <f>MIN(MIN(B294,Parameters!$B$2)^2, D293+Parameters!$B$24)</f>
        <v/>
      </c>
      <c r="E294">
        <f>MIN(D294, E295+Parameters!$B$24)</f>
        <v/>
      </c>
    </row>
    <row r="295">
      <c r="A295" t="n">
        <v>29.3</v>
      </c>
      <c r="B295" t="n">
        <v>25</v>
      </c>
      <c r="C295">
        <f>ROUND(SQRT(E295),2)</f>
        <v/>
      </c>
      <c r="D295">
        <f>MIN(MIN(B295,Parameters!$B$2)^2, D294+Parameters!$B$24)</f>
        <v/>
      </c>
      <c r="E295">
        <f>MIN(D295, E296+Parameters!$B$24)</f>
        <v/>
      </c>
    </row>
    <row r="296">
      <c r="A296" t="n">
        <v>29.4</v>
      </c>
      <c r="B296" t="n">
        <v>25</v>
      </c>
      <c r="C296">
        <f>ROUND(SQRT(E296),2)</f>
        <v/>
      </c>
      <c r="D296">
        <f>MIN(MIN(B296,Parameters!$B$2)^2, D295+Parameters!$B$24)</f>
        <v/>
      </c>
      <c r="E296">
        <f>MIN(D296, E297+Parameters!$B$24)</f>
        <v/>
      </c>
    </row>
    <row r="297">
      <c r="A297" t="n">
        <v>29.5</v>
      </c>
      <c r="B297" t="n">
        <v>25</v>
      </c>
      <c r="C297">
        <f>ROUND(SQRT(E297),2)</f>
        <v/>
      </c>
      <c r="D297">
        <f>MIN(MIN(B297,Parameters!$B$2)^2, D296+Parameters!$B$24)</f>
        <v/>
      </c>
      <c r="E297">
        <f>MIN(D297, E298+Parameters!$B$24)</f>
        <v/>
      </c>
    </row>
    <row r="298">
      <c r="A298" t="n">
        <v>29.6</v>
      </c>
      <c r="B298" t="n">
        <v>25</v>
      </c>
      <c r="C298">
        <f>ROUND(SQRT(E298),2)</f>
        <v/>
      </c>
      <c r="D298">
        <f>MIN(MIN(B298,Parameters!$B$2)^2, D297+Parameters!$B$24)</f>
        <v/>
      </c>
      <c r="E298">
        <f>MIN(D298, E299+Parameters!$B$24)</f>
        <v/>
      </c>
    </row>
    <row r="299">
      <c r="A299" t="n">
        <v>29.7</v>
      </c>
      <c r="B299" t="n">
        <v>25</v>
      </c>
      <c r="C299">
        <f>ROUND(SQRT(E299),2)</f>
        <v/>
      </c>
      <c r="D299">
        <f>MIN(MIN(B299,Parameters!$B$2)^2, D298+Parameters!$B$24)</f>
        <v/>
      </c>
      <c r="E299">
        <f>MIN(D299, E300+Parameters!$B$24)</f>
        <v/>
      </c>
    </row>
    <row r="300">
      <c r="A300" t="n">
        <v>29.8</v>
      </c>
      <c r="B300" t="n">
        <v>25</v>
      </c>
      <c r="C300">
        <f>ROUND(SQRT(E300),2)</f>
        <v/>
      </c>
      <c r="D300">
        <f>MIN(MIN(B300,Parameters!$B$2)^2, D299+Parameters!$B$24)</f>
        <v/>
      </c>
      <c r="E300">
        <f>MIN(D300, E301+Parameters!$B$24)</f>
        <v/>
      </c>
    </row>
    <row r="301">
      <c r="A301" t="n">
        <v>29.9</v>
      </c>
      <c r="B301" t="n">
        <v>25</v>
      </c>
      <c r="C301">
        <f>ROUND(SQRT(E301),2)</f>
        <v/>
      </c>
      <c r="D301">
        <f>MIN(MIN(B301,Parameters!$B$2)^2, D300+Parameters!$B$24)</f>
        <v/>
      </c>
      <c r="E301">
        <f>MIN(D301, E302+Parameters!$B$24)</f>
        <v/>
      </c>
    </row>
    <row r="302">
      <c r="A302" t="n">
        <v>30</v>
      </c>
      <c r="B302" t="n">
        <v>25</v>
      </c>
      <c r="C302">
        <f>ROUND(SQRT(E302),2)</f>
        <v/>
      </c>
      <c r="D302">
        <f>MIN(MIN(B302,Parameters!$B$2)^2, D301+Parameters!$B$24)</f>
        <v/>
      </c>
      <c r="E302">
        <f>MIN(D302, E303+Parameters!$B$24)</f>
        <v/>
      </c>
    </row>
    <row r="303">
      <c r="A303" t="n">
        <v>30.1</v>
      </c>
      <c r="B303" t="n">
        <v>25</v>
      </c>
      <c r="C303">
        <f>ROUND(SQRT(E303),2)</f>
        <v/>
      </c>
      <c r="D303">
        <f>MIN(MIN(B303,Parameters!$B$2)^2, D302+Parameters!$B$24)</f>
        <v/>
      </c>
      <c r="E303">
        <f>MIN(D303, E304+Parameters!$B$24)</f>
        <v/>
      </c>
    </row>
    <row r="304">
      <c r="A304" t="n">
        <v>30.2</v>
      </c>
      <c r="B304" t="n">
        <v>25</v>
      </c>
      <c r="C304">
        <f>ROUND(SQRT(E304),2)</f>
        <v/>
      </c>
      <c r="D304">
        <f>MIN(MIN(B304,Parameters!$B$2)^2, D303+Parameters!$B$24)</f>
        <v/>
      </c>
      <c r="E304">
        <f>MIN(D304, E305+Parameters!$B$24)</f>
        <v/>
      </c>
    </row>
    <row r="305">
      <c r="A305" t="n">
        <v>30.3</v>
      </c>
      <c r="B305" t="n">
        <v>25</v>
      </c>
      <c r="C305">
        <f>ROUND(SQRT(E305),2)</f>
        <v/>
      </c>
      <c r="D305">
        <f>MIN(MIN(B305,Parameters!$B$2)^2, D304+Parameters!$B$24)</f>
        <v/>
      </c>
      <c r="E305">
        <f>MIN(D305, E306+Parameters!$B$24)</f>
        <v/>
      </c>
    </row>
    <row r="306">
      <c r="A306" t="n">
        <v>30.4</v>
      </c>
      <c r="B306" t="n">
        <v>25</v>
      </c>
      <c r="C306">
        <f>ROUND(SQRT(E306),2)</f>
        <v/>
      </c>
      <c r="D306">
        <f>MIN(MIN(B306,Parameters!$B$2)^2, D305+Parameters!$B$24)</f>
        <v/>
      </c>
      <c r="E306">
        <f>MIN(D306, E307+Parameters!$B$24)</f>
        <v/>
      </c>
    </row>
    <row r="307">
      <c r="A307" t="n">
        <v>30.5</v>
      </c>
      <c r="B307" t="n">
        <v>25</v>
      </c>
      <c r="C307">
        <f>ROUND(SQRT(E307),2)</f>
        <v/>
      </c>
      <c r="D307">
        <f>MIN(MIN(B307,Parameters!$B$2)^2, D306+Parameters!$B$24)</f>
        <v/>
      </c>
      <c r="E307">
        <f>MIN(D307, E308+Parameters!$B$24)</f>
        <v/>
      </c>
    </row>
    <row r="308">
      <c r="A308" t="n">
        <v>30.6</v>
      </c>
      <c r="B308" t="n">
        <v>25</v>
      </c>
      <c r="C308">
        <f>ROUND(SQRT(E308),2)</f>
        <v/>
      </c>
      <c r="D308">
        <f>MIN(MIN(B308,Parameters!$B$2)^2, D307+Parameters!$B$24)</f>
        <v/>
      </c>
      <c r="E308">
        <f>MIN(D308, E309+Parameters!$B$24)</f>
        <v/>
      </c>
    </row>
    <row r="309">
      <c r="A309" t="n">
        <v>30.7</v>
      </c>
      <c r="B309" t="n">
        <v>25</v>
      </c>
      <c r="C309">
        <f>ROUND(SQRT(E309),2)</f>
        <v/>
      </c>
      <c r="D309">
        <f>MIN(MIN(B309,Parameters!$B$2)^2, D308+Parameters!$B$24)</f>
        <v/>
      </c>
      <c r="E309">
        <f>MIN(D309, E310+Parameters!$B$24)</f>
        <v/>
      </c>
    </row>
    <row r="310">
      <c r="A310" t="n">
        <v>30.8</v>
      </c>
      <c r="B310" t="n">
        <v>25</v>
      </c>
      <c r="C310">
        <f>ROUND(SQRT(E310),2)</f>
        <v/>
      </c>
      <c r="D310">
        <f>MIN(MIN(B310,Parameters!$B$2)^2, D309+Parameters!$B$24)</f>
        <v/>
      </c>
      <c r="E310">
        <f>MIN(D310, E311+Parameters!$B$24)</f>
        <v/>
      </c>
    </row>
    <row r="311">
      <c r="A311" t="n">
        <v>30.9</v>
      </c>
      <c r="B311" t="n">
        <v>25</v>
      </c>
      <c r="C311">
        <f>ROUND(SQRT(E311),2)</f>
        <v/>
      </c>
      <c r="D311">
        <f>MIN(MIN(B311,Parameters!$B$2)^2, D310+Parameters!$B$24)</f>
        <v/>
      </c>
      <c r="E311">
        <f>MIN(D311, E312+Parameters!$B$24)</f>
        <v/>
      </c>
    </row>
    <row r="312">
      <c r="A312" t="n">
        <v>31</v>
      </c>
      <c r="B312" t="n">
        <v>25</v>
      </c>
      <c r="C312">
        <f>ROUND(SQRT(E312),2)</f>
        <v/>
      </c>
      <c r="D312">
        <f>MIN(MIN(B312,Parameters!$B$2)^2, D311+Parameters!$B$24)</f>
        <v/>
      </c>
      <c r="E312">
        <f>MIN(D312, E313+Parameters!$B$24)</f>
        <v/>
      </c>
    </row>
    <row r="313">
      <c r="A313" t="n">
        <v>31.1</v>
      </c>
      <c r="B313" t="n">
        <v>25</v>
      </c>
      <c r="C313">
        <f>ROUND(SQRT(E313),2)</f>
        <v/>
      </c>
      <c r="D313">
        <f>MIN(MIN(B313,Parameters!$B$2)^2, D312+Parameters!$B$24)</f>
        <v/>
      </c>
      <c r="E313">
        <f>MIN(D313, E314+Parameters!$B$24)</f>
        <v/>
      </c>
    </row>
    <row r="314">
      <c r="A314" t="n">
        <v>31.2</v>
      </c>
      <c r="B314" t="n">
        <v>25</v>
      </c>
      <c r="C314">
        <f>ROUND(SQRT(E314),2)</f>
        <v/>
      </c>
      <c r="D314">
        <f>MIN(MIN(B314,Parameters!$B$2)^2, D313+Parameters!$B$24)</f>
        <v/>
      </c>
      <c r="E314">
        <f>MIN(D314, E315+Parameters!$B$24)</f>
        <v/>
      </c>
    </row>
    <row r="315">
      <c r="A315" t="n">
        <v>31.3</v>
      </c>
      <c r="B315" t="n">
        <v>25</v>
      </c>
      <c r="C315">
        <f>ROUND(SQRT(E315),2)</f>
        <v/>
      </c>
      <c r="D315">
        <f>MIN(MIN(B315,Parameters!$B$2)^2, D314+Parameters!$B$24)</f>
        <v/>
      </c>
      <c r="E315">
        <f>MIN(D315, E316+Parameters!$B$24)</f>
        <v/>
      </c>
    </row>
    <row r="316">
      <c r="A316" t="n">
        <v>31.4</v>
      </c>
      <c r="B316" t="n">
        <v>25</v>
      </c>
      <c r="C316">
        <f>ROUND(SQRT(E316),2)</f>
        <v/>
      </c>
      <c r="D316">
        <f>MIN(MIN(B316,Parameters!$B$2)^2, D315+Parameters!$B$24)</f>
        <v/>
      </c>
      <c r="E316">
        <f>MIN(D316, E317+Parameters!$B$24)</f>
        <v/>
      </c>
    </row>
    <row r="317">
      <c r="A317" t="n">
        <v>31.5</v>
      </c>
      <c r="B317" t="n">
        <v>25</v>
      </c>
      <c r="C317">
        <f>ROUND(SQRT(E317),2)</f>
        <v/>
      </c>
      <c r="D317">
        <f>MIN(MIN(B317,Parameters!$B$2)^2, D316+Parameters!$B$24)</f>
        <v/>
      </c>
      <c r="E317">
        <f>MIN(D317, E318+Parameters!$B$24)</f>
        <v/>
      </c>
    </row>
    <row r="318">
      <c r="A318" t="n">
        <v>31.6</v>
      </c>
      <c r="B318" t="n">
        <v>25</v>
      </c>
      <c r="C318">
        <f>ROUND(SQRT(E318),2)</f>
        <v/>
      </c>
      <c r="D318">
        <f>MIN(MIN(B318,Parameters!$B$2)^2, D317+Parameters!$B$24)</f>
        <v/>
      </c>
      <c r="E318">
        <f>MIN(D318, E319+Parameters!$B$24)</f>
        <v/>
      </c>
    </row>
    <row r="319">
      <c r="A319" t="n">
        <v>31.7</v>
      </c>
      <c r="B319" t="n">
        <v>25</v>
      </c>
      <c r="C319">
        <f>ROUND(SQRT(E319),2)</f>
        <v/>
      </c>
      <c r="D319">
        <f>MIN(MIN(B319,Parameters!$B$2)^2, D318+Parameters!$B$24)</f>
        <v/>
      </c>
      <c r="E319">
        <f>MIN(D319, E320+Parameters!$B$24)</f>
        <v/>
      </c>
    </row>
    <row r="320">
      <c r="A320" t="n">
        <v>31.8</v>
      </c>
      <c r="B320" t="n">
        <v>25</v>
      </c>
      <c r="C320">
        <f>ROUND(SQRT(E320),2)</f>
        <v/>
      </c>
      <c r="D320">
        <f>MIN(MIN(B320,Parameters!$B$2)^2, D319+Parameters!$B$24)</f>
        <v/>
      </c>
      <c r="E320">
        <f>MIN(D320, E321+Parameters!$B$24)</f>
        <v/>
      </c>
    </row>
    <row r="321">
      <c r="A321" t="n">
        <v>31.9</v>
      </c>
      <c r="B321" t="n">
        <v>25</v>
      </c>
      <c r="C321">
        <f>ROUND(SQRT(E321),2)</f>
        <v/>
      </c>
      <c r="D321">
        <f>MIN(MIN(B321,Parameters!$B$2)^2, D320+Parameters!$B$24)</f>
        <v/>
      </c>
      <c r="E321">
        <f>MIN(D321, E322+Parameters!$B$24)</f>
        <v/>
      </c>
    </row>
    <row r="322">
      <c r="A322" t="n">
        <v>32</v>
      </c>
      <c r="B322" t="n">
        <v>25</v>
      </c>
      <c r="C322">
        <f>ROUND(SQRT(E322),2)</f>
        <v/>
      </c>
      <c r="D322">
        <f>MIN(MIN(B322,Parameters!$B$2)^2, D321+Parameters!$B$24)</f>
        <v/>
      </c>
      <c r="E322">
        <f>MIN(D322, E323+Parameters!$B$24)</f>
        <v/>
      </c>
    </row>
    <row r="323">
      <c r="A323" t="n">
        <v>32.1</v>
      </c>
      <c r="B323" t="n">
        <v>25</v>
      </c>
      <c r="C323">
        <f>ROUND(SQRT(E323),2)</f>
        <v/>
      </c>
      <c r="D323">
        <f>MIN(MIN(B323,Parameters!$B$2)^2, D322+Parameters!$B$24)</f>
        <v/>
      </c>
      <c r="E323">
        <f>MIN(D323, E324+Parameters!$B$24)</f>
        <v/>
      </c>
    </row>
    <row r="324">
      <c r="A324" t="n">
        <v>32.2</v>
      </c>
      <c r="B324" t="n">
        <v>25</v>
      </c>
      <c r="C324">
        <f>ROUND(SQRT(E324),2)</f>
        <v/>
      </c>
      <c r="D324">
        <f>MIN(MIN(B324,Parameters!$B$2)^2, D323+Parameters!$B$24)</f>
        <v/>
      </c>
      <c r="E324">
        <f>MIN(D324, E325+Parameters!$B$24)</f>
        <v/>
      </c>
    </row>
    <row r="325">
      <c r="A325" t="n">
        <v>32.3</v>
      </c>
      <c r="B325" t="n">
        <v>25</v>
      </c>
      <c r="C325">
        <f>ROUND(SQRT(E325),2)</f>
        <v/>
      </c>
      <c r="D325">
        <f>MIN(MIN(B325,Parameters!$B$2)^2, D324+Parameters!$B$24)</f>
        <v/>
      </c>
      <c r="E325">
        <f>MIN(D325, E326+Parameters!$B$24)</f>
        <v/>
      </c>
    </row>
    <row r="326">
      <c r="A326" t="n">
        <v>32.4</v>
      </c>
      <c r="B326" t="n">
        <v>25</v>
      </c>
      <c r="C326">
        <f>ROUND(SQRT(E326),2)</f>
        <v/>
      </c>
      <c r="D326">
        <f>MIN(MIN(B326,Parameters!$B$2)^2, D325+Parameters!$B$24)</f>
        <v/>
      </c>
      <c r="E326">
        <f>MIN(D326, E327+Parameters!$B$24)</f>
        <v/>
      </c>
    </row>
    <row r="327">
      <c r="A327" t="n">
        <v>32.5</v>
      </c>
      <c r="B327" t="n">
        <v>25</v>
      </c>
      <c r="C327">
        <f>ROUND(SQRT(E327),2)</f>
        <v/>
      </c>
      <c r="D327">
        <f>MIN(MIN(B327,Parameters!$B$2)^2, D326+Parameters!$B$24)</f>
        <v/>
      </c>
      <c r="E327">
        <f>MIN(D327, E328+Parameters!$B$24)</f>
        <v/>
      </c>
    </row>
    <row r="328">
      <c r="A328" t="n">
        <v>32.6</v>
      </c>
      <c r="B328" t="n">
        <v>25</v>
      </c>
      <c r="C328">
        <f>ROUND(SQRT(E328),2)</f>
        <v/>
      </c>
      <c r="D328">
        <f>MIN(MIN(B328,Parameters!$B$2)^2, D327+Parameters!$B$24)</f>
        <v/>
      </c>
      <c r="E328">
        <f>MIN(D328, E329+Parameters!$B$24)</f>
        <v/>
      </c>
    </row>
    <row r="329">
      <c r="A329" t="n">
        <v>32.7</v>
      </c>
      <c r="B329" t="n">
        <v>25</v>
      </c>
      <c r="C329">
        <f>ROUND(SQRT(E329),2)</f>
        <v/>
      </c>
      <c r="D329">
        <f>MIN(MIN(B329,Parameters!$B$2)^2, D328+Parameters!$B$24)</f>
        <v/>
      </c>
      <c r="E329">
        <f>MIN(D329, E330+Parameters!$B$24)</f>
        <v/>
      </c>
    </row>
    <row r="330">
      <c r="A330" t="n">
        <v>32.8</v>
      </c>
      <c r="B330" t="n">
        <v>25</v>
      </c>
      <c r="C330">
        <f>ROUND(SQRT(E330),2)</f>
        <v/>
      </c>
      <c r="D330">
        <f>MIN(MIN(B330,Parameters!$B$2)^2, D329+Parameters!$B$24)</f>
        <v/>
      </c>
      <c r="E330">
        <f>MIN(D330, E331+Parameters!$B$24)</f>
        <v/>
      </c>
    </row>
    <row r="331">
      <c r="A331" t="n">
        <v>32.9</v>
      </c>
      <c r="B331" t="n">
        <v>25</v>
      </c>
      <c r="C331">
        <f>ROUND(SQRT(E331),2)</f>
        <v/>
      </c>
      <c r="D331">
        <f>MIN(MIN(B331,Parameters!$B$2)^2, D330+Parameters!$B$24)</f>
        <v/>
      </c>
      <c r="E331">
        <f>MIN(D331, E332+Parameters!$B$24)</f>
        <v/>
      </c>
    </row>
    <row r="332">
      <c r="A332" t="n">
        <v>33</v>
      </c>
      <c r="B332" t="n">
        <v>25</v>
      </c>
      <c r="C332">
        <f>ROUND(SQRT(E332),2)</f>
        <v/>
      </c>
      <c r="D332">
        <f>MIN(MIN(B332,Parameters!$B$2)^2, D331+Parameters!$B$24)</f>
        <v/>
      </c>
      <c r="E332">
        <f>MIN(D332, E333+Parameters!$B$24)</f>
        <v/>
      </c>
    </row>
    <row r="333">
      <c r="A333" t="n">
        <v>33.1</v>
      </c>
      <c r="B333" t="n">
        <v>25</v>
      </c>
      <c r="C333">
        <f>ROUND(SQRT(E333),2)</f>
        <v/>
      </c>
      <c r="D333">
        <f>MIN(MIN(B333,Parameters!$B$2)^2, D332+Parameters!$B$24)</f>
        <v/>
      </c>
      <c r="E333">
        <f>MIN(D333, E334+Parameters!$B$24)</f>
        <v/>
      </c>
    </row>
    <row r="334">
      <c r="A334" t="n">
        <v>33.2</v>
      </c>
      <c r="B334" t="n">
        <v>25</v>
      </c>
      <c r="C334">
        <f>ROUND(SQRT(E334),2)</f>
        <v/>
      </c>
      <c r="D334">
        <f>MIN(MIN(B334,Parameters!$B$2)^2, D333+Parameters!$B$24)</f>
        <v/>
      </c>
      <c r="E334">
        <f>MIN(D334, E335+Parameters!$B$24)</f>
        <v/>
      </c>
    </row>
    <row r="335">
      <c r="A335" t="n">
        <v>33.3</v>
      </c>
      <c r="B335" t="n">
        <v>25</v>
      </c>
      <c r="C335">
        <f>ROUND(SQRT(E335),2)</f>
        <v/>
      </c>
      <c r="D335">
        <f>MIN(MIN(B335,Parameters!$B$2)^2, D334+Parameters!$B$24)</f>
        <v/>
      </c>
      <c r="E335">
        <f>MIN(D335, E336+Parameters!$B$24)</f>
        <v/>
      </c>
    </row>
    <row r="336">
      <c r="A336" t="n">
        <v>33.4</v>
      </c>
      <c r="B336" t="n">
        <v>25</v>
      </c>
      <c r="C336">
        <f>ROUND(SQRT(E336),2)</f>
        <v/>
      </c>
      <c r="D336">
        <f>MIN(MIN(B336,Parameters!$B$2)^2, D335+Parameters!$B$24)</f>
        <v/>
      </c>
      <c r="E336">
        <f>MIN(D336, E337+Parameters!$B$24)</f>
        <v/>
      </c>
    </row>
    <row r="337">
      <c r="A337" t="n">
        <v>33.5</v>
      </c>
      <c r="B337" t="n">
        <v>25</v>
      </c>
      <c r="C337">
        <f>ROUND(SQRT(E337),2)</f>
        <v/>
      </c>
      <c r="D337">
        <f>MIN(MIN(B337,Parameters!$B$2)^2, D336+Parameters!$B$24)</f>
        <v/>
      </c>
      <c r="E337">
        <f>MIN(D337, E338+Parameters!$B$24)</f>
        <v/>
      </c>
    </row>
    <row r="338">
      <c r="A338" t="n">
        <v>33.6</v>
      </c>
      <c r="B338" t="n">
        <v>25</v>
      </c>
      <c r="C338">
        <f>ROUND(SQRT(E338),2)</f>
        <v/>
      </c>
      <c r="D338">
        <f>MIN(MIN(B338,Parameters!$B$2)^2, D337+Parameters!$B$24)</f>
        <v/>
      </c>
      <c r="E338">
        <f>MIN(D338, E339+Parameters!$B$24)</f>
        <v/>
      </c>
    </row>
    <row r="339">
      <c r="A339" t="n">
        <v>33.7</v>
      </c>
      <c r="B339" t="n">
        <v>25</v>
      </c>
      <c r="C339">
        <f>ROUND(SQRT(E339),2)</f>
        <v/>
      </c>
      <c r="D339">
        <f>MIN(MIN(B339,Parameters!$B$2)^2, D338+Parameters!$B$24)</f>
        <v/>
      </c>
      <c r="E339">
        <f>MIN(D339, E340+Parameters!$B$24)</f>
        <v/>
      </c>
    </row>
    <row r="340">
      <c r="A340" t="n">
        <v>33.8</v>
      </c>
      <c r="B340" t="n">
        <v>25</v>
      </c>
      <c r="C340">
        <f>ROUND(SQRT(E340),2)</f>
        <v/>
      </c>
      <c r="D340">
        <f>MIN(MIN(B340,Parameters!$B$2)^2, D339+Parameters!$B$24)</f>
        <v/>
      </c>
      <c r="E340">
        <f>MIN(D340, E341+Parameters!$B$24)</f>
        <v/>
      </c>
    </row>
    <row r="341">
      <c r="A341" t="n">
        <v>33.9</v>
      </c>
      <c r="B341" t="n">
        <v>25</v>
      </c>
      <c r="C341">
        <f>ROUND(SQRT(E341),2)</f>
        <v/>
      </c>
      <c r="D341">
        <f>MIN(MIN(B341,Parameters!$B$2)^2, D340+Parameters!$B$24)</f>
        <v/>
      </c>
      <c r="E341">
        <f>MIN(D341, E342+Parameters!$B$24)</f>
        <v/>
      </c>
    </row>
    <row r="342">
      <c r="A342" t="n">
        <v>34</v>
      </c>
      <c r="B342" t="n">
        <v>25</v>
      </c>
      <c r="C342">
        <f>ROUND(SQRT(E342),2)</f>
        <v/>
      </c>
      <c r="D342">
        <f>MIN(MIN(B342,Parameters!$B$2)^2, D341+Parameters!$B$24)</f>
        <v/>
      </c>
      <c r="E342">
        <f>MIN(D342, E343+Parameters!$B$24)</f>
        <v/>
      </c>
    </row>
    <row r="343">
      <c r="A343" t="n">
        <v>34.1</v>
      </c>
      <c r="B343" t="n">
        <v>25</v>
      </c>
      <c r="C343">
        <f>ROUND(SQRT(E343),2)</f>
        <v/>
      </c>
      <c r="D343">
        <f>MIN(MIN(B343,Parameters!$B$2)^2, D342+Parameters!$B$24)</f>
        <v/>
      </c>
      <c r="E343">
        <f>MIN(D343, E344+Parameters!$B$24)</f>
        <v/>
      </c>
    </row>
    <row r="344">
      <c r="A344" t="n">
        <v>34.2</v>
      </c>
      <c r="B344" t="n">
        <v>25</v>
      </c>
      <c r="C344">
        <f>ROUND(SQRT(E344),2)</f>
        <v/>
      </c>
      <c r="D344">
        <f>MIN(MIN(B344,Parameters!$B$2)^2, D343+Parameters!$B$24)</f>
        <v/>
      </c>
      <c r="E344">
        <f>MIN(D344, E345+Parameters!$B$24)</f>
        <v/>
      </c>
    </row>
    <row r="345">
      <c r="A345" t="n">
        <v>34.3</v>
      </c>
      <c r="B345" t="n">
        <v>25</v>
      </c>
      <c r="C345">
        <f>ROUND(SQRT(E345),2)</f>
        <v/>
      </c>
      <c r="D345">
        <f>MIN(MIN(B345,Parameters!$B$2)^2, D344+Parameters!$B$24)</f>
        <v/>
      </c>
      <c r="E345">
        <f>MIN(D345, E346+Parameters!$B$24)</f>
        <v/>
      </c>
    </row>
    <row r="346">
      <c r="A346" t="n">
        <v>34.4</v>
      </c>
      <c r="B346" t="n">
        <v>25</v>
      </c>
      <c r="C346">
        <f>ROUND(SQRT(E346),2)</f>
        <v/>
      </c>
      <c r="D346">
        <f>MIN(MIN(B346,Parameters!$B$2)^2, D345+Parameters!$B$24)</f>
        <v/>
      </c>
      <c r="E346">
        <f>MIN(D346, E347+Parameters!$B$24)</f>
        <v/>
      </c>
    </row>
    <row r="347">
      <c r="A347" t="n">
        <v>34.5</v>
      </c>
      <c r="B347" t="n">
        <v>25</v>
      </c>
      <c r="C347">
        <f>ROUND(SQRT(E347),2)</f>
        <v/>
      </c>
      <c r="D347">
        <f>MIN(MIN(B347,Parameters!$B$2)^2, D346+Parameters!$B$24)</f>
        <v/>
      </c>
      <c r="E347">
        <f>MIN(D347, E348+Parameters!$B$24)</f>
        <v/>
      </c>
    </row>
    <row r="348">
      <c r="A348" t="n">
        <v>34.6</v>
      </c>
      <c r="B348" t="n">
        <v>25</v>
      </c>
      <c r="C348">
        <f>ROUND(SQRT(E348),2)</f>
        <v/>
      </c>
      <c r="D348">
        <f>MIN(MIN(B348,Parameters!$B$2)^2, D347+Parameters!$B$24)</f>
        <v/>
      </c>
      <c r="E348">
        <f>MIN(D348, E349+Parameters!$B$24)</f>
        <v/>
      </c>
    </row>
    <row r="349">
      <c r="A349" t="n">
        <v>34.7</v>
      </c>
      <c r="B349" t="n">
        <v>25</v>
      </c>
      <c r="C349">
        <f>ROUND(SQRT(E349),2)</f>
        <v/>
      </c>
      <c r="D349">
        <f>MIN(MIN(B349,Parameters!$B$2)^2, D348+Parameters!$B$24)</f>
        <v/>
      </c>
      <c r="E349">
        <f>MIN(D349, E350+Parameters!$B$24)</f>
        <v/>
      </c>
    </row>
    <row r="350">
      <c r="A350" t="n">
        <v>34.8</v>
      </c>
      <c r="B350" t="n">
        <v>25</v>
      </c>
      <c r="C350">
        <f>ROUND(SQRT(E350),2)</f>
        <v/>
      </c>
      <c r="D350">
        <f>MIN(MIN(B350,Parameters!$B$2)^2, D349+Parameters!$B$24)</f>
        <v/>
      </c>
      <c r="E350">
        <f>MIN(D350, E351+Parameters!$B$24)</f>
        <v/>
      </c>
    </row>
    <row r="351">
      <c r="A351" t="n">
        <v>34.9</v>
      </c>
      <c r="B351" t="n">
        <v>25</v>
      </c>
      <c r="C351">
        <f>ROUND(SQRT(E351),2)</f>
        <v/>
      </c>
      <c r="D351">
        <f>MIN(MIN(B351,Parameters!$B$2)^2, D350+Parameters!$B$24)</f>
        <v/>
      </c>
      <c r="E351">
        <f>MIN(D351, E352+Parameters!$B$24)</f>
        <v/>
      </c>
    </row>
    <row r="352">
      <c r="A352" t="n">
        <v>35</v>
      </c>
      <c r="B352" t="n">
        <v>25</v>
      </c>
      <c r="C352">
        <f>ROUND(SQRT(E352),2)</f>
        <v/>
      </c>
      <c r="D352">
        <f>MIN(MIN(B352,Parameters!$B$2)^2, D351+Parameters!$B$24)</f>
        <v/>
      </c>
      <c r="E352">
        <f>MIN(D352, E353+Parameters!$B$24)</f>
        <v/>
      </c>
    </row>
    <row r="353">
      <c r="A353" t="n">
        <v>35.1</v>
      </c>
      <c r="B353" t="n">
        <v>25</v>
      </c>
      <c r="C353">
        <f>ROUND(SQRT(E353),2)</f>
        <v/>
      </c>
      <c r="D353">
        <f>MIN(MIN(B353,Parameters!$B$2)^2, D352+Parameters!$B$24)</f>
        <v/>
      </c>
      <c r="E353">
        <f>MIN(D353, E354+Parameters!$B$24)</f>
        <v/>
      </c>
    </row>
    <row r="354">
      <c r="A354" t="n">
        <v>35.2</v>
      </c>
      <c r="B354" t="n">
        <v>25</v>
      </c>
      <c r="C354">
        <f>ROUND(SQRT(E354),2)</f>
        <v/>
      </c>
      <c r="D354">
        <f>MIN(MIN(B354,Parameters!$B$2)^2, D353+Parameters!$B$24)</f>
        <v/>
      </c>
      <c r="E354">
        <f>MIN(D354, E355+Parameters!$B$24)</f>
        <v/>
      </c>
    </row>
    <row r="355">
      <c r="A355" t="n">
        <v>35.3</v>
      </c>
      <c r="B355" t="n">
        <v>25</v>
      </c>
      <c r="C355">
        <f>ROUND(SQRT(E355),2)</f>
        <v/>
      </c>
      <c r="D355">
        <f>MIN(MIN(B355,Parameters!$B$2)^2, D354+Parameters!$B$24)</f>
        <v/>
      </c>
      <c r="E355">
        <f>MIN(D355, E356+Parameters!$B$24)</f>
        <v/>
      </c>
    </row>
    <row r="356">
      <c r="A356" t="n">
        <v>35.4</v>
      </c>
      <c r="B356" t="n">
        <v>25</v>
      </c>
      <c r="C356">
        <f>ROUND(SQRT(E356),2)</f>
        <v/>
      </c>
      <c r="D356">
        <f>MIN(MIN(B356,Parameters!$B$2)^2, D355+Parameters!$B$24)</f>
        <v/>
      </c>
      <c r="E356">
        <f>MIN(D356, E357+Parameters!$B$24)</f>
        <v/>
      </c>
    </row>
    <row r="357">
      <c r="A357" t="n">
        <v>35.5</v>
      </c>
      <c r="B357" t="n">
        <v>25</v>
      </c>
      <c r="C357">
        <f>ROUND(SQRT(E357),2)</f>
        <v/>
      </c>
      <c r="D357">
        <f>MIN(MIN(B357,Parameters!$B$2)^2, D356+Parameters!$B$24)</f>
        <v/>
      </c>
      <c r="E357">
        <f>MIN(D357, E358+Parameters!$B$24)</f>
        <v/>
      </c>
    </row>
    <row r="358">
      <c r="A358" t="n">
        <v>35.6</v>
      </c>
      <c r="B358" t="n">
        <v>25</v>
      </c>
      <c r="C358">
        <f>ROUND(SQRT(E358),2)</f>
        <v/>
      </c>
      <c r="D358">
        <f>MIN(MIN(B358,Parameters!$B$2)^2, D357+Parameters!$B$24)</f>
        <v/>
      </c>
      <c r="E358">
        <f>MIN(D358, E359+Parameters!$B$24)</f>
        <v/>
      </c>
    </row>
    <row r="359">
      <c r="A359" t="n">
        <v>35.7</v>
      </c>
      <c r="B359" t="n">
        <v>25</v>
      </c>
      <c r="C359">
        <f>ROUND(SQRT(E359),2)</f>
        <v/>
      </c>
      <c r="D359">
        <f>MIN(MIN(B359,Parameters!$B$2)^2, D358+Parameters!$B$24)</f>
        <v/>
      </c>
      <c r="E359">
        <f>MIN(D359, E360+Parameters!$B$24)</f>
        <v/>
      </c>
    </row>
    <row r="360">
      <c r="A360" t="n">
        <v>35.8</v>
      </c>
      <c r="B360" t="n">
        <v>25</v>
      </c>
      <c r="C360">
        <f>ROUND(SQRT(E360),2)</f>
        <v/>
      </c>
      <c r="D360">
        <f>MIN(MIN(B360,Parameters!$B$2)^2, D359+Parameters!$B$24)</f>
        <v/>
      </c>
      <c r="E360">
        <f>MIN(D360, E361+Parameters!$B$24)</f>
        <v/>
      </c>
    </row>
    <row r="361">
      <c r="A361" t="n">
        <v>35.9</v>
      </c>
      <c r="B361" t="n">
        <v>25</v>
      </c>
      <c r="C361">
        <f>ROUND(SQRT(E361),2)</f>
        <v/>
      </c>
      <c r="D361">
        <f>MIN(MIN(B361,Parameters!$B$2)^2, D360+Parameters!$B$24)</f>
        <v/>
      </c>
      <c r="E361">
        <f>MIN(D361, E362+Parameters!$B$24)</f>
        <v/>
      </c>
    </row>
    <row r="362">
      <c r="A362" t="n">
        <v>36</v>
      </c>
      <c r="B362" t="n">
        <v>25</v>
      </c>
      <c r="C362">
        <f>ROUND(SQRT(E362),2)</f>
        <v/>
      </c>
      <c r="D362">
        <f>MIN(MIN(B362,Parameters!$B$2)^2, D361+Parameters!$B$24)</f>
        <v/>
      </c>
      <c r="E362">
        <f>MIN(D362, E363+Parameters!$B$24)</f>
        <v/>
      </c>
    </row>
    <row r="363">
      <c r="A363" t="n">
        <v>36.1</v>
      </c>
      <c r="B363" t="n">
        <v>25</v>
      </c>
      <c r="C363">
        <f>ROUND(SQRT(E363),2)</f>
        <v/>
      </c>
      <c r="D363">
        <f>MIN(MIN(B363,Parameters!$B$2)^2, D362+Parameters!$B$24)</f>
        <v/>
      </c>
      <c r="E363">
        <f>MIN(D363, E364+Parameters!$B$24)</f>
        <v/>
      </c>
    </row>
    <row r="364">
      <c r="A364" t="n">
        <v>36.2</v>
      </c>
      <c r="B364" t="n">
        <v>25</v>
      </c>
      <c r="C364">
        <f>ROUND(SQRT(E364),2)</f>
        <v/>
      </c>
      <c r="D364">
        <f>MIN(MIN(B364,Parameters!$B$2)^2, D363+Parameters!$B$24)</f>
        <v/>
      </c>
      <c r="E364">
        <f>MIN(D364, E365+Parameters!$B$24)</f>
        <v/>
      </c>
    </row>
    <row r="365">
      <c r="A365" t="n">
        <v>36.3</v>
      </c>
      <c r="B365" t="n">
        <v>25</v>
      </c>
      <c r="C365">
        <f>ROUND(SQRT(E365),2)</f>
        <v/>
      </c>
      <c r="D365">
        <f>MIN(MIN(B365,Parameters!$B$2)^2, D364+Parameters!$B$24)</f>
        <v/>
      </c>
      <c r="E365">
        <f>MIN(D365, E366+Parameters!$B$24)</f>
        <v/>
      </c>
    </row>
    <row r="366">
      <c r="A366" t="n">
        <v>36.4</v>
      </c>
      <c r="B366" t="n">
        <v>25</v>
      </c>
      <c r="C366">
        <f>ROUND(SQRT(E366),2)</f>
        <v/>
      </c>
      <c r="D366">
        <f>MIN(MIN(B366,Parameters!$B$2)^2, D365+Parameters!$B$24)</f>
        <v/>
      </c>
      <c r="E366">
        <f>MIN(D366, E367+Parameters!$B$24)</f>
        <v/>
      </c>
    </row>
    <row r="367">
      <c r="A367" t="n">
        <v>36.5</v>
      </c>
      <c r="B367" t="n">
        <v>25</v>
      </c>
      <c r="C367">
        <f>ROUND(SQRT(E367),2)</f>
        <v/>
      </c>
      <c r="D367">
        <f>MIN(MIN(B367,Parameters!$B$2)^2, D366+Parameters!$B$24)</f>
        <v/>
      </c>
      <c r="E367">
        <f>MIN(D367, E368+Parameters!$B$24)</f>
        <v/>
      </c>
    </row>
    <row r="368">
      <c r="A368" t="n">
        <v>36.6</v>
      </c>
      <c r="B368" t="n">
        <v>25</v>
      </c>
      <c r="C368">
        <f>ROUND(SQRT(E368),2)</f>
        <v/>
      </c>
      <c r="D368">
        <f>MIN(MIN(B368,Parameters!$B$2)^2, D367+Parameters!$B$24)</f>
        <v/>
      </c>
      <c r="E368">
        <f>MIN(D368, E369+Parameters!$B$24)</f>
        <v/>
      </c>
    </row>
    <row r="369">
      <c r="A369" t="n">
        <v>36.7</v>
      </c>
      <c r="B369" t="n">
        <v>25</v>
      </c>
      <c r="C369">
        <f>ROUND(SQRT(E369),2)</f>
        <v/>
      </c>
      <c r="D369">
        <f>MIN(MIN(B369,Parameters!$B$2)^2, D368+Parameters!$B$24)</f>
        <v/>
      </c>
      <c r="E369">
        <f>MIN(D369, E370+Parameters!$B$24)</f>
        <v/>
      </c>
    </row>
    <row r="370">
      <c r="A370" t="n">
        <v>36.8</v>
      </c>
      <c r="B370" t="n">
        <v>25</v>
      </c>
      <c r="C370">
        <f>ROUND(SQRT(E370),2)</f>
        <v/>
      </c>
      <c r="D370">
        <f>MIN(MIN(B370,Parameters!$B$2)^2, D369+Parameters!$B$24)</f>
        <v/>
      </c>
      <c r="E370">
        <f>MIN(D370, E371+Parameters!$B$24)</f>
        <v/>
      </c>
    </row>
    <row r="371">
      <c r="A371" t="n">
        <v>36.9</v>
      </c>
      <c r="B371" t="n">
        <v>25</v>
      </c>
      <c r="C371">
        <f>ROUND(SQRT(E371),2)</f>
        <v/>
      </c>
      <c r="D371">
        <f>MIN(MIN(B371,Parameters!$B$2)^2, D370+Parameters!$B$24)</f>
        <v/>
      </c>
      <c r="E371">
        <f>MIN(D371, E372+Parameters!$B$24)</f>
        <v/>
      </c>
    </row>
    <row r="372">
      <c r="A372" t="n">
        <v>37</v>
      </c>
      <c r="B372" t="n">
        <v>25</v>
      </c>
      <c r="C372">
        <f>ROUND(SQRT(E372),2)</f>
        <v/>
      </c>
      <c r="D372">
        <f>MIN(MIN(B372,Parameters!$B$2)^2, D371+Parameters!$B$24)</f>
        <v/>
      </c>
      <c r="E372">
        <f>MIN(D372, E373+Parameters!$B$24)</f>
        <v/>
      </c>
    </row>
    <row r="373">
      <c r="A373" t="n">
        <v>37.1</v>
      </c>
      <c r="B373" t="n">
        <v>25</v>
      </c>
      <c r="C373">
        <f>ROUND(SQRT(E373),2)</f>
        <v/>
      </c>
      <c r="D373">
        <f>MIN(MIN(B373,Parameters!$B$2)^2, D372+Parameters!$B$24)</f>
        <v/>
      </c>
      <c r="E373">
        <f>MIN(D373, E374+Parameters!$B$24)</f>
        <v/>
      </c>
    </row>
    <row r="374">
      <c r="A374" t="n">
        <v>37.2</v>
      </c>
      <c r="B374" t="n">
        <v>25</v>
      </c>
      <c r="C374">
        <f>ROUND(SQRT(E374),2)</f>
        <v/>
      </c>
      <c r="D374">
        <f>MIN(MIN(B374,Parameters!$B$2)^2, D373+Parameters!$B$24)</f>
        <v/>
      </c>
      <c r="E374">
        <f>MIN(D374, E375+Parameters!$B$24)</f>
        <v/>
      </c>
    </row>
    <row r="375">
      <c r="A375" t="n">
        <v>37.3</v>
      </c>
      <c r="B375" t="n">
        <v>25</v>
      </c>
      <c r="C375">
        <f>ROUND(SQRT(E375),2)</f>
        <v/>
      </c>
      <c r="D375">
        <f>MIN(MIN(B375,Parameters!$B$2)^2, D374+Parameters!$B$24)</f>
        <v/>
      </c>
      <c r="E375">
        <f>MIN(D375, E376+Parameters!$B$24)</f>
        <v/>
      </c>
    </row>
    <row r="376">
      <c r="A376" t="n">
        <v>37.4</v>
      </c>
      <c r="B376" t="n">
        <v>25</v>
      </c>
      <c r="C376">
        <f>ROUND(SQRT(E376),2)</f>
        <v/>
      </c>
      <c r="D376">
        <f>MIN(MIN(B376,Parameters!$B$2)^2, D375+Parameters!$B$24)</f>
        <v/>
      </c>
      <c r="E376">
        <f>MIN(D376, E377+Parameters!$B$24)</f>
        <v/>
      </c>
    </row>
    <row r="377">
      <c r="A377" t="n">
        <v>37.5</v>
      </c>
      <c r="B377" t="n">
        <v>25</v>
      </c>
      <c r="C377">
        <f>ROUND(SQRT(E377),2)</f>
        <v/>
      </c>
      <c r="D377">
        <f>MIN(MIN(B377,Parameters!$B$2)^2, D376+Parameters!$B$24)</f>
        <v/>
      </c>
      <c r="E377">
        <f>MIN(D377, E378+Parameters!$B$24)</f>
        <v/>
      </c>
    </row>
    <row r="378">
      <c r="A378" t="n">
        <v>37.6</v>
      </c>
      <c r="B378" t="n">
        <v>25</v>
      </c>
      <c r="C378">
        <f>ROUND(SQRT(E378),2)</f>
        <v/>
      </c>
      <c r="D378">
        <f>MIN(MIN(B378,Parameters!$B$2)^2, D377+Parameters!$B$24)</f>
        <v/>
      </c>
      <c r="E378">
        <f>MIN(D378, E379+Parameters!$B$24)</f>
        <v/>
      </c>
    </row>
    <row r="379">
      <c r="A379" t="n">
        <v>37.7</v>
      </c>
      <c r="B379" t="n">
        <v>25</v>
      </c>
      <c r="C379">
        <f>ROUND(SQRT(E379),2)</f>
        <v/>
      </c>
      <c r="D379">
        <f>MIN(MIN(B379,Parameters!$B$2)^2, D378+Parameters!$B$24)</f>
        <v/>
      </c>
      <c r="E379">
        <f>MIN(D379, E380+Parameters!$B$24)</f>
        <v/>
      </c>
    </row>
    <row r="380">
      <c r="A380" t="n">
        <v>37.8</v>
      </c>
      <c r="B380" t="n">
        <v>25</v>
      </c>
      <c r="C380">
        <f>ROUND(SQRT(E380),2)</f>
        <v/>
      </c>
      <c r="D380">
        <f>MIN(MIN(B380,Parameters!$B$2)^2, D379+Parameters!$B$24)</f>
        <v/>
      </c>
      <c r="E380">
        <f>MIN(D380, E381+Parameters!$B$24)</f>
        <v/>
      </c>
    </row>
    <row r="381">
      <c r="A381" t="n">
        <v>37.9</v>
      </c>
      <c r="B381" t="n">
        <v>25</v>
      </c>
      <c r="C381">
        <f>ROUND(SQRT(E381),2)</f>
        <v/>
      </c>
      <c r="D381">
        <f>MIN(MIN(B381,Parameters!$B$2)^2, D380+Parameters!$B$24)</f>
        <v/>
      </c>
      <c r="E381">
        <f>MIN(D381, E382+Parameters!$B$24)</f>
        <v/>
      </c>
    </row>
    <row r="382">
      <c r="A382" t="n">
        <v>38</v>
      </c>
      <c r="B382" t="n">
        <v>25</v>
      </c>
      <c r="C382">
        <f>ROUND(SQRT(E382),2)</f>
        <v/>
      </c>
      <c r="D382">
        <f>MIN(MIN(B382,Parameters!$B$2)^2, D381+Parameters!$B$24)</f>
        <v/>
      </c>
      <c r="E382">
        <f>MIN(D382, E383+Parameters!$B$24)</f>
        <v/>
      </c>
    </row>
    <row r="383">
      <c r="A383" t="n">
        <v>38.1</v>
      </c>
      <c r="B383" t="n">
        <v>25</v>
      </c>
      <c r="C383">
        <f>ROUND(SQRT(E383),2)</f>
        <v/>
      </c>
      <c r="D383">
        <f>MIN(MIN(B383,Parameters!$B$2)^2, D382+Parameters!$B$24)</f>
        <v/>
      </c>
      <c r="E383">
        <f>MIN(D383, E384+Parameters!$B$24)</f>
        <v/>
      </c>
    </row>
    <row r="384">
      <c r="A384" t="n">
        <v>38.2</v>
      </c>
      <c r="B384" t="n">
        <v>25</v>
      </c>
      <c r="C384">
        <f>ROUND(SQRT(E384),2)</f>
        <v/>
      </c>
      <c r="D384">
        <f>MIN(MIN(B384,Parameters!$B$2)^2, D383+Parameters!$B$24)</f>
        <v/>
      </c>
      <c r="E384">
        <f>MIN(D384, E385+Parameters!$B$24)</f>
        <v/>
      </c>
    </row>
    <row r="385">
      <c r="A385" t="n">
        <v>38.3</v>
      </c>
      <c r="B385" t="n">
        <v>25</v>
      </c>
      <c r="C385">
        <f>ROUND(SQRT(E385),2)</f>
        <v/>
      </c>
      <c r="D385">
        <f>MIN(MIN(B385,Parameters!$B$2)^2, D384+Parameters!$B$24)</f>
        <v/>
      </c>
      <c r="E385">
        <f>MIN(D385, E386+Parameters!$B$24)</f>
        <v/>
      </c>
    </row>
    <row r="386">
      <c r="A386" t="n">
        <v>38.4</v>
      </c>
      <c r="B386" t="n">
        <v>25</v>
      </c>
      <c r="C386">
        <f>ROUND(SQRT(E386),2)</f>
        <v/>
      </c>
      <c r="D386">
        <f>MIN(MIN(B386,Parameters!$B$2)^2, D385+Parameters!$B$24)</f>
        <v/>
      </c>
      <c r="E386">
        <f>MIN(D386, E387+Parameters!$B$24)</f>
        <v/>
      </c>
    </row>
    <row r="387">
      <c r="A387" t="n">
        <v>38.5</v>
      </c>
      <c r="B387" t="n">
        <v>25</v>
      </c>
      <c r="C387">
        <f>ROUND(SQRT(E387),2)</f>
        <v/>
      </c>
      <c r="D387">
        <f>MIN(MIN(B387,Parameters!$B$2)^2, D386+Parameters!$B$24)</f>
        <v/>
      </c>
      <c r="E387">
        <f>MIN(D387, E388+Parameters!$B$24)</f>
        <v/>
      </c>
    </row>
    <row r="388">
      <c r="A388" t="n">
        <v>38.6</v>
      </c>
      <c r="B388" t="n">
        <v>25</v>
      </c>
      <c r="C388">
        <f>ROUND(SQRT(E388),2)</f>
        <v/>
      </c>
      <c r="D388">
        <f>MIN(MIN(B388,Parameters!$B$2)^2, D387+Parameters!$B$24)</f>
        <v/>
      </c>
      <c r="E388">
        <f>MIN(D388, E389+Parameters!$B$24)</f>
        <v/>
      </c>
    </row>
    <row r="389">
      <c r="A389" t="n">
        <v>38.7</v>
      </c>
      <c r="B389" t="n">
        <v>25</v>
      </c>
      <c r="C389">
        <f>ROUND(SQRT(E389),2)</f>
        <v/>
      </c>
      <c r="D389">
        <f>MIN(MIN(B389,Parameters!$B$2)^2, D388+Parameters!$B$24)</f>
        <v/>
      </c>
      <c r="E389">
        <f>MIN(D389, E390+Parameters!$B$24)</f>
        <v/>
      </c>
    </row>
    <row r="390">
      <c r="A390" t="n">
        <v>38.8</v>
      </c>
      <c r="B390" t="n">
        <v>25</v>
      </c>
      <c r="C390">
        <f>ROUND(SQRT(E390),2)</f>
        <v/>
      </c>
      <c r="D390">
        <f>MIN(MIN(B390,Parameters!$B$2)^2, D389+Parameters!$B$24)</f>
        <v/>
      </c>
      <c r="E390">
        <f>MIN(D390, E391+Parameters!$B$24)</f>
        <v/>
      </c>
    </row>
    <row r="391">
      <c r="A391" t="n">
        <v>38.9</v>
      </c>
      <c r="B391" t="n">
        <v>25</v>
      </c>
      <c r="C391">
        <f>ROUND(SQRT(E391),2)</f>
        <v/>
      </c>
      <c r="D391">
        <f>MIN(MIN(B391,Parameters!$B$2)^2, D390+Parameters!$B$24)</f>
        <v/>
      </c>
      <c r="E391">
        <f>MIN(D391, E392+Parameters!$B$24)</f>
        <v/>
      </c>
    </row>
    <row r="392">
      <c r="A392" t="n">
        <v>39</v>
      </c>
      <c r="B392" t="n">
        <v>25</v>
      </c>
      <c r="C392">
        <f>ROUND(SQRT(E392),2)</f>
        <v/>
      </c>
      <c r="D392">
        <f>MIN(MIN(B392,Parameters!$B$2)^2, D391+Parameters!$B$24)</f>
        <v/>
      </c>
      <c r="E392">
        <f>MIN(D392, E393+Parameters!$B$24)</f>
        <v/>
      </c>
    </row>
    <row r="393">
      <c r="A393" t="n">
        <v>39.1</v>
      </c>
      <c r="B393" t="n">
        <v>25</v>
      </c>
      <c r="C393">
        <f>ROUND(SQRT(E393),2)</f>
        <v/>
      </c>
      <c r="D393">
        <f>MIN(MIN(B393,Parameters!$B$2)^2, D392+Parameters!$B$24)</f>
        <v/>
      </c>
      <c r="E393">
        <f>MIN(D393, E394+Parameters!$B$24)</f>
        <v/>
      </c>
    </row>
    <row r="394">
      <c r="A394" t="n">
        <v>39.2</v>
      </c>
      <c r="B394" t="n">
        <v>25</v>
      </c>
      <c r="C394">
        <f>ROUND(SQRT(E394),2)</f>
        <v/>
      </c>
      <c r="D394">
        <f>MIN(MIN(B394,Parameters!$B$2)^2, D393+Parameters!$B$24)</f>
        <v/>
      </c>
      <c r="E394">
        <f>MIN(D394, E395+Parameters!$B$24)</f>
        <v/>
      </c>
    </row>
    <row r="395">
      <c r="A395" t="n">
        <v>39.3</v>
      </c>
      <c r="B395" t="n">
        <v>25</v>
      </c>
      <c r="C395">
        <f>ROUND(SQRT(E395),2)</f>
        <v/>
      </c>
      <c r="D395">
        <f>MIN(MIN(B395,Parameters!$B$2)^2, D394+Parameters!$B$24)</f>
        <v/>
      </c>
      <c r="E395">
        <f>MIN(D395, E396+Parameters!$B$24)</f>
        <v/>
      </c>
    </row>
    <row r="396">
      <c r="A396" t="n">
        <v>39.4</v>
      </c>
      <c r="B396" t="n">
        <v>25</v>
      </c>
      <c r="C396">
        <f>ROUND(SQRT(E396),2)</f>
        <v/>
      </c>
      <c r="D396">
        <f>MIN(MIN(B396,Parameters!$B$2)^2, D395+Parameters!$B$24)</f>
        <v/>
      </c>
      <c r="E396">
        <f>MIN(D396, E397+Parameters!$B$24)</f>
        <v/>
      </c>
    </row>
    <row r="397">
      <c r="A397" t="n">
        <v>39.5</v>
      </c>
      <c r="B397" t="n">
        <v>25</v>
      </c>
      <c r="C397">
        <f>ROUND(SQRT(E397),2)</f>
        <v/>
      </c>
      <c r="D397">
        <f>MIN(MIN(B397,Parameters!$B$2)^2, D396+Parameters!$B$24)</f>
        <v/>
      </c>
      <c r="E397">
        <f>MIN(D397, E398+Parameters!$B$24)</f>
        <v/>
      </c>
    </row>
    <row r="398">
      <c r="A398" t="n">
        <v>39.6</v>
      </c>
      <c r="B398" t="n">
        <v>25</v>
      </c>
      <c r="C398">
        <f>ROUND(SQRT(E398),2)</f>
        <v/>
      </c>
      <c r="D398">
        <f>MIN(MIN(B398,Parameters!$B$2)^2, D397+Parameters!$B$24)</f>
        <v/>
      </c>
      <c r="E398">
        <f>MIN(D398, E399+Parameters!$B$24)</f>
        <v/>
      </c>
    </row>
    <row r="399">
      <c r="A399" t="n">
        <v>39.7</v>
      </c>
      <c r="B399" t="n">
        <v>25</v>
      </c>
      <c r="C399">
        <f>ROUND(SQRT(E399),2)</f>
        <v/>
      </c>
      <c r="D399">
        <f>MIN(MIN(B399,Parameters!$B$2)^2, D398+Parameters!$B$24)</f>
        <v/>
      </c>
      <c r="E399">
        <f>MIN(D399, E400+Parameters!$B$24)</f>
        <v/>
      </c>
    </row>
    <row r="400">
      <c r="A400" t="n">
        <v>39.8</v>
      </c>
      <c r="B400" t="n">
        <v>25</v>
      </c>
      <c r="C400">
        <f>ROUND(SQRT(E400),2)</f>
        <v/>
      </c>
      <c r="D400">
        <f>MIN(MIN(B400,Parameters!$B$2)^2, D399+Parameters!$B$24)</f>
        <v/>
      </c>
      <c r="E400">
        <f>MIN(D400, E401+Parameters!$B$24)</f>
        <v/>
      </c>
    </row>
    <row r="401">
      <c r="A401" t="n">
        <v>39.9</v>
      </c>
      <c r="B401" t="n">
        <v>25</v>
      </c>
      <c r="C401">
        <f>ROUND(SQRT(E401),2)</f>
        <v/>
      </c>
      <c r="D401">
        <f>MIN(MIN(B401,Parameters!$B$2)^2, D400+Parameters!$B$24)</f>
        <v/>
      </c>
      <c r="E401">
        <f>MIN(D401, E402+Parameters!$B$24)</f>
        <v/>
      </c>
    </row>
    <row r="402">
      <c r="A402" t="n">
        <v>40</v>
      </c>
      <c r="B402" t="n">
        <v>25</v>
      </c>
      <c r="C402">
        <f>ROUND(SQRT(E402),2)</f>
        <v/>
      </c>
      <c r="D402">
        <f>MIN(MIN(B402,Parameters!$B$2)^2, D401+Parameters!$B$24)</f>
        <v/>
      </c>
      <c r="E402">
        <f>MIN(D402, E403+Parameters!$B$24)</f>
        <v/>
      </c>
    </row>
    <row r="403">
      <c r="A403" t="n">
        <v>40.1</v>
      </c>
      <c r="B403" t="n">
        <v>25</v>
      </c>
      <c r="C403">
        <f>ROUND(SQRT(E403),2)</f>
        <v/>
      </c>
      <c r="D403">
        <f>MIN(MIN(B403,Parameters!$B$2)^2, D402+Parameters!$B$24)</f>
        <v/>
      </c>
      <c r="E403">
        <f>MIN(D403, E404+Parameters!$B$24)</f>
        <v/>
      </c>
    </row>
    <row r="404">
      <c r="A404" t="n">
        <v>40.2</v>
      </c>
      <c r="B404" t="n">
        <v>25</v>
      </c>
      <c r="C404">
        <f>ROUND(SQRT(E404),2)</f>
        <v/>
      </c>
      <c r="D404">
        <f>MIN(MIN(B404,Parameters!$B$2)^2, D403+Parameters!$B$24)</f>
        <v/>
      </c>
      <c r="E404">
        <f>MIN(D404, E405+Parameters!$B$24)</f>
        <v/>
      </c>
    </row>
    <row r="405">
      <c r="A405" t="n">
        <v>40.3</v>
      </c>
      <c r="B405" t="n">
        <v>25</v>
      </c>
      <c r="C405">
        <f>ROUND(SQRT(E405),2)</f>
        <v/>
      </c>
      <c r="D405">
        <f>MIN(MIN(B405,Parameters!$B$2)^2, D404+Parameters!$B$24)</f>
        <v/>
      </c>
      <c r="E405">
        <f>MIN(D405, E406+Parameters!$B$24)</f>
        <v/>
      </c>
    </row>
    <row r="406">
      <c r="A406" t="n">
        <v>40.4</v>
      </c>
      <c r="B406" t="n">
        <v>25</v>
      </c>
      <c r="C406">
        <f>ROUND(SQRT(E406),2)</f>
        <v/>
      </c>
      <c r="D406">
        <f>MIN(MIN(B406,Parameters!$B$2)^2, D405+Parameters!$B$24)</f>
        <v/>
      </c>
      <c r="E406">
        <f>MIN(D406, E407+Parameters!$B$24)</f>
        <v/>
      </c>
    </row>
    <row r="407">
      <c r="A407" t="n">
        <v>40.5</v>
      </c>
      <c r="B407" t="n">
        <v>25</v>
      </c>
      <c r="C407">
        <f>ROUND(SQRT(E407),2)</f>
        <v/>
      </c>
      <c r="D407">
        <f>MIN(MIN(B407,Parameters!$B$2)^2, D406+Parameters!$B$24)</f>
        <v/>
      </c>
      <c r="E407">
        <f>MIN(D407, E408+Parameters!$B$24)</f>
        <v/>
      </c>
    </row>
    <row r="408">
      <c r="A408" t="n">
        <v>40.6</v>
      </c>
      <c r="B408" t="n">
        <v>25</v>
      </c>
      <c r="C408">
        <f>ROUND(SQRT(E408),2)</f>
        <v/>
      </c>
      <c r="D408">
        <f>MIN(MIN(B408,Parameters!$B$2)^2, D407+Parameters!$B$24)</f>
        <v/>
      </c>
      <c r="E408">
        <f>MIN(D408, E409+Parameters!$B$24)</f>
        <v/>
      </c>
    </row>
    <row r="409">
      <c r="A409" t="n">
        <v>40.7</v>
      </c>
      <c r="B409" t="n">
        <v>25</v>
      </c>
      <c r="C409">
        <f>ROUND(SQRT(E409),2)</f>
        <v/>
      </c>
      <c r="D409">
        <f>MIN(MIN(B409,Parameters!$B$2)^2, D408+Parameters!$B$24)</f>
        <v/>
      </c>
      <c r="E409">
        <f>MIN(D409, E410+Parameters!$B$24)</f>
        <v/>
      </c>
    </row>
    <row r="410">
      <c r="A410" t="n">
        <v>40.8</v>
      </c>
      <c r="B410" t="n">
        <v>25</v>
      </c>
      <c r="C410">
        <f>ROUND(SQRT(E410),2)</f>
        <v/>
      </c>
      <c r="D410">
        <f>MIN(MIN(B410,Parameters!$B$2)^2, D409+Parameters!$B$24)</f>
        <v/>
      </c>
      <c r="E410">
        <f>MIN(D410, E411+Parameters!$B$24)</f>
        <v/>
      </c>
    </row>
    <row r="411">
      <c r="A411" t="n">
        <v>40.9</v>
      </c>
      <c r="B411" t="n">
        <v>25</v>
      </c>
      <c r="C411">
        <f>ROUND(SQRT(E411),2)</f>
        <v/>
      </c>
      <c r="D411">
        <f>MIN(MIN(B411,Parameters!$B$2)^2, D410+Parameters!$B$24)</f>
        <v/>
      </c>
      <c r="E411">
        <f>MIN(D411, E412+Parameters!$B$24)</f>
        <v/>
      </c>
    </row>
    <row r="412">
      <c r="A412" t="n">
        <v>41</v>
      </c>
      <c r="B412" t="n">
        <v>25</v>
      </c>
      <c r="C412">
        <f>ROUND(SQRT(E412),2)</f>
        <v/>
      </c>
      <c r="D412">
        <f>MIN(MIN(B412,Parameters!$B$2)^2, D411+Parameters!$B$24)</f>
        <v/>
      </c>
      <c r="E412">
        <f>MIN(D412, E413+Parameters!$B$24)</f>
        <v/>
      </c>
    </row>
    <row r="413">
      <c r="A413" t="n">
        <v>41.1</v>
      </c>
      <c r="B413" t="n">
        <v>25</v>
      </c>
      <c r="C413">
        <f>ROUND(SQRT(E413),2)</f>
        <v/>
      </c>
      <c r="D413">
        <f>MIN(MIN(B413,Parameters!$B$2)^2, D412+Parameters!$B$24)</f>
        <v/>
      </c>
      <c r="E413">
        <f>MIN(D413, E414+Parameters!$B$24)</f>
        <v/>
      </c>
    </row>
    <row r="414">
      <c r="A414" t="n">
        <v>41.2</v>
      </c>
      <c r="B414" t="n">
        <v>25</v>
      </c>
      <c r="C414">
        <f>ROUND(SQRT(E414),2)</f>
        <v/>
      </c>
      <c r="D414">
        <f>MIN(MIN(B414,Parameters!$B$2)^2, D413+Parameters!$B$24)</f>
        <v/>
      </c>
      <c r="E414">
        <f>MIN(D414, E415+Parameters!$B$24)</f>
        <v/>
      </c>
    </row>
    <row r="415">
      <c r="A415" t="n">
        <v>41.3</v>
      </c>
      <c r="B415" t="n">
        <v>25</v>
      </c>
      <c r="C415">
        <f>ROUND(SQRT(E415),2)</f>
        <v/>
      </c>
      <c r="D415">
        <f>MIN(MIN(B415,Parameters!$B$2)^2, D414+Parameters!$B$24)</f>
        <v/>
      </c>
      <c r="E415">
        <f>MIN(D415, E416+Parameters!$B$24)</f>
        <v/>
      </c>
    </row>
    <row r="416">
      <c r="A416" t="n">
        <v>41.4</v>
      </c>
      <c r="B416" t="n">
        <v>25</v>
      </c>
      <c r="C416">
        <f>ROUND(SQRT(E416),2)</f>
        <v/>
      </c>
      <c r="D416">
        <f>MIN(MIN(B416,Parameters!$B$2)^2, D415+Parameters!$B$24)</f>
        <v/>
      </c>
      <c r="E416">
        <f>MIN(D416, E417+Parameters!$B$24)</f>
        <v/>
      </c>
    </row>
    <row r="417">
      <c r="A417" t="n">
        <v>41.5</v>
      </c>
      <c r="B417" t="n">
        <v>25</v>
      </c>
      <c r="C417">
        <f>ROUND(SQRT(E417),2)</f>
        <v/>
      </c>
      <c r="D417">
        <f>MIN(MIN(B417,Parameters!$B$2)^2, D416+Parameters!$B$24)</f>
        <v/>
      </c>
      <c r="E417">
        <f>MIN(D417, E418+Parameters!$B$24)</f>
        <v/>
      </c>
    </row>
    <row r="418">
      <c r="A418" t="n">
        <v>41.6</v>
      </c>
      <c r="B418" t="n">
        <v>25</v>
      </c>
      <c r="C418">
        <f>ROUND(SQRT(E418),2)</f>
        <v/>
      </c>
      <c r="D418">
        <f>MIN(MIN(B418,Parameters!$B$2)^2, D417+Parameters!$B$24)</f>
        <v/>
      </c>
      <c r="E418">
        <f>MIN(D418, E419+Parameters!$B$24)</f>
        <v/>
      </c>
    </row>
    <row r="419">
      <c r="A419" t="n">
        <v>41.7</v>
      </c>
      <c r="B419" t="n">
        <v>25</v>
      </c>
      <c r="C419">
        <f>ROUND(SQRT(E419),2)</f>
        <v/>
      </c>
      <c r="D419">
        <f>MIN(MIN(B419,Parameters!$B$2)^2, D418+Parameters!$B$24)</f>
        <v/>
      </c>
      <c r="E419">
        <f>MIN(D419, E420+Parameters!$B$24)</f>
        <v/>
      </c>
    </row>
    <row r="420">
      <c r="A420" t="n">
        <v>41.8</v>
      </c>
      <c r="B420" t="n">
        <v>25</v>
      </c>
      <c r="C420">
        <f>ROUND(SQRT(E420),2)</f>
        <v/>
      </c>
      <c r="D420">
        <f>MIN(MIN(B420,Parameters!$B$2)^2, D419+Parameters!$B$24)</f>
        <v/>
      </c>
      <c r="E420">
        <f>MIN(D420, E421+Parameters!$B$24)</f>
        <v/>
      </c>
    </row>
    <row r="421">
      <c r="A421" t="n">
        <v>41.9</v>
      </c>
      <c r="B421" t="n">
        <v>25</v>
      </c>
      <c r="C421">
        <f>ROUND(SQRT(E421),2)</f>
        <v/>
      </c>
      <c r="D421">
        <f>MIN(MIN(B421,Parameters!$B$2)^2, D420+Parameters!$B$24)</f>
        <v/>
      </c>
      <c r="E421">
        <f>MIN(D421, E422+Parameters!$B$24)</f>
        <v/>
      </c>
    </row>
    <row r="422">
      <c r="A422" t="n">
        <v>42</v>
      </c>
      <c r="B422" t="n">
        <v>25</v>
      </c>
      <c r="C422">
        <f>ROUND(SQRT(E422),2)</f>
        <v/>
      </c>
      <c r="D422">
        <f>MIN(MIN(B422,Parameters!$B$2)^2, D421+Parameters!$B$24)</f>
        <v/>
      </c>
      <c r="E422">
        <f>MIN(D422, E423+Parameters!$B$24)</f>
        <v/>
      </c>
    </row>
    <row r="423">
      <c r="A423" t="n">
        <v>42.1</v>
      </c>
      <c r="B423" t="n">
        <v>25</v>
      </c>
      <c r="C423">
        <f>ROUND(SQRT(E423),2)</f>
        <v/>
      </c>
      <c r="D423">
        <f>MIN(MIN(B423,Parameters!$B$2)^2, D422+Parameters!$B$24)</f>
        <v/>
      </c>
      <c r="E423">
        <f>MIN(D423, E424+Parameters!$B$24)</f>
        <v/>
      </c>
    </row>
    <row r="424">
      <c r="A424" t="n">
        <v>42.2</v>
      </c>
      <c r="B424" t="n">
        <v>25</v>
      </c>
      <c r="C424">
        <f>ROUND(SQRT(E424),2)</f>
        <v/>
      </c>
      <c r="D424">
        <f>MIN(MIN(B424,Parameters!$B$2)^2, D423+Parameters!$B$24)</f>
        <v/>
      </c>
      <c r="E424">
        <f>MIN(D424, E425+Parameters!$B$24)</f>
        <v/>
      </c>
    </row>
    <row r="425">
      <c r="A425" t="n">
        <v>42.3</v>
      </c>
      <c r="B425" t="n">
        <v>25</v>
      </c>
      <c r="C425">
        <f>ROUND(SQRT(E425),2)</f>
        <v/>
      </c>
      <c r="D425">
        <f>MIN(MIN(B425,Parameters!$B$2)^2, D424+Parameters!$B$24)</f>
        <v/>
      </c>
      <c r="E425">
        <f>MIN(D425, E426+Parameters!$B$24)</f>
        <v/>
      </c>
    </row>
    <row r="426">
      <c r="A426" t="n">
        <v>42.4</v>
      </c>
      <c r="B426" t="n">
        <v>25</v>
      </c>
      <c r="C426">
        <f>ROUND(SQRT(E426),2)</f>
        <v/>
      </c>
      <c r="D426">
        <f>MIN(MIN(B426,Parameters!$B$2)^2, D425+Parameters!$B$24)</f>
        <v/>
      </c>
      <c r="E426">
        <f>MIN(D426, E427+Parameters!$B$24)</f>
        <v/>
      </c>
    </row>
    <row r="427">
      <c r="A427" t="n">
        <v>42.5</v>
      </c>
      <c r="B427" t="n">
        <v>25</v>
      </c>
      <c r="C427">
        <f>ROUND(SQRT(E427),2)</f>
        <v/>
      </c>
      <c r="D427">
        <f>MIN(MIN(B427,Parameters!$B$2)^2, D426+Parameters!$B$24)</f>
        <v/>
      </c>
      <c r="E427">
        <f>MIN(D427, E428+Parameters!$B$24)</f>
        <v/>
      </c>
    </row>
    <row r="428">
      <c r="A428" t="n">
        <v>42.6</v>
      </c>
      <c r="B428" t="n">
        <v>25</v>
      </c>
      <c r="C428">
        <f>ROUND(SQRT(E428),2)</f>
        <v/>
      </c>
      <c r="D428">
        <f>MIN(MIN(B428,Parameters!$B$2)^2, D427+Parameters!$B$24)</f>
        <v/>
      </c>
      <c r="E428">
        <f>MIN(D428, E429+Parameters!$B$24)</f>
        <v/>
      </c>
    </row>
    <row r="429">
      <c r="A429" t="n">
        <v>42.7</v>
      </c>
      <c r="B429" t="n">
        <v>25</v>
      </c>
      <c r="C429">
        <f>ROUND(SQRT(E429),2)</f>
        <v/>
      </c>
      <c r="D429">
        <f>MIN(MIN(B429,Parameters!$B$2)^2, D428+Parameters!$B$24)</f>
        <v/>
      </c>
      <c r="E429">
        <f>MIN(D429, E430+Parameters!$B$24)</f>
        <v/>
      </c>
    </row>
    <row r="430">
      <c r="A430" t="n">
        <v>42.8</v>
      </c>
      <c r="B430" t="n">
        <v>25</v>
      </c>
      <c r="C430">
        <f>ROUND(SQRT(E430),2)</f>
        <v/>
      </c>
      <c r="D430">
        <f>MIN(MIN(B430,Parameters!$B$2)^2, D429+Parameters!$B$24)</f>
        <v/>
      </c>
      <c r="E430">
        <f>MIN(D430, E431+Parameters!$B$24)</f>
        <v/>
      </c>
    </row>
    <row r="431">
      <c r="A431" t="n">
        <v>42.9</v>
      </c>
      <c r="B431" t="n">
        <v>25</v>
      </c>
      <c r="C431">
        <f>ROUND(SQRT(E431),2)</f>
        <v/>
      </c>
      <c r="D431">
        <f>MIN(MIN(B431,Parameters!$B$2)^2, D430+Parameters!$B$24)</f>
        <v/>
      </c>
      <c r="E431">
        <f>MIN(D431, E432+Parameters!$B$24)</f>
        <v/>
      </c>
    </row>
    <row r="432">
      <c r="A432" t="n">
        <v>43</v>
      </c>
      <c r="B432" t="n">
        <v>25</v>
      </c>
      <c r="C432">
        <f>ROUND(SQRT(E432),2)</f>
        <v/>
      </c>
      <c r="D432">
        <f>MIN(MIN(B432,Parameters!$B$2)^2, D431+Parameters!$B$24)</f>
        <v/>
      </c>
      <c r="E432">
        <f>MIN(D432, E433+Parameters!$B$24)</f>
        <v/>
      </c>
    </row>
    <row r="433">
      <c r="A433" t="n">
        <v>43.1</v>
      </c>
      <c r="B433" t="n">
        <v>25</v>
      </c>
      <c r="C433">
        <f>ROUND(SQRT(E433),2)</f>
        <v/>
      </c>
      <c r="D433">
        <f>MIN(MIN(B433,Parameters!$B$2)^2, D432+Parameters!$B$24)</f>
        <v/>
      </c>
      <c r="E433">
        <f>MIN(D433, E434+Parameters!$B$24)</f>
        <v/>
      </c>
    </row>
    <row r="434">
      <c r="A434" t="n">
        <v>43.2</v>
      </c>
      <c r="B434" t="n">
        <v>25</v>
      </c>
      <c r="C434">
        <f>ROUND(SQRT(E434),2)</f>
        <v/>
      </c>
      <c r="D434">
        <f>MIN(MIN(B434,Parameters!$B$2)^2, D433+Parameters!$B$24)</f>
        <v/>
      </c>
      <c r="E434">
        <f>MIN(D434, E435+Parameters!$B$24)</f>
        <v/>
      </c>
    </row>
    <row r="435">
      <c r="A435" t="n">
        <v>43.3</v>
      </c>
      <c r="B435" t="n">
        <v>25</v>
      </c>
      <c r="C435">
        <f>ROUND(SQRT(E435),2)</f>
        <v/>
      </c>
      <c r="D435">
        <f>MIN(MIN(B435,Parameters!$B$2)^2, D434+Parameters!$B$24)</f>
        <v/>
      </c>
      <c r="E435">
        <f>MIN(D435, E436+Parameters!$B$24)</f>
        <v/>
      </c>
    </row>
    <row r="436">
      <c r="A436" t="n">
        <v>43.4</v>
      </c>
      <c r="B436" t="n">
        <v>25</v>
      </c>
      <c r="C436">
        <f>ROUND(SQRT(E436),2)</f>
        <v/>
      </c>
      <c r="D436">
        <f>MIN(MIN(B436,Parameters!$B$2)^2, D435+Parameters!$B$24)</f>
        <v/>
      </c>
      <c r="E436">
        <f>MIN(D436, E437+Parameters!$B$24)</f>
        <v/>
      </c>
    </row>
    <row r="437">
      <c r="A437" t="n">
        <v>43.5</v>
      </c>
      <c r="B437" t="n">
        <v>25</v>
      </c>
      <c r="C437">
        <f>ROUND(SQRT(E437),2)</f>
        <v/>
      </c>
      <c r="D437">
        <f>MIN(MIN(B437,Parameters!$B$2)^2, D436+Parameters!$B$24)</f>
        <v/>
      </c>
      <c r="E437">
        <f>MIN(D437, E438+Parameters!$B$24)</f>
        <v/>
      </c>
    </row>
    <row r="438">
      <c r="A438" t="n">
        <v>43.6</v>
      </c>
      <c r="B438" t="n">
        <v>25</v>
      </c>
      <c r="C438">
        <f>ROUND(SQRT(E438),2)</f>
        <v/>
      </c>
      <c r="D438">
        <f>MIN(MIN(B438,Parameters!$B$2)^2, D437+Parameters!$B$24)</f>
        <v/>
      </c>
      <c r="E438">
        <f>MIN(D438, E439+Parameters!$B$24)</f>
        <v/>
      </c>
    </row>
    <row r="439">
      <c r="A439" t="n">
        <v>43.7</v>
      </c>
      <c r="B439" t="n">
        <v>25</v>
      </c>
      <c r="C439">
        <f>ROUND(SQRT(E439),2)</f>
        <v/>
      </c>
      <c r="D439">
        <f>MIN(MIN(B439,Parameters!$B$2)^2, D438+Parameters!$B$24)</f>
        <v/>
      </c>
      <c r="E439">
        <f>MIN(D439, E440+Parameters!$B$24)</f>
        <v/>
      </c>
    </row>
    <row r="440">
      <c r="A440" t="n">
        <v>43.8</v>
      </c>
      <c r="B440" t="n">
        <v>25</v>
      </c>
      <c r="C440">
        <f>ROUND(SQRT(E440),2)</f>
        <v/>
      </c>
      <c r="D440">
        <f>MIN(MIN(B440,Parameters!$B$2)^2, D439+Parameters!$B$24)</f>
        <v/>
      </c>
      <c r="E440">
        <f>MIN(D440, E441+Parameters!$B$24)</f>
        <v/>
      </c>
    </row>
    <row r="441">
      <c r="A441" t="n">
        <v>43.9</v>
      </c>
      <c r="B441" t="n">
        <v>25</v>
      </c>
      <c r="C441">
        <f>ROUND(SQRT(E441),2)</f>
        <v/>
      </c>
      <c r="D441">
        <f>MIN(MIN(B441,Parameters!$B$2)^2, D440+Parameters!$B$24)</f>
        <v/>
      </c>
      <c r="E441">
        <f>MIN(D441, E442+Parameters!$B$24)</f>
        <v/>
      </c>
    </row>
    <row r="442">
      <c r="A442" t="n">
        <v>44</v>
      </c>
      <c r="B442" t="n">
        <v>25</v>
      </c>
      <c r="C442">
        <f>ROUND(SQRT(E442),2)</f>
        <v/>
      </c>
      <c r="D442">
        <f>MIN(MIN(B442,Parameters!$B$2)^2, D441+Parameters!$B$24)</f>
        <v/>
      </c>
      <c r="E442">
        <f>MIN(D442, E443+Parameters!$B$24)</f>
        <v/>
      </c>
    </row>
    <row r="443">
      <c r="A443" t="n">
        <v>44.1</v>
      </c>
      <c r="B443" t="n">
        <v>25</v>
      </c>
      <c r="C443">
        <f>ROUND(SQRT(E443),2)</f>
        <v/>
      </c>
      <c r="D443">
        <f>MIN(MIN(B443,Parameters!$B$2)^2, D442+Parameters!$B$24)</f>
        <v/>
      </c>
      <c r="E443">
        <f>MIN(D443, E444+Parameters!$B$24)</f>
        <v/>
      </c>
    </row>
    <row r="444">
      <c r="A444" t="n">
        <v>44.2</v>
      </c>
      <c r="B444" t="n">
        <v>25</v>
      </c>
      <c r="C444">
        <f>ROUND(SQRT(E444),2)</f>
        <v/>
      </c>
      <c r="D444">
        <f>MIN(MIN(B444,Parameters!$B$2)^2, D443+Parameters!$B$24)</f>
        <v/>
      </c>
      <c r="E444">
        <f>MIN(D444, E445+Parameters!$B$24)</f>
        <v/>
      </c>
    </row>
    <row r="445">
      <c r="A445" t="n">
        <v>44.3</v>
      </c>
      <c r="B445" t="n">
        <v>25</v>
      </c>
      <c r="C445">
        <f>ROUND(SQRT(E445),2)</f>
        <v/>
      </c>
      <c r="D445">
        <f>MIN(MIN(B445,Parameters!$B$2)^2, D444+Parameters!$B$24)</f>
        <v/>
      </c>
      <c r="E445">
        <f>MIN(D445, E446+Parameters!$B$24)</f>
        <v/>
      </c>
    </row>
    <row r="446">
      <c r="A446" t="n">
        <v>44.4</v>
      </c>
      <c r="B446" t="n">
        <v>25</v>
      </c>
      <c r="C446">
        <f>ROUND(SQRT(E446),2)</f>
        <v/>
      </c>
      <c r="D446">
        <f>MIN(MIN(B446,Parameters!$B$2)^2, D445+Parameters!$B$24)</f>
        <v/>
      </c>
      <c r="E446">
        <f>MIN(D446, E447+Parameters!$B$24)</f>
        <v/>
      </c>
    </row>
    <row r="447">
      <c r="A447" t="n">
        <v>44.5</v>
      </c>
      <c r="B447" t="n">
        <v>25</v>
      </c>
      <c r="C447">
        <f>ROUND(SQRT(E447),2)</f>
        <v/>
      </c>
      <c r="D447">
        <f>MIN(MIN(B447,Parameters!$B$2)^2, D446+Parameters!$B$24)</f>
        <v/>
      </c>
      <c r="E447">
        <f>MIN(D447, E448+Parameters!$B$24)</f>
        <v/>
      </c>
    </row>
    <row r="448">
      <c r="A448" t="n">
        <v>44.6</v>
      </c>
      <c r="B448" t="n">
        <v>25</v>
      </c>
      <c r="C448">
        <f>ROUND(SQRT(E448),2)</f>
        <v/>
      </c>
      <c r="D448">
        <f>MIN(MIN(B448,Parameters!$B$2)^2, D447+Parameters!$B$24)</f>
        <v/>
      </c>
      <c r="E448">
        <f>MIN(D448, E449+Parameters!$B$24)</f>
        <v/>
      </c>
    </row>
    <row r="449">
      <c r="A449" t="n">
        <v>44.7</v>
      </c>
      <c r="B449" t="n">
        <v>25</v>
      </c>
      <c r="C449">
        <f>ROUND(SQRT(E449),2)</f>
        <v/>
      </c>
      <c r="D449">
        <f>MIN(MIN(B449,Parameters!$B$2)^2, D448+Parameters!$B$24)</f>
        <v/>
      </c>
      <c r="E449">
        <f>MIN(D449, E450+Parameters!$B$24)</f>
        <v/>
      </c>
    </row>
    <row r="450">
      <c r="A450" t="n">
        <v>44.8</v>
      </c>
      <c r="B450" t="n">
        <v>25</v>
      </c>
      <c r="C450">
        <f>ROUND(SQRT(E450),2)</f>
        <v/>
      </c>
      <c r="D450">
        <f>MIN(MIN(B450,Parameters!$B$2)^2, D449+Parameters!$B$24)</f>
        <v/>
      </c>
      <c r="E450">
        <f>MIN(D450, E451+Parameters!$B$24)</f>
        <v/>
      </c>
    </row>
    <row r="451">
      <c r="A451" t="n">
        <v>44.9</v>
      </c>
      <c r="B451" t="n">
        <v>25</v>
      </c>
      <c r="C451">
        <f>ROUND(SQRT(E451),2)</f>
        <v/>
      </c>
      <c r="D451">
        <f>MIN(MIN(B451,Parameters!$B$2)^2, D450+Parameters!$B$24)</f>
        <v/>
      </c>
      <c r="E451">
        <f>MIN(D451, E452+Parameters!$B$24)</f>
        <v/>
      </c>
    </row>
    <row r="452">
      <c r="A452" t="n">
        <v>45</v>
      </c>
      <c r="B452" t="n">
        <v>25</v>
      </c>
      <c r="C452">
        <f>ROUND(SQRT(E452),2)</f>
        <v/>
      </c>
      <c r="D452">
        <f>MIN(MIN(B452,Parameters!$B$2)^2, D451+Parameters!$B$24)</f>
        <v/>
      </c>
      <c r="E452">
        <f>MIN(D452, E453+Parameters!$B$24)</f>
        <v/>
      </c>
    </row>
    <row r="453">
      <c r="A453" t="n">
        <v>45.1</v>
      </c>
      <c r="B453" t="n">
        <v>25</v>
      </c>
      <c r="C453">
        <f>ROUND(SQRT(E453),2)</f>
        <v/>
      </c>
      <c r="D453">
        <f>MIN(MIN(B453,Parameters!$B$2)^2, D452+Parameters!$B$24)</f>
        <v/>
      </c>
      <c r="E453">
        <f>MIN(D453, E454+Parameters!$B$24)</f>
        <v/>
      </c>
    </row>
    <row r="454">
      <c r="A454" t="n">
        <v>45.2</v>
      </c>
      <c r="B454" t="n">
        <v>25</v>
      </c>
      <c r="C454">
        <f>ROUND(SQRT(E454),2)</f>
        <v/>
      </c>
      <c r="D454">
        <f>MIN(MIN(B454,Parameters!$B$2)^2, D453+Parameters!$B$24)</f>
        <v/>
      </c>
      <c r="E454">
        <f>MIN(D454, E455+Parameters!$B$24)</f>
        <v/>
      </c>
    </row>
    <row r="455">
      <c r="A455" t="n">
        <v>45.3</v>
      </c>
      <c r="B455" t="n">
        <v>25</v>
      </c>
      <c r="C455">
        <f>ROUND(SQRT(E455),2)</f>
        <v/>
      </c>
      <c r="D455">
        <f>MIN(MIN(B455,Parameters!$B$2)^2, D454+Parameters!$B$24)</f>
        <v/>
      </c>
      <c r="E455">
        <f>MIN(D455, E456+Parameters!$B$24)</f>
        <v/>
      </c>
    </row>
    <row r="456">
      <c r="A456" t="n">
        <v>45.4</v>
      </c>
      <c r="B456" t="n">
        <v>25</v>
      </c>
      <c r="C456">
        <f>ROUND(SQRT(E456),2)</f>
        <v/>
      </c>
      <c r="D456">
        <f>MIN(MIN(B456,Parameters!$B$2)^2, D455+Parameters!$B$24)</f>
        <v/>
      </c>
      <c r="E456">
        <f>MIN(D456, E457+Parameters!$B$24)</f>
        <v/>
      </c>
    </row>
    <row r="457">
      <c r="A457" t="n">
        <v>45.5</v>
      </c>
      <c r="B457" t="n">
        <v>25</v>
      </c>
      <c r="C457">
        <f>ROUND(SQRT(E457),2)</f>
        <v/>
      </c>
      <c r="D457">
        <f>MIN(MIN(B457,Parameters!$B$2)^2, D456+Parameters!$B$24)</f>
        <v/>
      </c>
      <c r="E457">
        <f>MIN(D457, E458+Parameters!$B$24)</f>
        <v/>
      </c>
    </row>
    <row r="458">
      <c r="A458" t="n">
        <v>45.6</v>
      </c>
      <c r="B458" t="n">
        <v>25</v>
      </c>
      <c r="C458">
        <f>ROUND(SQRT(E458),2)</f>
        <v/>
      </c>
      <c r="D458">
        <f>MIN(MIN(B458,Parameters!$B$2)^2, D457+Parameters!$B$24)</f>
        <v/>
      </c>
      <c r="E458">
        <f>MIN(D458, E459+Parameters!$B$24)</f>
        <v/>
      </c>
    </row>
    <row r="459">
      <c r="A459" t="n">
        <v>45.7</v>
      </c>
      <c r="B459" t="n">
        <v>25</v>
      </c>
      <c r="C459">
        <f>ROUND(SQRT(E459),2)</f>
        <v/>
      </c>
      <c r="D459">
        <f>MIN(MIN(B459,Parameters!$B$2)^2, D458+Parameters!$B$24)</f>
        <v/>
      </c>
      <c r="E459">
        <f>MIN(D459, E460+Parameters!$B$24)</f>
        <v/>
      </c>
    </row>
    <row r="460">
      <c r="A460" t="n">
        <v>45.8</v>
      </c>
      <c r="B460" t="n">
        <v>25</v>
      </c>
      <c r="C460">
        <f>ROUND(SQRT(E460),2)</f>
        <v/>
      </c>
      <c r="D460">
        <f>MIN(MIN(B460,Parameters!$B$2)^2, D459+Parameters!$B$24)</f>
        <v/>
      </c>
      <c r="E460">
        <f>MIN(D460, E461+Parameters!$B$24)</f>
        <v/>
      </c>
    </row>
    <row r="461">
      <c r="A461" t="n">
        <v>45.9</v>
      </c>
      <c r="B461" t="n">
        <v>25</v>
      </c>
      <c r="C461">
        <f>ROUND(SQRT(E461),2)</f>
        <v/>
      </c>
      <c r="D461">
        <f>MIN(MIN(B461,Parameters!$B$2)^2, D460+Parameters!$B$24)</f>
        <v/>
      </c>
      <c r="E461">
        <f>MIN(D461, E462+Parameters!$B$24)</f>
        <v/>
      </c>
    </row>
    <row r="462">
      <c r="A462" t="n">
        <v>46</v>
      </c>
      <c r="B462" t="n">
        <v>25</v>
      </c>
      <c r="C462">
        <f>ROUND(SQRT(E462),2)</f>
        <v/>
      </c>
      <c r="D462">
        <f>MIN(MIN(B462,Parameters!$B$2)^2, D461+Parameters!$B$24)</f>
        <v/>
      </c>
      <c r="E462">
        <f>MIN(D462, E463+Parameters!$B$24)</f>
        <v/>
      </c>
    </row>
    <row r="463">
      <c r="A463" t="n">
        <v>46.1</v>
      </c>
      <c r="B463" t="n">
        <v>25</v>
      </c>
      <c r="C463">
        <f>ROUND(SQRT(E463),2)</f>
        <v/>
      </c>
      <c r="D463">
        <f>MIN(MIN(B463,Parameters!$B$2)^2, D462+Parameters!$B$24)</f>
        <v/>
      </c>
      <c r="E463">
        <f>MIN(D463, E464+Parameters!$B$24)</f>
        <v/>
      </c>
    </row>
    <row r="464">
      <c r="A464" t="n">
        <v>46.2</v>
      </c>
      <c r="B464" t="n">
        <v>25</v>
      </c>
      <c r="C464">
        <f>ROUND(SQRT(E464),2)</f>
        <v/>
      </c>
      <c r="D464">
        <f>MIN(MIN(B464,Parameters!$B$2)^2, D463+Parameters!$B$24)</f>
        <v/>
      </c>
      <c r="E464">
        <f>MIN(D464, E465+Parameters!$B$24)</f>
        <v/>
      </c>
    </row>
    <row r="465">
      <c r="A465" t="n">
        <v>46.3</v>
      </c>
      <c r="B465" t="n">
        <v>25</v>
      </c>
      <c r="C465">
        <f>ROUND(SQRT(E465),2)</f>
        <v/>
      </c>
      <c r="D465">
        <f>MIN(MIN(B465,Parameters!$B$2)^2, D464+Parameters!$B$24)</f>
        <v/>
      </c>
      <c r="E465">
        <f>MIN(D465, E466+Parameters!$B$24)</f>
        <v/>
      </c>
    </row>
    <row r="466">
      <c r="A466" t="n">
        <v>46.4</v>
      </c>
      <c r="B466" t="n">
        <v>25</v>
      </c>
      <c r="C466">
        <f>ROUND(SQRT(E466),2)</f>
        <v/>
      </c>
      <c r="D466">
        <f>MIN(MIN(B466,Parameters!$B$2)^2, D465+Parameters!$B$24)</f>
        <v/>
      </c>
      <c r="E466">
        <f>MIN(D466, E467+Parameters!$B$24)</f>
        <v/>
      </c>
    </row>
    <row r="467">
      <c r="A467" t="n">
        <v>46.5</v>
      </c>
      <c r="B467" t="n">
        <v>25</v>
      </c>
      <c r="C467">
        <f>ROUND(SQRT(E467),2)</f>
        <v/>
      </c>
      <c r="D467">
        <f>MIN(MIN(B467,Parameters!$B$2)^2, D466+Parameters!$B$24)</f>
        <v/>
      </c>
      <c r="E467">
        <f>MIN(D467, E468+Parameters!$B$24)</f>
        <v/>
      </c>
    </row>
    <row r="468">
      <c r="A468" t="n">
        <v>46.6</v>
      </c>
      <c r="B468" t="n">
        <v>25</v>
      </c>
      <c r="C468">
        <f>ROUND(SQRT(E468),2)</f>
        <v/>
      </c>
      <c r="D468">
        <f>MIN(MIN(B468,Parameters!$B$2)^2, D467+Parameters!$B$24)</f>
        <v/>
      </c>
      <c r="E468">
        <f>MIN(D468, E469+Parameters!$B$24)</f>
        <v/>
      </c>
    </row>
    <row r="469">
      <c r="A469" t="n">
        <v>46.7</v>
      </c>
      <c r="B469" t="n">
        <v>25</v>
      </c>
      <c r="C469">
        <f>ROUND(SQRT(E469),2)</f>
        <v/>
      </c>
      <c r="D469">
        <f>MIN(MIN(B469,Parameters!$B$2)^2, D468+Parameters!$B$24)</f>
        <v/>
      </c>
      <c r="E469">
        <f>MIN(D469, E470+Parameters!$B$24)</f>
        <v/>
      </c>
    </row>
    <row r="470">
      <c r="A470" t="n">
        <v>46.8</v>
      </c>
      <c r="B470" t="n">
        <v>25</v>
      </c>
      <c r="C470">
        <f>ROUND(SQRT(E470),2)</f>
        <v/>
      </c>
      <c r="D470">
        <f>MIN(MIN(B470,Parameters!$B$2)^2, D469+Parameters!$B$24)</f>
        <v/>
      </c>
      <c r="E470">
        <f>MIN(D470, E471+Parameters!$B$24)</f>
        <v/>
      </c>
    </row>
    <row r="471">
      <c r="A471" t="n">
        <v>46.9</v>
      </c>
      <c r="B471" t="n">
        <v>25</v>
      </c>
      <c r="C471">
        <f>ROUND(SQRT(E471),2)</f>
        <v/>
      </c>
      <c r="D471">
        <f>MIN(MIN(B471,Parameters!$B$2)^2, D470+Parameters!$B$24)</f>
        <v/>
      </c>
      <c r="E471">
        <f>MIN(D471, E472+Parameters!$B$24)</f>
        <v/>
      </c>
    </row>
    <row r="472">
      <c r="A472" t="n">
        <v>47</v>
      </c>
      <c r="B472" t="n">
        <v>25</v>
      </c>
      <c r="C472">
        <f>ROUND(SQRT(E472),2)</f>
        <v/>
      </c>
      <c r="D472">
        <f>MIN(MIN(B472,Parameters!$B$2)^2, D471+Parameters!$B$24)</f>
        <v/>
      </c>
      <c r="E472">
        <f>MIN(D472, E473+Parameters!$B$24)</f>
        <v/>
      </c>
    </row>
    <row r="473">
      <c r="A473" t="n">
        <v>47.1</v>
      </c>
      <c r="B473" t="n">
        <v>25</v>
      </c>
      <c r="C473">
        <f>ROUND(SQRT(E473),2)</f>
        <v/>
      </c>
      <c r="D473">
        <f>MIN(MIN(B473,Parameters!$B$2)^2, D472+Parameters!$B$24)</f>
        <v/>
      </c>
      <c r="E473">
        <f>MIN(D473, E474+Parameters!$B$24)</f>
        <v/>
      </c>
    </row>
    <row r="474">
      <c r="A474" t="n">
        <v>47.2</v>
      </c>
      <c r="B474" t="n">
        <v>25</v>
      </c>
      <c r="C474">
        <f>ROUND(SQRT(E474),2)</f>
        <v/>
      </c>
      <c r="D474">
        <f>MIN(MIN(B474,Parameters!$B$2)^2, D473+Parameters!$B$24)</f>
        <v/>
      </c>
      <c r="E474">
        <f>MIN(D474, E475+Parameters!$B$24)</f>
        <v/>
      </c>
    </row>
    <row r="475">
      <c r="A475" t="n">
        <v>47.3</v>
      </c>
      <c r="B475" t="n">
        <v>25</v>
      </c>
      <c r="C475">
        <f>ROUND(SQRT(E475),2)</f>
        <v/>
      </c>
      <c r="D475">
        <f>MIN(MIN(B475,Parameters!$B$2)^2, D474+Parameters!$B$24)</f>
        <v/>
      </c>
      <c r="E475">
        <f>MIN(D475, E476+Parameters!$B$24)</f>
        <v/>
      </c>
    </row>
    <row r="476">
      <c r="A476" t="n">
        <v>47.4</v>
      </c>
      <c r="B476" t="n">
        <v>25</v>
      </c>
      <c r="C476">
        <f>ROUND(SQRT(E476),2)</f>
        <v/>
      </c>
      <c r="D476">
        <f>MIN(MIN(B476,Parameters!$B$2)^2, D475+Parameters!$B$24)</f>
        <v/>
      </c>
      <c r="E476">
        <f>MIN(D476, E477+Parameters!$B$24)</f>
        <v/>
      </c>
    </row>
    <row r="477">
      <c r="A477" t="n">
        <v>47.5</v>
      </c>
      <c r="B477" t="n">
        <v>25</v>
      </c>
      <c r="C477">
        <f>ROUND(SQRT(E477),2)</f>
        <v/>
      </c>
      <c r="D477">
        <f>MIN(MIN(B477,Parameters!$B$2)^2, D476+Parameters!$B$24)</f>
        <v/>
      </c>
      <c r="E477">
        <f>MIN(D477, E478+Parameters!$B$24)</f>
        <v/>
      </c>
    </row>
    <row r="478">
      <c r="A478" t="n">
        <v>47.6</v>
      </c>
      <c r="B478" t="n">
        <v>25</v>
      </c>
      <c r="C478">
        <f>ROUND(SQRT(E478),2)</f>
        <v/>
      </c>
      <c r="D478">
        <f>MIN(MIN(B478,Parameters!$B$2)^2, D477+Parameters!$B$24)</f>
        <v/>
      </c>
      <c r="E478">
        <f>MIN(D478, E479+Parameters!$B$24)</f>
        <v/>
      </c>
    </row>
    <row r="479">
      <c r="A479" t="n">
        <v>47.7</v>
      </c>
      <c r="B479" t="n">
        <v>25</v>
      </c>
      <c r="C479">
        <f>ROUND(SQRT(E479),2)</f>
        <v/>
      </c>
      <c r="D479">
        <f>MIN(MIN(B479,Parameters!$B$2)^2, D478+Parameters!$B$24)</f>
        <v/>
      </c>
      <c r="E479">
        <f>MIN(D479, E480+Parameters!$B$24)</f>
        <v/>
      </c>
    </row>
    <row r="480">
      <c r="A480" t="n">
        <v>47.8</v>
      </c>
      <c r="B480" t="n">
        <v>25</v>
      </c>
      <c r="C480">
        <f>ROUND(SQRT(E480),2)</f>
        <v/>
      </c>
      <c r="D480">
        <f>MIN(MIN(B480,Parameters!$B$2)^2, D479+Parameters!$B$24)</f>
        <v/>
      </c>
      <c r="E480">
        <f>MIN(D480, E481+Parameters!$B$24)</f>
        <v/>
      </c>
    </row>
    <row r="481">
      <c r="A481" t="n">
        <v>47.9</v>
      </c>
      <c r="B481" t="n">
        <v>25</v>
      </c>
      <c r="C481">
        <f>ROUND(SQRT(E481),2)</f>
        <v/>
      </c>
      <c r="D481">
        <f>MIN(MIN(B481,Parameters!$B$2)^2, D480+Parameters!$B$24)</f>
        <v/>
      </c>
      <c r="E481">
        <f>MIN(D481, E482+Parameters!$B$24)</f>
        <v/>
      </c>
    </row>
    <row r="482">
      <c r="A482" t="n">
        <v>48</v>
      </c>
      <c r="B482" t="n">
        <v>25</v>
      </c>
      <c r="C482">
        <f>ROUND(SQRT(E482),2)</f>
        <v/>
      </c>
      <c r="D482">
        <f>MIN(MIN(B482,Parameters!$B$2)^2, D481+Parameters!$B$24)</f>
        <v/>
      </c>
      <c r="E482">
        <f>MIN(D482, E483+Parameters!$B$24)</f>
        <v/>
      </c>
    </row>
    <row r="483">
      <c r="A483" t="n">
        <v>48.1</v>
      </c>
      <c r="B483" t="n">
        <v>25</v>
      </c>
      <c r="C483">
        <f>ROUND(SQRT(E483),2)</f>
        <v/>
      </c>
      <c r="D483">
        <f>MIN(MIN(B483,Parameters!$B$2)^2, D482+Parameters!$B$24)</f>
        <v/>
      </c>
      <c r="E483">
        <f>MIN(D483, E484+Parameters!$B$24)</f>
        <v/>
      </c>
    </row>
    <row r="484">
      <c r="A484" t="n">
        <v>48.2</v>
      </c>
      <c r="B484" t="n">
        <v>25</v>
      </c>
      <c r="C484">
        <f>ROUND(SQRT(E484),2)</f>
        <v/>
      </c>
      <c r="D484">
        <f>MIN(MIN(B484,Parameters!$B$2)^2, D483+Parameters!$B$24)</f>
        <v/>
      </c>
      <c r="E484">
        <f>MIN(D484, E485+Parameters!$B$24)</f>
        <v/>
      </c>
    </row>
    <row r="485">
      <c r="A485" t="n">
        <v>48.3</v>
      </c>
      <c r="B485" t="n">
        <v>25</v>
      </c>
      <c r="C485">
        <f>ROUND(SQRT(E485),2)</f>
        <v/>
      </c>
      <c r="D485">
        <f>MIN(MIN(B485,Parameters!$B$2)^2, D484+Parameters!$B$24)</f>
        <v/>
      </c>
      <c r="E485">
        <f>MIN(D485, E486+Parameters!$B$24)</f>
        <v/>
      </c>
    </row>
    <row r="486">
      <c r="A486" t="n">
        <v>48.4</v>
      </c>
      <c r="B486" t="n">
        <v>25</v>
      </c>
      <c r="C486">
        <f>ROUND(SQRT(E486),2)</f>
        <v/>
      </c>
      <c r="D486">
        <f>MIN(MIN(B486,Parameters!$B$2)^2, D485+Parameters!$B$24)</f>
        <v/>
      </c>
      <c r="E486">
        <f>MIN(D486, E487+Parameters!$B$24)</f>
        <v/>
      </c>
    </row>
    <row r="487">
      <c r="A487" t="n">
        <v>48.5</v>
      </c>
      <c r="B487" t="n">
        <v>25</v>
      </c>
      <c r="C487">
        <f>ROUND(SQRT(E487),2)</f>
        <v/>
      </c>
      <c r="D487">
        <f>MIN(MIN(B487,Parameters!$B$2)^2, D486+Parameters!$B$24)</f>
        <v/>
      </c>
      <c r="E487">
        <f>MIN(D487, E488+Parameters!$B$24)</f>
        <v/>
      </c>
    </row>
    <row r="488">
      <c r="A488" t="n">
        <v>48.6</v>
      </c>
      <c r="B488" t="n">
        <v>25</v>
      </c>
      <c r="C488">
        <f>ROUND(SQRT(E488),2)</f>
        <v/>
      </c>
      <c r="D488">
        <f>MIN(MIN(B488,Parameters!$B$2)^2, D487+Parameters!$B$24)</f>
        <v/>
      </c>
      <c r="E488">
        <f>MIN(D488, E489+Parameters!$B$24)</f>
        <v/>
      </c>
    </row>
    <row r="489">
      <c r="A489" t="n">
        <v>48.7</v>
      </c>
      <c r="B489" t="n">
        <v>25</v>
      </c>
      <c r="C489">
        <f>ROUND(SQRT(E489),2)</f>
        <v/>
      </c>
      <c r="D489">
        <f>MIN(MIN(B489,Parameters!$B$2)^2, D488+Parameters!$B$24)</f>
        <v/>
      </c>
      <c r="E489">
        <f>MIN(D489, E490+Parameters!$B$24)</f>
        <v/>
      </c>
    </row>
    <row r="490">
      <c r="A490" t="n">
        <v>48.8</v>
      </c>
      <c r="B490" t="n">
        <v>25</v>
      </c>
      <c r="C490">
        <f>ROUND(SQRT(E490),2)</f>
        <v/>
      </c>
      <c r="D490">
        <f>MIN(MIN(B490,Parameters!$B$2)^2, D489+Parameters!$B$24)</f>
        <v/>
      </c>
      <c r="E490">
        <f>MIN(D490, E491+Parameters!$B$24)</f>
        <v/>
      </c>
    </row>
    <row r="491">
      <c r="A491" t="n">
        <v>48.9</v>
      </c>
      <c r="B491" t="n">
        <v>25</v>
      </c>
      <c r="C491">
        <f>ROUND(SQRT(E491),2)</f>
        <v/>
      </c>
      <c r="D491">
        <f>MIN(MIN(B491,Parameters!$B$2)^2, D490+Parameters!$B$24)</f>
        <v/>
      </c>
      <c r="E491">
        <f>MIN(D491, E492+Parameters!$B$24)</f>
        <v/>
      </c>
    </row>
    <row r="492">
      <c r="A492" t="n">
        <v>49</v>
      </c>
      <c r="B492" t="n">
        <v>10</v>
      </c>
      <c r="C492">
        <f>ROUND(SQRT(E492),2)</f>
        <v/>
      </c>
      <c r="D492">
        <f>MIN(MIN(B492,Parameters!$B$2)^2, D491+Parameters!$B$24)</f>
        <v/>
      </c>
      <c r="E492">
        <f>MIN(D492, E493+Parameters!$B$24)</f>
        <v/>
      </c>
    </row>
    <row r="493">
      <c r="A493" t="n">
        <v>49.1</v>
      </c>
      <c r="B493" t="n">
        <v>10</v>
      </c>
      <c r="C493">
        <f>ROUND(SQRT(E493),2)</f>
        <v/>
      </c>
      <c r="D493">
        <f>MIN(MIN(B493,Parameters!$B$2)^2, D492+Parameters!$B$24)</f>
        <v/>
      </c>
      <c r="E493">
        <f>MIN(D493, E494+Parameters!$B$24)</f>
        <v/>
      </c>
    </row>
    <row r="494">
      <c r="A494" t="n">
        <v>49.2</v>
      </c>
      <c r="B494" t="n">
        <v>10</v>
      </c>
      <c r="C494">
        <f>ROUND(SQRT(E494),2)</f>
        <v/>
      </c>
      <c r="D494">
        <f>MIN(MIN(B494,Parameters!$B$2)^2, D493+Parameters!$B$24)</f>
        <v/>
      </c>
      <c r="E494">
        <f>MIN(D494, E495+Parameters!$B$24)</f>
        <v/>
      </c>
    </row>
    <row r="495">
      <c r="A495" t="n">
        <v>49.3</v>
      </c>
      <c r="B495" t="n">
        <v>10</v>
      </c>
      <c r="C495">
        <f>ROUND(SQRT(E495),2)</f>
        <v/>
      </c>
      <c r="D495">
        <f>MIN(MIN(B495,Parameters!$B$2)^2, D494+Parameters!$B$24)</f>
        <v/>
      </c>
      <c r="E495">
        <f>MIN(D495, E496+Parameters!$B$24)</f>
        <v/>
      </c>
    </row>
    <row r="496">
      <c r="A496" t="n">
        <v>49.4</v>
      </c>
      <c r="B496" t="n">
        <v>10</v>
      </c>
      <c r="C496">
        <f>ROUND(SQRT(E496),2)</f>
        <v/>
      </c>
      <c r="D496">
        <f>MIN(MIN(B496,Parameters!$B$2)^2, D495+Parameters!$B$24)</f>
        <v/>
      </c>
      <c r="E496">
        <f>MIN(D496, E497+Parameters!$B$24)</f>
        <v/>
      </c>
    </row>
    <row r="497">
      <c r="A497" t="n">
        <v>49.5</v>
      </c>
      <c r="B497" t="n">
        <v>10</v>
      </c>
      <c r="C497">
        <f>ROUND(SQRT(E497),2)</f>
        <v/>
      </c>
      <c r="D497">
        <f>MIN(MIN(B497,Parameters!$B$2)^2, D496+Parameters!$B$24)</f>
        <v/>
      </c>
      <c r="E497">
        <f>MIN(D497, E498+Parameters!$B$24)</f>
        <v/>
      </c>
    </row>
    <row r="498">
      <c r="A498" t="n">
        <v>49.6</v>
      </c>
      <c r="B498" t="n">
        <v>10</v>
      </c>
      <c r="C498">
        <f>ROUND(SQRT(E498),2)</f>
        <v/>
      </c>
      <c r="D498">
        <f>MIN(MIN(B498,Parameters!$B$2)^2, D497+Parameters!$B$24)</f>
        <v/>
      </c>
      <c r="E498">
        <f>MIN(D498, E499+Parameters!$B$24)</f>
        <v/>
      </c>
    </row>
    <row r="499">
      <c r="A499" t="n">
        <v>49.7</v>
      </c>
      <c r="B499" t="n">
        <v>10</v>
      </c>
      <c r="C499">
        <f>ROUND(SQRT(E499),2)</f>
        <v/>
      </c>
      <c r="D499">
        <f>MIN(MIN(B499,Parameters!$B$2)^2, D498+Parameters!$B$24)</f>
        <v/>
      </c>
      <c r="E499">
        <f>MIN(D499, E500+Parameters!$B$24)</f>
        <v/>
      </c>
    </row>
    <row r="500">
      <c r="A500" t="n">
        <v>49.8</v>
      </c>
      <c r="B500" t="n">
        <v>10</v>
      </c>
      <c r="C500">
        <f>ROUND(SQRT(E500),2)</f>
        <v/>
      </c>
      <c r="D500">
        <f>MIN(MIN(B500,Parameters!$B$2)^2, D499+Parameters!$B$24)</f>
        <v/>
      </c>
      <c r="E500">
        <f>MIN(D500, E501+Parameters!$B$24)</f>
        <v/>
      </c>
    </row>
    <row r="501">
      <c r="A501" t="n">
        <v>49.9</v>
      </c>
      <c r="B501" t="n">
        <v>10</v>
      </c>
      <c r="C501">
        <f>ROUND(SQRT(E501),2)</f>
        <v/>
      </c>
      <c r="D501">
        <f>MIN(MIN(B501,Parameters!$B$2)^2, D500+Parameters!$B$24)</f>
        <v/>
      </c>
      <c r="E501">
        <f>MIN(D501, E502+Parameters!$B$24)</f>
        <v/>
      </c>
    </row>
    <row r="502">
      <c r="A502" t="n">
        <v>50</v>
      </c>
      <c r="B502" t="n">
        <v>10</v>
      </c>
      <c r="C502">
        <f>ROUND(SQRT(E502),2)</f>
        <v/>
      </c>
      <c r="D502">
        <f>MIN(MIN(B502,Parameters!$B$2)^2, D501+Parameters!$B$24)</f>
        <v/>
      </c>
      <c r="E502">
        <f>MIN(D502, E503+Parameters!$B$24)</f>
        <v/>
      </c>
    </row>
    <row r="503">
      <c r="A503" t="n">
        <v>50.1</v>
      </c>
      <c r="B503" t="n">
        <v>10</v>
      </c>
      <c r="C503">
        <f>ROUND(SQRT(E503),2)</f>
        <v/>
      </c>
      <c r="D503">
        <f>MIN(MIN(B503,Parameters!$B$2)^2, D502+Parameters!$B$24)</f>
        <v/>
      </c>
      <c r="E503">
        <f>MIN(D503, E504+Parameters!$B$24)</f>
        <v/>
      </c>
    </row>
    <row r="504">
      <c r="A504" t="n">
        <v>50.2</v>
      </c>
      <c r="B504" t="n">
        <v>10</v>
      </c>
      <c r="C504">
        <f>ROUND(SQRT(E504),2)</f>
        <v/>
      </c>
      <c r="D504">
        <f>MIN(MIN(B504,Parameters!$B$2)^2, D503+Parameters!$B$24)</f>
        <v/>
      </c>
      <c r="E504">
        <f>MIN(D504, E505+Parameters!$B$24)</f>
        <v/>
      </c>
    </row>
    <row r="505">
      <c r="A505" t="n">
        <v>50.3</v>
      </c>
      <c r="B505" t="n">
        <v>10</v>
      </c>
      <c r="C505">
        <f>ROUND(SQRT(E505),2)</f>
        <v/>
      </c>
      <c r="D505">
        <f>MIN(MIN(B505,Parameters!$B$2)^2, D504+Parameters!$B$24)</f>
        <v/>
      </c>
      <c r="E505">
        <f>MIN(D505, E506+Parameters!$B$24)</f>
        <v/>
      </c>
    </row>
    <row r="506">
      <c r="A506" t="n">
        <v>50.4</v>
      </c>
      <c r="B506" t="n">
        <v>10</v>
      </c>
      <c r="C506">
        <f>ROUND(SQRT(E506),2)</f>
        <v/>
      </c>
      <c r="D506">
        <f>MIN(MIN(B506,Parameters!$B$2)^2, D505+Parameters!$B$24)</f>
        <v/>
      </c>
      <c r="E506">
        <f>MIN(D506, E507+Parameters!$B$24)</f>
        <v/>
      </c>
    </row>
    <row r="507">
      <c r="A507" t="n">
        <v>50.5</v>
      </c>
      <c r="B507" t="n">
        <v>10</v>
      </c>
      <c r="C507">
        <f>ROUND(SQRT(E507),2)</f>
        <v/>
      </c>
      <c r="D507">
        <f>MIN(MIN(B507,Parameters!$B$2)^2, D506+Parameters!$B$24)</f>
        <v/>
      </c>
      <c r="E507">
        <f>MIN(D507, E508+Parameters!$B$24)</f>
        <v/>
      </c>
    </row>
    <row r="508">
      <c r="A508" t="n">
        <v>50.6</v>
      </c>
      <c r="B508" t="n">
        <v>10</v>
      </c>
      <c r="C508">
        <f>ROUND(SQRT(E508),2)</f>
        <v/>
      </c>
      <c r="D508">
        <f>MIN(MIN(B508,Parameters!$B$2)^2, D507+Parameters!$B$24)</f>
        <v/>
      </c>
      <c r="E508">
        <f>MIN(D508, E509+Parameters!$B$24)</f>
        <v/>
      </c>
    </row>
    <row r="509">
      <c r="A509" t="n">
        <v>50.7</v>
      </c>
      <c r="B509" t="n">
        <v>10</v>
      </c>
      <c r="C509">
        <f>ROUND(SQRT(E509),2)</f>
        <v/>
      </c>
      <c r="D509">
        <f>MIN(MIN(B509,Parameters!$B$2)^2, D508+Parameters!$B$24)</f>
        <v/>
      </c>
      <c r="E509">
        <f>MIN(D509, E510+Parameters!$B$24)</f>
        <v/>
      </c>
    </row>
    <row r="510">
      <c r="A510" t="n">
        <v>50.8</v>
      </c>
      <c r="B510" t="n">
        <v>10</v>
      </c>
      <c r="C510">
        <f>ROUND(SQRT(E510),2)</f>
        <v/>
      </c>
      <c r="D510">
        <f>MIN(MIN(B510,Parameters!$B$2)^2, D509+Parameters!$B$24)</f>
        <v/>
      </c>
      <c r="E510">
        <f>MIN(D510, E511+Parameters!$B$24)</f>
        <v/>
      </c>
    </row>
    <row r="511">
      <c r="A511" t="n">
        <v>50.9</v>
      </c>
      <c r="B511" t="n">
        <v>10</v>
      </c>
      <c r="C511">
        <f>ROUND(SQRT(E511),2)</f>
        <v/>
      </c>
      <c r="D511">
        <f>MIN(MIN(B511,Parameters!$B$2)^2, D510+Parameters!$B$24)</f>
        <v/>
      </c>
      <c r="E511">
        <f>MIN(D511, E512+Parameters!$B$24)</f>
        <v/>
      </c>
    </row>
    <row r="512">
      <c r="A512" t="n">
        <v>51</v>
      </c>
      <c r="B512" t="n">
        <v>10</v>
      </c>
      <c r="C512">
        <f>ROUND(SQRT(E512),2)</f>
        <v/>
      </c>
      <c r="D512">
        <f>MIN(MIN(B512,Parameters!$B$2)^2, D511+Parameters!$B$24)</f>
        <v/>
      </c>
      <c r="E512">
        <f>MIN(D512, E513+Parameters!$B$24)</f>
        <v/>
      </c>
    </row>
    <row r="513">
      <c r="A513" t="n">
        <v>51.1</v>
      </c>
      <c r="B513" t="n">
        <v>10</v>
      </c>
      <c r="C513">
        <f>ROUND(SQRT(E513),2)</f>
        <v/>
      </c>
      <c r="D513">
        <f>MIN(MIN(B513,Parameters!$B$2)^2, D512+Parameters!$B$24)</f>
        <v/>
      </c>
      <c r="E513">
        <f>MIN(D513, E514+Parameters!$B$24)</f>
        <v/>
      </c>
    </row>
    <row r="514">
      <c r="A514" t="n">
        <v>51.2</v>
      </c>
      <c r="B514" t="n">
        <v>10</v>
      </c>
      <c r="C514">
        <f>ROUND(SQRT(E514),2)</f>
        <v/>
      </c>
      <c r="D514">
        <f>MIN(MIN(B514,Parameters!$B$2)^2, D513+Parameters!$B$24)</f>
        <v/>
      </c>
      <c r="E514">
        <f>MIN(D514, E515+Parameters!$B$24)</f>
        <v/>
      </c>
    </row>
    <row r="515">
      <c r="A515" t="n">
        <v>51.3</v>
      </c>
      <c r="B515" t="n">
        <v>10</v>
      </c>
      <c r="C515">
        <f>ROUND(SQRT(E515),2)</f>
        <v/>
      </c>
      <c r="D515">
        <f>MIN(MIN(B515,Parameters!$B$2)^2, D514+Parameters!$B$24)</f>
        <v/>
      </c>
      <c r="E515">
        <f>MIN(D515, E516+Parameters!$B$24)</f>
        <v/>
      </c>
    </row>
    <row r="516">
      <c r="A516" t="n">
        <v>51.4</v>
      </c>
      <c r="B516" t="n">
        <v>10</v>
      </c>
      <c r="C516">
        <f>ROUND(SQRT(E516),2)</f>
        <v/>
      </c>
      <c r="D516">
        <f>MIN(MIN(B516,Parameters!$B$2)^2, D515+Parameters!$B$24)</f>
        <v/>
      </c>
      <c r="E516">
        <f>MIN(D516, E517+Parameters!$B$24)</f>
        <v/>
      </c>
    </row>
    <row r="517">
      <c r="A517" t="n">
        <v>51.5</v>
      </c>
      <c r="B517" t="n">
        <v>10</v>
      </c>
      <c r="C517">
        <f>ROUND(SQRT(E517),2)</f>
        <v/>
      </c>
      <c r="D517">
        <f>MIN(MIN(B517,Parameters!$B$2)^2, D516+Parameters!$B$24)</f>
        <v/>
      </c>
      <c r="E517">
        <f>MIN(D517, E518+Parameters!$B$24)</f>
        <v/>
      </c>
    </row>
    <row r="518">
      <c r="A518" t="n">
        <v>51.6</v>
      </c>
      <c r="B518" t="n">
        <v>10</v>
      </c>
      <c r="C518">
        <f>ROUND(SQRT(E518),2)</f>
        <v/>
      </c>
      <c r="D518">
        <f>MIN(MIN(B518,Parameters!$B$2)^2, D517+Parameters!$B$24)</f>
        <v/>
      </c>
      <c r="E518">
        <f>MIN(D518, E519+Parameters!$B$24)</f>
        <v/>
      </c>
    </row>
    <row r="519">
      <c r="A519" t="n">
        <v>51.7</v>
      </c>
      <c r="B519" t="n">
        <v>10</v>
      </c>
      <c r="C519">
        <f>ROUND(SQRT(E519),2)</f>
        <v/>
      </c>
      <c r="D519">
        <f>MIN(MIN(B519,Parameters!$B$2)^2, D518+Parameters!$B$24)</f>
        <v/>
      </c>
      <c r="E519">
        <f>MIN(D519, E520+Parameters!$B$24)</f>
        <v/>
      </c>
    </row>
    <row r="520">
      <c r="A520" t="n">
        <v>51.8</v>
      </c>
      <c r="B520" t="n">
        <v>10</v>
      </c>
      <c r="C520">
        <f>ROUND(SQRT(E520),2)</f>
        <v/>
      </c>
      <c r="D520">
        <f>MIN(MIN(B520,Parameters!$B$2)^2, D519+Parameters!$B$24)</f>
        <v/>
      </c>
      <c r="E520">
        <f>MIN(D520, E521+Parameters!$B$24)</f>
        <v/>
      </c>
    </row>
    <row r="521">
      <c r="A521" t="n">
        <v>51.9</v>
      </c>
      <c r="B521" t="n">
        <v>10</v>
      </c>
      <c r="C521">
        <f>ROUND(SQRT(E521),2)</f>
        <v/>
      </c>
      <c r="D521">
        <f>MIN(MIN(B521,Parameters!$B$2)^2, D520+Parameters!$B$24)</f>
        <v/>
      </c>
      <c r="E521">
        <f>MIN(D521, E522+Parameters!$B$24)</f>
        <v/>
      </c>
    </row>
    <row r="522">
      <c r="A522" t="n">
        <v>52</v>
      </c>
      <c r="B522" t="n">
        <v>10</v>
      </c>
      <c r="C522">
        <f>ROUND(SQRT(E522),2)</f>
        <v/>
      </c>
      <c r="D522">
        <f>MIN(MIN(B522,Parameters!$B$2)^2, D521+Parameters!$B$24)</f>
        <v/>
      </c>
      <c r="E522">
        <f>MIN(D522, E523+Parameters!$B$24)</f>
        <v/>
      </c>
    </row>
    <row r="523">
      <c r="A523" t="n">
        <v>52.1</v>
      </c>
      <c r="B523" t="n">
        <v>10</v>
      </c>
      <c r="C523">
        <f>ROUND(SQRT(E523),2)</f>
        <v/>
      </c>
      <c r="D523">
        <f>MIN(MIN(B523,Parameters!$B$2)^2, D522+Parameters!$B$24)</f>
        <v/>
      </c>
      <c r="E523">
        <f>MIN(D523, E524+Parameters!$B$24)</f>
        <v/>
      </c>
    </row>
    <row r="524">
      <c r="A524" t="n">
        <v>52.2</v>
      </c>
      <c r="B524" t="n">
        <v>10</v>
      </c>
      <c r="C524">
        <f>ROUND(SQRT(E524),2)</f>
        <v/>
      </c>
      <c r="D524">
        <f>MIN(MIN(B524,Parameters!$B$2)^2, D523+Parameters!$B$24)</f>
        <v/>
      </c>
      <c r="E524">
        <f>MIN(D524, E525+Parameters!$B$24)</f>
        <v/>
      </c>
    </row>
    <row r="525">
      <c r="A525" t="n">
        <v>52.3</v>
      </c>
      <c r="B525" t="n">
        <v>10</v>
      </c>
      <c r="C525">
        <f>ROUND(SQRT(E525),2)</f>
        <v/>
      </c>
      <c r="D525">
        <f>MIN(MIN(B525,Parameters!$B$2)^2, D524+Parameters!$B$24)</f>
        <v/>
      </c>
      <c r="E525">
        <f>MIN(D525, E526+Parameters!$B$24)</f>
        <v/>
      </c>
    </row>
    <row r="526">
      <c r="A526" t="n">
        <v>52.4</v>
      </c>
      <c r="B526" t="n">
        <v>10</v>
      </c>
      <c r="C526">
        <f>ROUND(SQRT(E526),2)</f>
        <v/>
      </c>
      <c r="D526">
        <f>MIN(MIN(B526,Parameters!$B$2)^2, D525+Parameters!$B$24)</f>
        <v/>
      </c>
      <c r="E526">
        <f>MIN(D526, E527+Parameters!$B$24)</f>
        <v/>
      </c>
    </row>
    <row r="527">
      <c r="A527" t="n">
        <v>52.5</v>
      </c>
      <c r="B527" t="n">
        <v>10</v>
      </c>
      <c r="C527">
        <f>ROUND(SQRT(E527),2)</f>
        <v/>
      </c>
      <c r="D527">
        <f>MIN(MIN(B527,Parameters!$B$2)^2, D526+Parameters!$B$24)</f>
        <v/>
      </c>
      <c r="E527">
        <f>MIN(D527, E528+Parameters!$B$24)</f>
        <v/>
      </c>
    </row>
    <row r="528">
      <c r="A528" t="n">
        <v>52.6</v>
      </c>
      <c r="B528" t="n">
        <v>10</v>
      </c>
      <c r="C528">
        <f>ROUND(SQRT(E528),2)</f>
        <v/>
      </c>
      <c r="D528">
        <f>MIN(MIN(B528,Parameters!$B$2)^2, D527+Parameters!$B$24)</f>
        <v/>
      </c>
      <c r="E528">
        <f>MIN(D528, E529+Parameters!$B$24)</f>
        <v/>
      </c>
    </row>
    <row r="529">
      <c r="A529" t="n">
        <v>52.7</v>
      </c>
      <c r="B529" t="n">
        <v>10</v>
      </c>
      <c r="C529">
        <f>ROUND(SQRT(E529),2)</f>
        <v/>
      </c>
      <c r="D529">
        <f>MIN(MIN(B529,Parameters!$B$2)^2, D528+Parameters!$B$24)</f>
        <v/>
      </c>
      <c r="E529">
        <f>MIN(D529, E530+Parameters!$B$24)</f>
        <v/>
      </c>
    </row>
    <row r="530">
      <c r="A530" t="n">
        <v>52.8</v>
      </c>
      <c r="B530" t="n">
        <v>10</v>
      </c>
      <c r="C530">
        <f>ROUND(SQRT(E530),2)</f>
        <v/>
      </c>
      <c r="D530">
        <f>MIN(MIN(B530,Parameters!$B$2)^2, D529+Parameters!$B$24)</f>
        <v/>
      </c>
      <c r="E530">
        <f>MIN(D530, E531+Parameters!$B$24)</f>
        <v/>
      </c>
    </row>
    <row r="531">
      <c r="A531" t="n">
        <v>52.9</v>
      </c>
      <c r="B531" t="n">
        <v>10</v>
      </c>
      <c r="C531">
        <f>ROUND(SQRT(E531),2)</f>
        <v/>
      </c>
      <c r="D531">
        <f>MIN(MIN(B531,Parameters!$B$2)^2, D530+Parameters!$B$24)</f>
        <v/>
      </c>
      <c r="E531">
        <f>MIN(D531, E532+Parameters!$B$24)</f>
        <v/>
      </c>
    </row>
    <row r="532">
      <c r="A532" t="n">
        <v>53</v>
      </c>
      <c r="B532" t="n">
        <v>10</v>
      </c>
      <c r="C532">
        <f>ROUND(SQRT(E532),2)</f>
        <v/>
      </c>
      <c r="D532">
        <f>MIN(MIN(B532,Parameters!$B$2)^2, D531+Parameters!$B$24)</f>
        <v/>
      </c>
      <c r="E532">
        <f>MIN(D532, E533+Parameters!$B$24)</f>
        <v/>
      </c>
    </row>
    <row r="533">
      <c r="A533" t="n">
        <v>53.1</v>
      </c>
      <c r="B533" t="n">
        <v>10</v>
      </c>
      <c r="C533">
        <f>ROUND(SQRT(E533),2)</f>
        <v/>
      </c>
      <c r="D533">
        <f>MIN(MIN(B533,Parameters!$B$2)^2, D532+Parameters!$B$24)</f>
        <v/>
      </c>
      <c r="E533">
        <f>MIN(D533, E534+Parameters!$B$24)</f>
        <v/>
      </c>
    </row>
    <row r="534">
      <c r="A534" t="n">
        <v>53.2</v>
      </c>
      <c r="B534" t="n">
        <v>10</v>
      </c>
      <c r="C534">
        <f>ROUND(SQRT(E534),2)</f>
        <v/>
      </c>
      <c r="D534">
        <f>MIN(MIN(B534,Parameters!$B$2)^2, D533+Parameters!$B$24)</f>
        <v/>
      </c>
      <c r="E534">
        <f>MIN(D534, E535+Parameters!$B$24)</f>
        <v/>
      </c>
    </row>
    <row r="535">
      <c r="A535" t="n">
        <v>53.3</v>
      </c>
      <c r="B535" t="n">
        <v>10</v>
      </c>
      <c r="C535">
        <f>ROUND(SQRT(E535),2)</f>
        <v/>
      </c>
      <c r="D535">
        <f>MIN(MIN(B535,Parameters!$B$2)^2, D534+Parameters!$B$24)</f>
        <v/>
      </c>
      <c r="E535">
        <f>MIN(D535, E536+Parameters!$B$24)</f>
        <v/>
      </c>
    </row>
    <row r="536">
      <c r="A536" t="n">
        <v>53.4</v>
      </c>
      <c r="B536" t="n">
        <v>10</v>
      </c>
      <c r="C536">
        <f>ROUND(SQRT(E536),2)</f>
        <v/>
      </c>
      <c r="D536">
        <f>MIN(MIN(B536,Parameters!$B$2)^2, D535+Parameters!$B$24)</f>
        <v/>
      </c>
      <c r="E536">
        <f>MIN(D536, E537+Parameters!$B$24)</f>
        <v/>
      </c>
    </row>
    <row r="537">
      <c r="A537" t="n">
        <v>53.5</v>
      </c>
      <c r="B537" t="n">
        <v>10</v>
      </c>
      <c r="C537">
        <f>ROUND(SQRT(E537),2)</f>
        <v/>
      </c>
      <c r="D537">
        <f>MIN(MIN(B537,Parameters!$B$2)^2, D536+Parameters!$B$24)</f>
        <v/>
      </c>
      <c r="E537">
        <f>MIN(D537, E538+Parameters!$B$24)</f>
        <v/>
      </c>
    </row>
    <row r="538">
      <c r="A538" t="n">
        <v>53.6</v>
      </c>
      <c r="B538" t="n">
        <v>10</v>
      </c>
      <c r="C538">
        <f>ROUND(SQRT(E538),2)</f>
        <v/>
      </c>
      <c r="D538">
        <f>MIN(MIN(B538,Parameters!$B$2)^2, D537+Parameters!$B$24)</f>
        <v/>
      </c>
      <c r="E538">
        <f>MIN(D538, E539+Parameters!$B$24)</f>
        <v/>
      </c>
    </row>
    <row r="539">
      <c r="A539" t="n">
        <v>53.7</v>
      </c>
      <c r="B539" t="n">
        <v>10</v>
      </c>
      <c r="C539">
        <f>ROUND(SQRT(E539),2)</f>
        <v/>
      </c>
      <c r="D539">
        <f>MIN(MIN(B539,Parameters!$B$2)^2, D538+Parameters!$B$24)</f>
        <v/>
      </c>
      <c r="E539">
        <f>MIN(D539, E540+Parameters!$B$24)</f>
        <v/>
      </c>
    </row>
    <row r="540">
      <c r="A540" t="n">
        <v>53.8</v>
      </c>
      <c r="B540" t="n">
        <v>10</v>
      </c>
      <c r="C540">
        <f>ROUND(SQRT(E540),2)</f>
        <v/>
      </c>
      <c r="D540">
        <f>MIN(MIN(B540,Parameters!$B$2)^2, D539+Parameters!$B$24)</f>
        <v/>
      </c>
      <c r="E540">
        <f>MIN(D540, E541+Parameters!$B$24)</f>
        <v/>
      </c>
    </row>
    <row r="541">
      <c r="A541" t="n">
        <v>53.9</v>
      </c>
      <c r="B541" t="n">
        <v>10</v>
      </c>
      <c r="C541">
        <f>ROUND(SQRT(E541),2)</f>
        <v/>
      </c>
      <c r="D541">
        <f>MIN(MIN(B541,Parameters!$B$2)^2, D540+Parameters!$B$24)</f>
        <v/>
      </c>
      <c r="E541">
        <f>MIN(D541, E542+Parameters!$B$24)</f>
        <v/>
      </c>
    </row>
    <row r="542">
      <c r="A542" t="n">
        <v>54</v>
      </c>
      <c r="B542" t="n">
        <v>10</v>
      </c>
      <c r="C542">
        <f>ROUND(SQRT(E542),2)</f>
        <v/>
      </c>
      <c r="D542">
        <f>MIN(MIN(B542,Parameters!$B$2)^2, D541+Parameters!$B$24)</f>
        <v/>
      </c>
      <c r="E542">
        <f>MIN(D542, E543+Parameters!$B$24)</f>
        <v/>
      </c>
    </row>
    <row r="543">
      <c r="A543" t="n">
        <v>54.1</v>
      </c>
      <c r="B543" t="n">
        <v>10</v>
      </c>
      <c r="C543">
        <f>ROUND(SQRT(E543),2)</f>
        <v/>
      </c>
      <c r="D543">
        <f>MIN(MIN(B543,Parameters!$B$2)^2, D542+Parameters!$B$24)</f>
        <v/>
      </c>
      <c r="E543">
        <f>MIN(D543, E544+Parameters!$B$24)</f>
        <v/>
      </c>
    </row>
    <row r="544">
      <c r="A544" t="n">
        <v>54.2</v>
      </c>
      <c r="B544" t="n">
        <v>10</v>
      </c>
      <c r="C544">
        <f>ROUND(SQRT(E544),2)</f>
        <v/>
      </c>
      <c r="D544">
        <f>MIN(MIN(B544,Parameters!$B$2)^2, D543+Parameters!$B$24)</f>
        <v/>
      </c>
      <c r="E544">
        <f>MIN(D544, E545+Parameters!$B$24)</f>
        <v/>
      </c>
    </row>
    <row r="545">
      <c r="A545" t="n">
        <v>54.3</v>
      </c>
      <c r="B545" t="n">
        <v>10</v>
      </c>
      <c r="C545">
        <f>ROUND(SQRT(E545),2)</f>
        <v/>
      </c>
      <c r="D545">
        <f>MIN(MIN(B545,Parameters!$B$2)^2, D544+Parameters!$B$24)</f>
        <v/>
      </c>
      <c r="E545">
        <f>MIN(D545, E546+Parameters!$B$24)</f>
        <v/>
      </c>
    </row>
    <row r="546">
      <c r="A546" t="n">
        <v>54.4</v>
      </c>
      <c r="B546" t="n">
        <v>10</v>
      </c>
      <c r="C546">
        <f>ROUND(SQRT(E546),2)</f>
        <v/>
      </c>
      <c r="D546">
        <f>MIN(MIN(B546,Parameters!$B$2)^2, D545+Parameters!$B$24)</f>
        <v/>
      </c>
      <c r="E546">
        <f>MIN(D546, E547+Parameters!$B$24)</f>
        <v/>
      </c>
    </row>
    <row r="547">
      <c r="A547" t="n">
        <v>54.5</v>
      </c>
      <c r="B547" t="n">
        <v>10</v>
      </c>
      <c r="C547">
        <f>ROUND(SQRT(E547),2)</f>
        <v/>
      </c>
      <c r="D547">
        <f>MIN(MIN(B547,Parameters!$B$2)^2, D546+Parameters!$B$24)</f>
        <v/>
      </c>
      <c r="E547">
        <f>MIN(D547, E548+Parameters!$B$24)</f>
        <v/>
      </c>
    </row>
    <row r="548">
      <c r="A548" t="n">
        <v>54.6</v>
      </c>
      <c r="B548" t="n">
        <v>10</v>
      </c>
      <c r="C548">
        <f>ROUND(SQRT(E548),2)</f>
        <v/>
      </c>
      <c r="D548">
        <f>MIN(MIN(B548,Parameters!$B$2)^2, D547+Parameters!$B$24)</f>
        <v/>
      </c>
      <c r="E548">
        <f>MIN(D548, E549+Parameters!$B$24)</f>
        <v/>
      </c>
    </row>
    <row r="549">
      <c r="A549" t="n">
        <v>54.7</v>
      </c>
      <c r="B549" t="n">
        <v>10</v>
      </c>
      <c r="C549">
        <f>ROUND(SQRT(E549),2)</f>
        <v/>
      </c>
      <c r="D549">
        <f>MIN(MIN(B549,Parameters!$B$2)^2, D548+Parameters!$B$24)</f>
        <v/>
      </c>
      <c r="E549">
        <f>MIN(D549, E550+Parameters!$B$24)</f>
        <v/>
      </c>
    </row>
    <row r="550">
      <c r="A550" t="n">
        <v>54.8</v>
      </c>
      <c r="B550" t="n">
        <v>10</v>
      </c>
      <c r="C550">
        <f>ROUND(SQRT(E550),2)</f>
        <v/>
      </c>
      <c r="D550">
        <f>MIN(MIN(B550,Parameters!$B$2)^2, D549+Parameters!$B$24)</f>
        <v/>
      </c>
      <c r="E550">
        <f>MIN(D550, E551+Parameters!$B$24)</f>
        <v/>
      </c>
    </row>
    <row r="551">
      <c r="A551" t="n">
        <v>54.9</v>
      </c>
      <c r="B551" t="n">
        <v>10</v>
      </c>
      <c r="C551">
        <f>ROUND(SQRT(E551),2)</f>
        <v/>
      </c>
      <c r="D551">
        <f>MIN(MIN(B551,Parameters!$B$2)^2, D550+Parameters!$B$24)</f>
        <v/>
      </c>
      <c r="E551">
        <f>MIN(D551, E552+Parameters!$B$24)</f>
        <v/>
      </c>
    </row>
    <row r="552">
      <c r="A552" t="n">
        <v>55</v>
      </c>
      <c r="B552" t="n">
        <v>10</v>
      </c>
      <c r="C552">
        <f>ROUND(SQRT(E552),2)</f>
        <v/>
      </c>
      <c r="D552">
        <f>MIN(MIN(B552,Parameters!$B$2)^2, D551+Parameters!$B$24)</f>
        <v/>
      </c>
      <c r="E552">
        <f>MIN(D552, E553+Parameters!$B$24)</f>
        <v/>
      </c>
    </row>
    <row r="553">
      <c r="A553" t="n">
        <v>55.1</v>
      </c>
      <c r="B553" t="n">
        <v>10</v>
      </c>
      <c r="C553">
        <f>ROUND(SQRT(E553),2)</f>
        <v/>
      </c>
      <c r="D553">
        <f>MIN(MIN(B553,Parameters!$B$2)^2, D552+Parameters!$B$24)</f>
        <v/>
      </c>
      <c r="E553">
        <f>MIN(D553, E554+Parameters!$B$24)</f>
        <v/>
      </c>
    </row>
    <row r="554">
      <c r="A554" t="n">
        <v>55.2</v>
      </c>
      <c r="B554" t="n">
        <v>10</v>
      </c>
      <c r="C554">
        <f>ROUND(SQRT(E554),2)</f>
        <v/>
      </c>
      <c r="D554">
        <f>MIN(MIN(B554,Parameters!$B$2)^2, D553+Parameters!$B$24)</f>
        <v/>
      </c>
      <c r="E554">
        <f>MIN(D554, E555+Parameters!$B$24)</f>
        <v/>
      </c>
    </row>
    <row r="555">
      <c r="A555" t="n">
        <v>55.3</v>
      </c>
      <c r="B555" t="n">
        <v>10</v>
      </c>
      <c r="C555">
        <f>ROUND(SQRT(E555),2)</f>
        <v/>
      </c>
      <c r="D555">
        <f>MIN(MIN(B555,Parameters!$B$2)^2, D554+Parameters!$B$24)</f>
        <v/>
      </c>
      <c r="E555">
        <f>MIN(D555, E556+Parameters!$B$24)</f>
        <v/>
      </c>
    </row>
    <row r="556">
      <c r="A556" t="n">
        <v>55.4</v>
      </c>
      <c r="B556" t="n">
        <v>10</v>
      </c>
      <c r="C556">
        <f>ROUND(SQRT(E556),2)</f>
        <v/>
      </c>
      <c r="D556">
        <f>MIN(MIN(B556,Parameters!$B$2)^2, D555+Parameters!$B$24)</f>
        <v/>
      </c>
      <c r="E556">
        <f>MIN(D556, E557+Parameters!$B$24)</f>
        <v/>
      </c>
    </row>
    <row r="557">
      <c r="A557" t="n">
        <v>55.5</v>
      </c>
      <c r="B557" t="n">
        <v>10</v>
      </c>
      <c r="C557">
        <f>ROUND(SQRT(E557),2)</f>
        <v/>
      </c>
      <c r="D557">
        <f>MIN(MIN(B557,Parameters!$B$2)^2, D556+Parameters!$B$24)</f>
        <v/>
      </c>
      <c r="E557">
        <f>MIN(D557, E558+Parameters!$B$24)</f>
        <v/>
      </c>
    </row>
    <row r="558">
      <c r="A558" t="n">
        <v>55.6</v>
      </c>
      <c r="B558" t="n">
        <v>10</v>
      </c>
      <c r="C558">
        <f>ROUND(SQRT(E558),2)</f>
        <v/>
      </c>
      <c r="D558">
        <f>MIN(MIN(B558,Parameters!$B$2)^2, D557+Parameters!$B$24)</f>
        <v/>
      </c>
      <c r="E558">
        <f>MIN(D558, E559+Parameters!$B$24)</f>
        <v/>
      </c>
    </row>
    <row r="559">
      <c r="A559" t="n">
        <v>55.7</v>
      </c>
      <c r="B559" t="n">
        <v>10</v>
      </c>
      <c r="C559">
        <f>ROUND(SQRT(E559),2)</f>
        <v/>
      </c>
      <c r="D559">
        <f>MIN(MIN(B559,Parameters!$B$2)^2, D558+Parameters!$B$24)</f>
        <v/>
      </c>
      <c r="E559">
        <f>MIN(D559, E560+Parameters!$B$24)</f>
        <v/>
      </c>
    </row>
    <row r="560">
      <c r="A560" t="n">
        <v>55.8</v>
      </c>
      <c r="B560" t="n">
        <v>10</v>
      </c>
      <c r="C560">
        <f>ROUND(SQRT(E560),2)</f>
        <v/>
      </c>
      <c r="D560">
        <f>MIN(MIN(B560,Parameters!$B$2)^2, D559+Parameters!$B$24)</f>
        <v/>
      </c>
      <c r="E560">
        <f>MIN(D560, E561+Parameters!$B$24)</f>
        <v/>
      </c>
    </row>
    <row r="561">
      <c r="A561" t="n">
        <v>55.9</v>
      </c>
      <c r="B561" t="n">
        <v>10</v>
      </c>
      <c r="C561">
        <f>ROUND(SQRT(E561),2)</f>
        <v/>
      </c>
      <c r="D561">
        <f>MIN(MIN(B561,Parameters!$B$2)^2, D560+Parameters!$B$24)</f>
        <v/>
      </c>
      <c r="E561">
        <f>MIN(D561, E562+Parameters!$B$24)</f>
        <v/>
      </c>
    </row>
    <row r="562">
      <c r="A562" t="n">
        <v>56</v>
      </c>
      <c r="B562" t="n">
        <v>10</v>
      </c>
      <c r="C562">
        <f>ROUND(SQRT(E562),2)</f>
        <v/>
      </c>
      <c r="D562">
        <f>MIN(MIN(B562,Parameters!$B$2)^2, D561+Parameters!$B$24)</f>
        <v/>
      </c>
      <c r="E562">
        <f>MIN(D562, E563+Parameters!$B$24)</f>
        <v/>
      </c>
    </row>
    <row r="563">
      <c r="A563" t="n">
        <v>56.1</v>
      </c>
      <c r="B563" t="n">
        <v>10</v>
      </c>
      <c r="C563">
        <f>ROUND(SQRT(E563),2)</f>
        <v/>
      </c>
      <c r="D563">
        <f>MIN(MIN(B563,Parameters!$B$2)^2, D562+Parameters!$B$24)</f>
        <v/>
      </c>
      <c r="E563">
        <f>MIN(D563, E564+Parameters!$B$24)</f>
        <v/>
      </c>
    </row>
    <row r="564">
      <c r="A564" t="n">
        <v>56.2</v>
      </c>
      <c r="B564" t="n">
        <v>10</v>
      </c>
      <c r="C564">
        <f>ROUND(SQRT(E564),2)</f>
        <v/>
      </c>
      <c r="D564">
        <f>MIN(MIN(B564,Parameters!$B$2)^2, D563+Parameters!$B$24)</f>
        <v/>
      </c>
      <c r="E564">
        <f>MIN(D564, E565+Parameters!$B$24)</f>
        <v/>
      </c>
    </row>
    <row r="565">
      <c r="A565" t="n">
        <v>56.3</v>
      </c>
      <c r="B565" t="n">
        <v>10</v>
      </c>
      <c r="C565">
        <f>ROUND(SQRT(E565),2)</f>
        <v/>
      </c>
      <c r="D565">
        <f>MIN(MIN(B565,Parameters!$B$2)^2, D564+Parameters!$B$24)</f>
        <v/>
      </c>
      <c r="E565">
        <f>MIN(D565, E566+Parameters!$B$24)</f>
        <v/>
      </c>
    </row>
    <row r="566">
      <c r="A566" t="n">
        <v>56.4</v>
      </c>
      <c r="B566" t="n">
        <v>10</v>
      </c>
      <c r="C566">
        <f>ROUND(SQRT(E566),2)</f>
        <v/>
      </c>
      <c r="D566">
        <f>MIN(MIN(B566,Parameters!$B$2)^2, D565+Parameters!$B$24)</f>
        <v/>
      </c>
      <c r="E566">
        <f>MIN(D566, E567+Parameters!$B$24)</f>
        <v/>
      </c>
    </row>
    <row r="567">
      <c r="A567" t="n">
        <v>56.5</v>
      </c>
      <c r="B567" t="n">
        <v>10</v>
      </c>
      <c r="C567">
        <f>ROUND(SQRT(E567),2)</f>
        <v/>
      </c>
      <c r="D567">
        <f>MIN(MIN(B567,Parameters!$B$2)^2, D566+Parameters!$B$24)</f>
        <v/>
      </c>
      <c r="E567">
        <f>MIN(D567, E568+Parameters!$B$24)</f>
        <v/>
      </c>
    </row>
    <row r="568">
      <c r="A568" t="n">
        <v>56.6</v>
      </c>
      <c r="B568" t="n">
        <v>10</v>
      </c>
      <c r="C568">
        <f>ROUND(SQRT(E568),2)</f>
        <v/>
      </c>
      <c r="D568">
        <f>MIN(MIN(B568,Parameters!$B$2)^2, D567+Parameters!$B$24)</f>
        <v/>
      </c>
      <c r="E568">
        <f>MIN(D568, E569+Parameters!$B$24)</f>
        <v/>
      </c>
    </row>
    <row r="569">
      <c r="A569" t="n">
        <v>56.7</v>
      </c>
      <c r="B569" t="n">
        <v>10</v>
      </c>
      <c r="C569">
        <f>ROUND(SQRT(E569),2)</f>
        <v/>
      </c>
      <c r="D569">
        <f>MIN(MIN(B569,Parameters!$B$2)^2, D568+Parameters!$B$24)</f>
        <v/>
      </c>
      <c r="E569">
        <f>MIN(D569, E570+Parameters!$B$24)</f>
        <v/>
      </c>
    </row>
    <row r="570">
      <c r="A570" t="n">
        <v>56.8</v>
      </c>
      <c r="B570" t="n">
        <v>10</v>
      </c>
      <c r="C570">
        <f>ROUND(SQRT(E570),2)</f>
        <v/>
      </c>
      <c r="D570">
        <f>MIN(MIN(B570,Parameters!$B$2)^2, D569+Parameters!$B$24)</f>
        <v/>
      </c>
      <c r="E570">
        <f>MIN(D570, E571+Parameters!$B$24)</f>
        <v/>
      </c>
    </row>
    <row r="571">
      <c r="A571" t="n">
        <v>56.9</v>
      </c>
      <c r="B571" t="n">
        <v>10</v>
      </c>
      <c r="C571">
        <f>ROUND(SQRT(E571),2)</f>
        <v/>
      </c>
      <c r="D571">
        <f>MIN(MIN(B571,Parameters!$B$2)^2, D570+Parameters!$B$24)</f>
        <v/>
      </c>
      <c r="E571">
        <f>MIN(D571, E572+Parameters!$B$24)</f>
        <v/>
      </c>
    </row>
    <row r="572">
      <c r="A572" t="n">
        <v>57</v>
      </c>
      <c r="B572" t="n">
        <v>10</v>
      </c>
      <c r="C572">
        <f>ROUND(SQRT(E572),2)</f>
        <v/>
      </c>
      <c r="D572">
        <f>MIN(MIN(B572,Parameters!$B$2)^2, D571+Parameters!$B$24)</f>
        <v/>
      </c>
      <c r="E572">
        <f>MIN(D572, E573+Parameters!$B$24)</f>
        <v/>
      </c>
    </row>
    <row r="573">
      <c r="A573" t="n">
        <v>57.1</v>
      </c>
      <c r="B573" t="n">
        <v>10</v>
      </c>
      <c r="C573">
        <f>ROUND(SQRT(E573),2)</f>
        <v/>
      </c>
      <c r="D573">
        <f>MIN(MIN(B573,Parameters!$B$2)^2, D572+Parameters!$B$24)</f>
        <v/>
      </c>
      <c r="E573">
        <f>MIN(D573, E574+Parameters!$B$24)</f>
        <v/>
      </c>
    </row>
    <row r="574">
      <c r="A574" t="n">
        <v>57.2</v>
      </c>
      <c r="B574" t="n">
        <v>10</v>
      </c>
      <c r="C574">
        <f>ROUND(SQRT(E574),2)</f>
        <v/>
      </c>
      <c r="D574">
        <f>MIN(MIN(B574,Parameters!$B$2)^2, D573+Parameters!$B$24)</f>
        <v/>
      </c>
      <c r="E574">
        <f>MIN(D574, E575+Parameters!$B$24)</f>
        <v/>
      </c>
    </row>
    <row r="575">
      <c r="A575" t="n">
        <v>57.3</v>
      </c>
      <c r="B575" t="n">
        <v>10</v>
      </c>
      <c r="C575">
        <f>ROUND(SQRT(E575),2)</f>
        <v/>
      </c>
      <c r="D575">
        <f>MIN(MIN(B575,Parameters!$B$2)^2, D574+Parameters!$B$24)</f>
        <v/>
      </c>
      <c r="E575">
        <f>MIN(D575, E576+Parameters!$B$24)</f>
        <v/>
      </c>
    </row>
    <row r="576">
      <c r="A576" t="n">
        <v>57.4</v>
      </c>
      <c r="B576" t="n">
        <v>10</v>
      </c>
      <c r="C576">
        <f>ROUND(SQRT(E576),2)</f>
        <v/>
      </c>
      <c r="D576">
        <f>MIN(MIN(B576,Parameters!$B$2)^2, D575+Parameters!$B$24)</f>
        <v/>
      </c>
      <c r="E576">
        <f>MIN(D576, E577+Parameters!$B$24)</f>
        <v/>
      </c>
    </row>
    <row r="577">
      <c r="A577" t="n">
        <v>57.5</v>
      </c>
      <c r="B577" t="n">
        <v>10</v>
      </c>
      <c r="C577">
        <f>ROUND(SQRT(E577),2)</f>
        <v/>
      </c>
      <c r="D577">
        <f>MIN(MIN(B577,Parameters!$B$2)^2, D576+Parameters!$B$24)</f>
        <v/>
      </c>
      <c r="E577">
        <f>MIN(D577, E578+Parameters!$B$24)</f>
        <v/>
      </c>
    </row>
    <row r="578">
      <c r="A578" t="n">
        <v>57.6</v>
      </c>
      <c r="B578" t="n">
        <v>10</v>
      </c>
      <c r="C578">
        <f>ROUND(SQRT(E578),2)</f>
        <v/>
      </c>
      <c r="D578">
        <f>MIN(MIN(B578,Parameters!$B$2)^2, D577+Parameters!$B$24)</f>
        <v/>
      </c>
      <c r="E578">
        <f>MIN(D578, E579+Parameters!$B$24)</f>
        <v/>
      </c>
    </row>
    <row r="579">
      <c r="A579" t="n">
        <v>57.7</v>
      </c>
      <c r="B579" t="n">
        <v>10</v>
      </c>
      <c r="C579">
        <f>ROUND(SQRT(E579),2)</f>
        <v/>
      </c>
      <c r="D579">
        <f>MIN(MIN(B579,Parameters!$B$2)^2, D578+Parameters!$B$24)</f>
        <v/>
      </c>
      <c r="E579">
        <f>MIN(D579, E580+Parameters!$B$24)</f>
        <v/>
      </c>
    </row>
    <row r="580">
      <c r="A580" t="n">
        <v>57.8</v>
      </c>
      <c r="B580" t="n">
        <v>10</v>
      </c>
      <c r="C580">
        <f>ROUND(SQRT(E580),2)</f>
        <v/>
      </c>
      <c r="D580">
        <f>MIN(MIN(B580,Parameters!$B$2)^2, D579+Parameters!$B$24)</f>
        <v/>
      </c>
      <c r="E580">
        <f>MIN(D580, E581+Parameters!$B$24)</f>
        <v/>
      </c>
    </row>
    <row r="581">
      <c r="A581" t="n">
        <v>57.9</v>
      </c>
      <c r="B581" t="n">
        <v>10</v>
      </c>
      <c r="C581">
        <f>ROUND(SQRT(E581),2)</f>
        <v/>
      </c>
      <c r="D581">
        <f>MIN(MIN(B581,Parameters!$B$2)^2, D580+Parameters!$B$24)</f>
        <v/>
      </c>
      <c r="E581">
        <f>MIN(D581, E582+Parameters!$B$24)</f>
        <v/>
      </c>
    </row>
    <row r="582">
      <c r="A582" t="n">
        <v>58</v>
      </c>
      <c r="B582" t="n">
        <v>10</v>
      </c>
      <c r="C582">
        <f>ROUND(SQRT(E582),2)</f>
        <v/>
      </c>
      <c r="D582">
        <f>MIN(MIN(B582,Parameters!$B$2)^2, D581+Parameters!$B$24)</f>
        <v/>
      </c>
      <c r="E582">
        <f>MIN(D582, E583+Parameters!$B$24)</f>
        <v/>
      </c>
    </row>
    <row r="583">
      <c r="A583" t="n">
        <v>58.1</v>
      </c>
      <c r="B583" t="n">
        <v>10</v>
      </c>
      <c r="C583">
        <f>ROUND(SQRT(E583),2)</f>
        <v/>
      </c>
      <c r="D583">
        <f>MIN(MIN(B583,Parameters!$B$2)^2, D582+Parameters!$B$24)</f>
        <v/>
      </c>
      <c r="E583">
        <f>MIN(D583, E584+Parameters!$B$24)</f>
        <v/>
      </c>
    </row>
    <row r="584">
      <c r="A584" t="n">
        <v>58.2</v>
      </c>
      <c r="B584" t="n">
        <v>10</v>
      </c>
      <c r="C584">
        <f>ROUND(SQRT(E584),2)</f>
        <v/>
      </c>
      <c r="D584">
        <f>MIN(MIN(B584,Parameters!$B$2)^2, D583+Parameters!$B$24)</f>
        <v/>
      </c>
      <c r="E584">
        <f>MIN(D584, E585+Parameters!$B$24)</f>
        <v/>
      </c>
    </row>
    <row r="585">
      <c r="A585" t="n">
        <v>58.3</v>
      </c>
      <c r="B585" t="n">
        <v>10</v>
      </c>
      <c r="C585">
        <f>ROUND(SQRT(E585),2)</f>
        <v/>
      </c>
      <c r="D585">
        <f>MIN(MIN(B585,Parameters!$B$2)^2, D584+Parameters!$B$24)</f>
        <v/>
      </c>
      <c r="E585">
        <f>MIN(D585, E586+Parameters!$B$24)</f>
        <v/>
      </c>
    </row>
    <row r="586">
      <c r="A586" t="n">
        <v>58.4</v>
      </c>
      <c r="B586" t="n">
        <v>10</v>
      </c>
      <c r="C586">
        <f>ROUND(SQRT(E586),2)</f>
        <v/>
      </c>
      <c r="D586">
        <f>MIN(MIN(B586,Parameters!$B$2)^2, D585+Parameters!$B$24)</f>
        <v/>
      </c>
      <c r="E586">
        <f>MIN(D586, E587+Parameters!$B$24)</f>
        <v/>
      </c>
    </row>
    <row r="587">
      <c r="A587" t="n">
        <v>58.5</v>
      </c>
      <c r="B587" t="n">
        <v>10</v>
      </c>
      <c r="C587">
        <f>ROUND(SQRT(E587),2)</f>
        <v/>
      </c>
      <c r="D587">
        <f>MIN(MIN(B587,Parameters!$B$2)^2, D586+Parameters!$B$24)</f>
        <v/>
      </c>
      <c r="E587">
        <f>MIN(D587, E588+Parameters!$B$24)</f>
        <v/>
      </c>
    </row>
    <row r="588">
      <c r="A588" t="n">
        <v>58.6</v>
      </c>
      <c r="B588" t="n">
        <v>10</v>
      </c>
      <c r="C588">
        <f>ROUND(SQRT(E588),2)</f>
        <v/>
      </c>
      <c r="D588">
        <f>MIN(MIN(B588,Parameters!$B$2)^2, D587+Parameters!$B$24)</f>
        <v/>
      </c>
      <c r="E588">
        <f>MIN(D588, E589+Parameters!$B$24)</f>
        <v/>
      </c>
    </row>
    <row r="589">
      <c r="A589" t="n">
        <v>58.7</v>
      </c>
      <c r="B589" t="n">
        <v>25</v>
      </c>
      <c r="C589">
        <f>ROUND(SQRT(E589),2)</f>
        <v/>
      </c>
      <c r="D589">
        <f>MIN(MIN(B589,Parameters!$B$2)^2, D588+Parameters!$B$24)</f>
        <v/>
      </c>
      <c r="E589">
        <f>MIN(D589, E590+Parameters!$B$24)</f>
        <v/>
      </c>
    </row>
    <row r="590">
      <c r="A590" t="n">
        <v>58.8</v>
      </c>
      <c r="B590" t="n">
        <v>25</v>
      </c>
      <c r="C590">
        <f>ROUND(SQRT(E590),2)</f>
        <v/>
      </c>
      <c r="D590">
        <f>MIN(MIN(B590,Parameters!$B$2)^2, D589+Parameters!$B$24)</f>
        <v/>
      </c>
      <c r="E590">
        <f>MIN(D590, E591+Parameters!$B$24)</f>
        <v/>
      </c>
    </row>
    <row r="591">
      <c r="A591" t="n">
        <v>58.9</v>
      </c>
      <c r="B591" t="n">
        <v>25</v>
      </c>
      <c r="C591">
        <f>ROUND(SQRT(E591),2)</f>
        <v/>
      </c>
      <c r="D591">
        <f>MIN(MIN(B591,Parameters!$B$2)^2, D590+Parameters!$B$24)</f>
        <v/>
      </c>
      <c r="E591">
        <f>MIN(D591, E592+Parameters!$B$24)</f>
        <v/>
      </c>
    </row>
    <row r="592">
      <c r="A592" t="n">
        <v>59</v>
      </c>
      <c r="B592" t="n">
        <v>25</v>
      </c>
      <c r="C592">
        <f>ROUND(SQRT(E592),2)</f>
        <v/>
      </c>
      <c r="D592">
        <f>MIN(MIN(B592,Parameters!$B$2)^2, D591+Parameters!$B$24)</f>
        <v/>
      </c>
      <c r="E592">
        <f>MIN(D592, E593+Parameters!$B$24)</f>
        <v/>
      </c>
    </row>
    <row r="593">
      <c r="A593" t="n">
        <v>59.1</v>
      </c>
      <c r="B593" t="n">
        <v>25</v>
      </c>
      <c r="C593">
        <f>ROUND(SQRT(E593),2)</f>
        <v/>
      </c>
      <c r="D593">
        <f>MIN(MIN(B593,Parameters!$B$2)^2, D592+Parameters!$B$24)</f>
        <v/>
      </c>
      <c r="E593">
        <f>MIN(D593, E594+Parameters!$B$24)</f>
        <v/>
      </c>
    </row>
    <row r="594">
      <c r="A594" t="n">
        <v>59.2</v>
      </c>
      <c r="B594" t="n">
        <v>25</v>
      </c>
      <c r="C594">
        <f>ROUND(SQRT(E594),2)</f>
        <v/>
      </c>
      <c r="D594">
        <f>MIN(MIN(B594,Parameters!$B$2)^2, D593+Parameters!$B$24)</f>
        <v/>
      </c>
      <c r="E594">
        <f>MIN(D594, E595+Parameters!$B$24)</f>
        <v/>
      </c>
    </row>
    <row r="595">
      <c r="A595" t="n">
        <v>59.3</v>
      </c>
      <c r="B595" t="n">
        <v>25</v>
      </c>
      <c r="C595">
        <f>ROUND(SQRT(E595),2)</f>
        <v/>
      </c>
      <c r="D595">
        <f>MIN(MIN(B595,Parameters!$B$2)^2, D594+Parameters!$B$24)</f>
        <v/>
      </c>
      <c r="E595">
        <f>MIN(D595, E596+Parameters!$B$24)</f>
        <v/>
      </c>
    </row>
    <row r="596">
      <c r="A596" t="n">
        <v>59.4</v>
      </c>
      <c r="B596" t="n">
        <v>25</v>
      </c>
      <c r="C596">
        <f>ROUND(SQRT(E596),2)</f>
        <v/>
      </c>
      <c r="D596">
        <f>MIN(MIN(B596,Parameters!$B$2)^2, D595+Parameters!$B$24)</f>
        <v/>
      </c>
      <c r="E596">
        <f>MIN(D596, E597+Parameters!$B$24)</f>
        <v/>
      </c>
    </row>
    <row r="597">
      <c r="A597" t="n">
        <v>59.5</v>
      </c>
      <c r="B597" t="n">
        <v>25</v>
      </c>
      <c r="C597">
        <f>ROUND(SQRT(E597),2)</f>
        <v/>
      </c>
      <c r="D597">
        <f>MIN(MIN(B597,Parameters!$B$2)^2, D596+Parameters!$B$24)</f>
        <v/>
      </c>
      <c r="E597">
        <f>MIN(D597, E598+Parameters!$B$24)</f>
        <v/>
      </c>
    </row>
    <row r="598">
      <c r="A598" t="n">
        <v>59.6</v>
      </c>
      <c r="B598" t="n">
        <v>25</v>
      </c>
      <c r="C598">
        <f>ROUND(SQRT(E598),2)</f>
        <v/>
      </c>
      <c r="D598">
        <f>MIN(MIN(B598,Parameters!$B$2)^2, D597+Parameters!$B$24)</f>
        <v/>
      </c>
      <c r="E598">
        <f>MIN(D598, E599+Parameters!$B$24)</f>
        <v/>
      </c>
    </row>
    <row r="599">
      <c r="A599" t="n">
        <v>59.7</v>
      </c>
      <c r="B599" t="n">
        <v>25</v>
      </c>
      <c r="C599">
        <f>ROUND(SQRT(E599),2)</f>
        <v/>
      </c>
      <c r="D599">
        <f>MIN(MIN(B599,Parameters!$B$2)^2, D598+Parameters!$B$24)</f>
        <v/>
      </c>
      <c r="E599">
        <f>MIN(D599, E600+Parameters!$B$24)</f>
        <v/>
      </c>
    </row>
    <row r="600">
      <c r="A600" t="n">
        <v>59.8</v>
      </c>
      <c r="B600" t="n">
        <v>25</v>
      </c>
      <c r="C600">
        <f>ROUND(SQRT(E600),2)</f>
        <v/>
      </c>
      <c r="D600">
        <f>MIN(MIN(B600,Parameters!$B$2)^2, D599+Parameters!$B$24)</f>
        <v/>
      </c>
      <c r="E600">
        <f>MIN(D600, E601+Parameters!$B$24)</f>
        <v/>
      </c>
    </row>
    <row r="601">
      <c r="A601" t="n">
        <v>59.9</v>
      </c>
      <c r="B601" t="n">
        <v>25</v>
      </c>
      <c r="C601">
        <f>ROUND(SQRT(E601),2)</f>
        <v/>
      </c>
      <c r="D601">
        <f>MIN(MIN(B601,Parameters!$B$2)^2, D600+Parameters!$B$24)</f>
        <v/>
      </c>
      <c r="E601">
        <f>MIN(D601, E602+Parameters!$B$24)</f>
        <v/>
      </c>
    </row>
    <row r="602">
      <c r="A602" t="n">
        <v>60</v>
      </c>
      <c r="B602" t="n">
        <v>25</v>
      </c>
      <c r="C602">
        <f>ROUND(SQRT(E602),2)</f>
        <v/>
      </c>
      <c r="D602">
        <f>MIN(MIN(B602,Parameters!$B$2)^2, D601+Parameters!$B$24)</f>
        <v/>
      </c>
      <c r="E602">
        <f>MIN(D602, E603+Parameters!$B$24)</f>
        <v/>
      </c>
    </row>
    <row r="603">
      <c r="A603" t="n">
        <v>60.1</v>
      </c>
      <c r="B603" t="n">
        <v>25</v>
      </c>
      <c r="C603">
        <f>ROUND(SQRT(E603),2)</f>
        <v/>
      </c>
      <c r="D603">
        <f>MIN(MIN(B603,Parameters!$B$2)^2, D602+Parameters!$B$24)</f>
        <v/>
      </c>
      <c r="E603">
        <f>MIN(D603, E604+Parameters!$B$24)</f>
        <v/>
      </c>
    </row>
    <row r="604">
      <c r="A604" t="n">
        <v>60.2</v>
      </c>
      <c r="B604" t="n">
        <v>25</v>
      </c>
      <c r="C604">
        <f>ROUND(SQRT(E604),2)</f>
        <v/>
      </c>
      <c r="D604">
        <f>MIN(MIN(B604,Parameters!$B$2)^2, D603+Parameters!$B$24)</f>
        <v/>
      </c>
      <c r="E604">
        <f>MIN(D604, E605+Parameters!$B$24)</f>
        <v/>
      </c>
    </row>
    <row r="605">
      <c r="A605" t="n">
        <v>60.3</v>
      </c>
      <c r="B605" t="n">
        <v>25</v>
      </c>
      <c r="C605">
        <f>ROUND(SQRT(E605),2)</f>
        <v/>
      </c>
      <c r="D605">
        <f>MIN(MIN(B605,Parameters!$B$2)^2, D604+Parameters!$B$24)</f>
        <v/>
      </c>
      <c r="E605">
        <f>MIN(D605, E606+Parameters!$B$24)</f>
        <v/>
      </c>
    </row>
    <row r="606">
      <c r="A606" t="n">
        <v>60.4</v>
      </c>
      <c r="B606" t="n">
        <v>25</v>
      </c>
      <c r="C606">
        <f>ROUND(SQRT(E606),2)</f>
        <v/>
      </c>
      <c r="D606">
        <f>MIN(MIN(B606,Parameters!$B$2)^2, D605+Parameters!$B$24)</f>
        <v/>
      </c>
      <c r="E606">
        <f>MIN(D606, E607+Parameters!$B$24)</f>
        <v/>
      </c>
    </row>
    <row r="607">
      <c r="A607" t="n">
        <v>60.5</v>
      </c>
      <c r="B607" t="n">
        <v>25</v>
      </c>
      <c r="C607">
        <f>ROUND(SQRT(E607),2)</f>
        <v/>
      </c>
      <c r="D607">
        <f>MIN(MIN(B607,Parameters!$B$2)^2, D606+Parameters!$B$24)</f>
        <v/>
      </c>
      <c r="E607">
        <f>MIN(D607, E608+Parameters!$B$24)</f>
        <v/>
      </c>
    </row>
    <row r="608">
      <c r="A608" t="n">
        <v>60.6</v>
      </c>
      <c r="B608" t="n">
        <v>25</v>
      </c>
      <c r="C608">
        <f>ROUND(SQRT(E608),2)</f>
        <v/>
      </c>
      <c r="D608">
        <f>MIN(MIN(B608,Parameters!$B$2)^2, D607+Parameters!$B$24)</f>
        <v/>
      </c>
      <c r="E608">
        <f>MIN(D608, E609+Parameters!$B$24)</f>
        <v/>
      </c>
    </row>
    <row r="609">
      <c r="A609" t="n">
        <v>60.7</v>
      </c>
      <c r="B609" t="n">
        <v>25</v>
      </c>
      <c r="C609">
        <f>ROUND(SQRT(E609),2)</f>
        <v/>
      </c>
      <c r="D609">
        <f>MIN(MIN(B609,Parameters!$B$2)^2, D608+Parameters!$B$24)</f>
        <v/>
      </c>
      <c r="E609">
        <f>MIN(D609, E610+Parameters!$B$24)</f>
        <v/>
      </c>
    </row>
    <row r="610">
      <c r="A610" t="n">
        <v>60.8</v>
      </c>
      <c r="B610" t="n">
        <v>25</v>
      </c>
      <c r="C610">
        <f>ROUND(SQRT(E610),2)</f>
        <v/>
      </c>
      <c r="D610">
        <f>MIN(MIN(B610,Parameters!$B$2)^2, D609+Parameters!$B$24)</f>
        <v/>
      </c>
      <c r="E610">
        <f>MIN(D610, E611+Parameters!$B$24)</f>
        <v/>
      </c>
    </row>
    <row r="611">
      <c r="A611" t="n">
        <v>60.9</v>
      </c>
      <c r="B611" t="n">
        <v>25</v>
      </c>
      <c r="C611">
        <f>ROUND(SQRT(E611),2)</f>
        <v/>
      </c>
      <c r="D611">
        <f>MIN(MIN(B611,Parameters!$B$2)^2, D610+Parameters!$B$24)</f>
        <v/>
      </c>
      <c r="E611">
        <f>MIN(D611, E612+Parameters!$B$24)</f>
        <v/>
      </c>
    </row>
    <row r="612">
      <c r="A612" t="n">
        <v>61</v>
      </c>
      <c r="B612" t="n">
        <v>25</v>
      </c>
      <c r="C612">
        <f>ROUND(SQRT(E612),2)</f>
        <v/>
      </c>
      <c r="D612">
        <f>MIN(MIN(B612,Parameters!$B$2)^2, D611+Parameters!$B$24)</f>
        <v/>
      </c>
      <c r="E612">
        <f>MIN(D612, E613+Parameters!$B$24)</f>
        <v/>
      </c>
    </row>
    <row r="613">
      <c r="A613" t="n">
        <v>61.1</v>
      </c>
      <c r="B613" t="n">
        <v>25</v>
      </c>
      <c r="C613">
        <f>ROUND(SQRT(E613),2)</f>
        <v/>
      </c>
      <c r="D613">
        <f>MIN(MIN(B613,Parameters!$B$2)^2, D612+Parameters!$B$24)</f>
        <v/>
      </c>
      <c r="E613">
        <f>MIN(D613, E614+Parameters!$B$24)</f>
        <v/>
      </c>
    </row>
    <row r="614">
      <c r="A614" t="n">
        <v>61.2</v>
      </c>
      <c r="B614" t="n">
        <v>25</v>
      </c>
      <c r="C614">
        <f>ROUND(SQRT(E614),2)</f>
        <v/>
      </c>
      <c r="D614">
        <f>MIN(MIN(B614,Parameters!$B$2)^2, D613+Parameters!$B$24)</f>
        <v/>
      </c>
      <c r="E614">
        <f>MIN(D614, E615+Parameters!$B$24)</f>
        <v/>
      </c>
    </row>
    <row r="615">
      <c r="A615" t="n">
        <v>61.3</v>
      </c>
      <c r="B615" t="n">
        <v>25</v>
      </c>
      <c r="C615">
        <f>ROUND(SQRT(E615),2)</f>
        <v/>
      </c>
      <c r="D615">
        <f>MIN(MIN(B615,Parameters!$B$2)^2, D614+Parameters!$B$24)</f>
        <v/>
      </c>
      <c r="E615">
        <f>MIN(D615, E616+Parameters!$B$24)</f>
        <v/>
      </c>
    </row>
    <row r="616">
      <c r="A616" t="n">
        <v>61.4</v>
      </c>
      <c r="B616" t="n">
        <v>25</v>
      </c>
      <c r="C616">
        <f>ROUND(SQRT(E616),2)</f>
        <v/>
      </c>
      <c r="D616">
        <f>MIN(MIN(B616,Parameters!$B$2)^2, D615+Parameters!$B$24)</f>
        <v/>
      </c>
      <c r="E616">
        <f>MIN(D616, E617+Parameters!$B$24)</f>
        <v/>
      </c>
    </row>
    <row r="617">
      <c r="A617" t="n">
        <v>61.5</v>
      </c>
      <c r="B617" t="n">
        <v>25</v>
      </c>
      <c r="C617">
        <f>ROUND(SQRT(E617),2)</f>
        <v/>
      </c>
      <c r="D617">
        <f>MIN(MIN(B617,Parameters!$B$2)^2, D616+Parameters!$B$24)</f>
        <v/>
      </c>
      <c r="E617">
        <f>MIN(D617, E618+Parameters!$B$24)</f>
        <v/>
      </c>
    </row>
    <row r="618">
      <c r="A618" t="n">
        <v>61.6</v>
      </c>
      <c r="B618" t="n">
        <v>25</v>
      </c>
      <c r="C618">
        <f>ROUND(SQRT(E618),2)</f>
        <v/>
      </c>
      <c r="D618">
        <f>MIN(MIN(B618,Parameters!$B$2)^2, D617+Parameters!$B$24)</f>
        <v/>
      </c>
      <c r="E618">
        <f>MIN(D618, E619+Parameters!$B$24)</f>
        <v/>
      </c>
    </row>
    <row r="619">
      <c r="A619" t="n">
        <v>61.7</v>
      </c>
      <c r="B619" t="n">
        <v>25</v>
      </c>
      <c r="C619">
        <f>ROUND(SQRT(E619),2)</f>
        <v/>
      </c>
      <c r="D619">
        <f>MIN(MIN(B619,Parameters!$B$2)^2, D618+Parameters!$B$24)</f>
        <v/>
      </c>
      <c r="E619">
        <f>MIN(D619, E620+Parameters!$B$24)</f>
        <v/>
      </c>
    </row>
    <row r="620">
      <c r="A620" t="n">
        <v>61.8</v>
      </c>
      <c r="B620" t="n">
        <v>25</v>
      </c>
      <c r="C620">
        <f>ROUND(SQRT(E620),2)</f>
        <v/>
      </c>
      <c r="D620">
        <f>MIN(MIN(B620,Parameters!$B$2)^2, D619+Parameters!$B$24)</f>
        <v/>
      </c>
      <c r="E620">
        <f>MIN(D620, E621+Parameters!$B$24)</f>
        <v/>
      </c>
    </row>
    <row r="621">
      <c r="A621" t="n">
        <v>61.9</v>
      </c>
      <c r="B621" t="n">
        <v>25</v>
      </c>
      <c r="C621">
        <f>ROUND(SQRT(E621),2)</f>
        <v/>
      </c>
      <c r="D621">
        <f>MIN(MIN(B621,Parameters!$B$2)^2, D620+Parameters!$B$24)</f>
        <v/>
      </c>
      <c r="E621">
        <f>MIN(D621, E622+Parameters!$B$24)</f>
        <v/>
      </c>
    </row>
    <row r="622">
      <c r="A622" t="n">
        <v>62</v>
      </c>
      <c r="B622" t="n">
        <v>25</v>
      </c>
      <c r="C622">
        <f>ROUND(SQRT(E622),2)</f>
        <v/>
      </c>
      <c r="D622">
        <f>MIN(MIN(B622,Parameters!$B$2)^2, D621+Parameters!$B$24)</f>
        <v/>
      </c>
      <c r="E622">
        <f>MIN(D622, E623+Parameters!$B$24)</f>
        <v/>
      </c>
    </row>
    <row r="623">
      <c r="A623" t="n">
        <v>62.1</v>
      </c>
      <c r="B623" t="n">
        <v>25</v>
      </c>
      <c r="C623">
        <f>ROUND(SQRT(E623),2)</f>
        <v/>
      </c>
      <c r="D623">
        <f>MIN(MIN(B623,Parameters!$B$2)^2, D622+Parameters!$B$24)</f>
        <v/>
      </c>
      <c r="E623">
        <f>MIN(D623, E624+Parameters!$B$24)</f>
        <v/>
      </c>
    </row>
    <row r="624">
      <c r="A624" t="n">
        <v>62.2</v>
      </c>
      <c r="B624" t="n">
        <v>25</v>
      </c>
      <c r="C624">
        <f>ROUND(SQRT(E624),2)</f>
        <v/>
      </c>
      <c r="D624">
        <f>MIN(MIN(B624,Parameters!$B$2)^2, D623+Parameters!$B$24)</f>
        <v/>
      </c>
      <c r="E624">
        <f>MIN(D624, E625+Parameters!$B$24)</f>
        <v/>
      </c>
    </row>
    <row r="625">
      <c r="A625" t="n">
        <v>62.3</v>
      </c>
      <c r="B625" t="n">
        <v>25</v>
      </c>
      <c r="C625">
        <f>ROUND(SQRT(E625),2)</f>
        <v/>
      </c>
      <c r="D625">
        <f>MIN(MIN(B625,Parameters!$B$2)^2, D624+Parameters!$B$24)</f>
        <v/>
      </c>
      <c r="E625">
        <f>MIN(D625, E626+Parameters!$B$24)</f>
        <v/>
      </c>
    </row>
    <row r="626">
      <c r="A626" t="n">
        <v>62.4</v>
      </c>
      <c r="B626" t="n">
        <v>25</v>
      </c>
      <c r="C626">
        <f>ROUND(SQRT(E626),2)</f>
        <v/>
      </c>
      <c r="D626">
        <f>MIN(MIN(B626,Parameters!$B$2)^2, D625+Parameters!$B$24)</f>
        <v/>
      </c>
      <c r="E626">
        <f>MIN(D626, E627+Parameters!$B$24)</f>
        <v/>
      </c>
    </row>
    <row r="627">
      <c r="A627" t="n">
        <v>62.5</v>
      </c>
      <c r="B627" t="n">
        <v>25</v>
      </c>
      <c r="C627">
        <f>ROUND(SQRT(E627),2)</f>
        <v/>
      </c>
      <c r="D627">
        <f>MIN(MIN(B627,Parameters!$B$2)^2, D626+Parameters!$B$24)</f>
        <v/>
      </c>
      <c r="E627">
        <f>MIN(D627, E628+Parameters!$B$24)</f>
        <v/>
      </c>
    </row>
    <row r="628">
      <c r="A628" t="n">
        <v>62.6</v>
      </c>
      <c r="B628" t="n">
        <v>25</v>
      </c>
      <c r="C628">
        <f>ROUND(SQRT(E628),2)</f>
        <v/>
      </c>
      <c r="D628">
        <f>MIN(MIN(B628,Parameters!$B$2)^2, D627+Parameters!$B$24)</f>
        <v/>
      </c>
      <c r="E628">
        <f>MIN(D628, E629+Parameters!$B$24)</f>
        <v/>
      </c>
    </row>
    <row r="629">
      <c r="A629" t="n">
        <v>62.7</v>
      </c>
      <c r="B629" t="n">
        <v>25</v>
      </c>
      <c r="C629">
        <f>ROUND(SQRT(E629),2)</f>
        <v/>
      </c>
      <c r="D629">
        <f>MIN(MIN(B629,Parameters!$B$2)^2, D628+Parameters!$B$24)</f>
        <v/>
      </c>
      <c r="E629">
        <f>MIN(D629, E630+Parameters!$B$24)</f>
        <v/>
      </c>
    </row>
    <row r="630">
      <c r="A630" t="n">
        <v>62.8</v>
      </c>
      <c r="B630" t="n">
        <v>25</v>
      </c>
      <c r="C630">
        <f>ROUND(SQRT(E630),2)</f>
        <v/>
      </c>
      <c r="D630">
        <f>MIN(MIN(B630,Parameters!$B$2)^2, D629+Parameters!$B$24)</f>
        <v/>
      </c>
      <c r="E630">
        <f>MIN(D630, E631+Parameters!$B$24)</f>
        <v/>
      </c>
    </row>
    <row r="631">
      <c r="A631" t="n">
        <v>62.9</v>
      </c>
      <c r="B631" t="n">
        <v>25</v>
      </c>
      <c r="C631">
        <f>ROUND(SQRT(E631),2)</f>
        <v/>
      </c>
      <c r="D631">
        <f>MIN(MIN(B631,Parameters!$B$2)^2, D630+Parameters!$B$24)</f>
        <v/>
      </c>
      <c r="E631">
        <f>MIN(D631, E632+Parameters!$B$24)</f>
        <v/>
      </c>
    </row>
    <row r="632">
      <c r="A632" t="n">
        <v>63</v>
      </c>
      <c r="B632" t="n">
        <v>25</v>
      </c>
      <c r="C632">
        <f>ROUND(SQRT(E632),2)</f>
        <v/>
      </c>
      <c r="D632">
        <f>MIN(MIN(B632,Parameters!$B$2)^2, D631+Parameters!$B$24)</f>
        <v/>
      </c>
      <c r="E632">
        <f>MIN(D632, E633+Parameters!$B$24)</f>
        <v/>
      </c>
    </row>
    <row r="633">
      <c r="A633" t="n">
        <v>63.1</v>
      </c>
      <c r="B633" t="n">
        <v>25</v>
      </c>
      <c r="C633">
        <f>ROUND(SQRT(E633),2)</f>
        <v/>
      </c>
      <c r="D633">
        <f>MIN(MIN(B633,Parameters!$B$2)^2, D632+Parameters!$B$24)</f>
        <v/>
      </c>
      <c r="E633">
        <f>MIN(D633, E634+Parameters!$B$24)</f>
        <v/>
      </c>
    </row>
    <row r="634">
      <c r="A634" t="n">
        <v>63.2</v>
      </c>
      <c r="B634" t="n">
        <v>25</v>
      </c>
      <c r="C634">
        <f>ROUND(SQRT(E634),2)</f>
        <v/>
      </c>
      <c r="D634">
        <f>MIN(MIN(B634,Parameters!$B$2)^2, D633+Parameters!$B$24)</f>
        <v/>
      </c>
      <c r="E634">
        <f>MIN(D634, E635+Parameters!$B$24)</f>
        <v/>
      </c>
    </row>
    <row r="635">
      <c r="A635" t="n">
        <v>63.3</v>
      </c>
      <c r="B635" t="n">
        <v>25</v>
      </c>
      <c r="C635">
        <f>ROUND(SQRT(E635),2)</f>
        <v/>
      </c>
      <c r="D635">
        <f>MIN(MIN(B635,Parameters!$B$2)^2, D634+Parameters!$B$24)</f>
        <v/>
      </c>
      <c r="E635">
        <f>MIN(D635, E636+Parameters!$B$24)</f>
        <v/>
      </c>
    </row>
    <row r="636">
      <c r="A636" t="n">
        <v>63.4</v>
      </c>
      <c r="B636" t="n">
        <v>25</v>
      </c>
      <c r="C636">
        <f>ROUND(SQRT(E636),2)</f>
        <v/>
      </c>
      <c r="D636">
        <f>MIN(MIN(B636,Parameters!$B$2)^2, D635+Parameters!$B$24)</f>
        <v/>
      </c>
      <c r="E636">
        <f>MIN(D636, E637+Parameters!$B$24)</f>
        <v/>
      </c>
    </row>
    <row r="637">
      <c r="A637" t="n">
        <v>63.5</v>
      </c>
      <c r="B637" t="n">
        <v>25</v>
      </c>
      <c r="C637">
        <f>ROUND(SQRT(E637),2)</f>
        <v/>
      </c>
      <c r="D637">
        <f>MIN(MIN(B637,Parameters!$B$2)^2, D636+Parameters!$B$24)</f>
        <v/>
      </c>
      <c r="E637">
        <f>MIN(D637, E638+Parameters!$B$24)</f>
        <v/>
      </c>
    </row>
    <row r="638">
      <c r="A638" t="n">
        <v>63.6</v>
      </c>
      <c r="B638" t="n">
        <v>25</v>
      </c>
      <c r="C638">
        <f>ROUND(SQRT(E638),2)</f>
        <v/>
      </c>
      <c r="D638">
        <f>MIN(MIN(B638,Parameters!$B$2)^2, D637+Parameters!$B$24)</f>
        <v/>
      </c>
      <c r="E638">
        <f>MIN(D638, E639+Parameters!$B$24)</f>
        <v/>
      </c>
    </row>
    <row r="639">
      <c r="A639" t="n">
        <v>63.7</v>
      </c>
      <c r="B639" t="n">
        <v>25</v>
      </c>
      <c r="C639">
        <f>ROUND(SQRT(E639),2)</f>
        <v/>
      </c>
      <c r="D639">
        <f>MIN(MIN(B639,Parameters!$B$2)^2, D638+Parameters!$B$24)</f>
        <v/>
      </c>
      <c r="E639">
        <f>MIN(D639, E640+Parameters!$B$24)</f>
        <v/>
      </c>
    </row>
    <row r="640">
      <c r="A640" t="n">
        <v>63.8</v>
      </c>
      <c r="B640" t="n">
        <v>25</v>
      </c>
      <c r="C640">
        <f>ROUND(SQRT(E640),2)</f>
        <v/>
      </c>
      <c r="D640">
        <f>MIN(MIN(B640,Parameters!$B$2)^2, D639+Parameters!$B$24)</f>
        <v/>
      </c>
      <c r="E640">
        <f>MIN(D640, E641+Parameters!$B$24)</f>
        <v/>
      </c>
    </row>
    <row r="641">
      <c r="A641" t="n">
        <v>63.9</v>
      </c>
      <c r="B641" t="n">
        <v>25</v>
      </c>
      <c r="C641">
        <f>ROUND(SQRT(E641),2)</f>
        <v/>
      </c>
      <c r="D641">
        <f>MIN(MIN(B641,Parameters!$B$2)^2, D640+Parameters!$B$24)</f>
        <v/>
      </c>
      <c r="E641">
        <f>MIN(D641, E642+Parameters!$B$24)</f>
        <v/>
      </c>
    </row>
    <row r="642">
      <c r="A642" t="n">
        <v>64</v>
      </c>
      <c r="B642" t="n">
        <v>25</v>
      </c>
      <c r="C642">
        <f>ROUND(SQRT(E642),2)</f>
        <v/>
      </c>
      <c r="D642">
        <f>MIN(MIN(B642,Parameters!$B$2)^2, D641+Parameters!$B$24)</f>
        <v/>
      </c>
      <c r="E642">
        <f>MIN(D642, E643+Parameters!$B$24)</f>
        <v/>
      </c>
    </row>
    <row r="643">
      <c r="A643" t="n">
        <v>64.09999999999999</v>
      </c>
      <c r="B643" t="n">
        <v>25</v>
      </c>
      <c r="C643">
        <f>ROUND(SQRT(E643),2)</f>
        <v/>
      </c>
      <c r="D643">
        <f>MIN(MIN(B643,Parameters!$B$2)^2, D642+Parameters!$B$24)</f>
        <v/>
      </c>
      <c r="E643">
        <f>MIN(D643, E644+Parameters!$B$24)</f>
        <v/>
      </c>
    </row>
    <row r="644">
      <c r="A644" t="n">
        <v>64.2</v>
      </c>
      <c r="B644" t="n">
        <v>25</v>
      </c>
      <c r="C644">
        <f>ROUND(SQRT(E644),2)</f>
        <v/>
      </c>
      <c r="D644">
        <f>MIN(MIN(B644,Parameters!$B$2)^2, D643+Parameters!$B$24)</f>
        <v/>
      </c>
      <c r="E644">
        <f>MIN(D644, E645+Parameters!$B$24)</f>
        <v/>
      </c>
    </row>
    <row r="645">
      <c r="A645" t="n">
        <v>64.3</v>
      </c>
      <c r="B645" t="n">
        <v>25</v>
      </c>
      <c r="C645">
        <f>ROUND(SQRT(E645),2)</f>
        <v/>
      </c>
      <c r="D645">
        <f>MIN(MIN(B645,Parameters!$B$2)^2, D644+Parameters!$B$24)</f>
        <v/>
      </c>
      <c r="E645">
        <f>MIN(D645, E646+Parameters!$B$24)</f>
        <v/>
      </c>
    </row>
    <row r="646">
      <c r="A646" t="n">
        <v>64.40000000000001</v>
      </c>
      <c r="B646" t="n">
        <v>25</v>
      </c>
      <c r="C646">
        <f>ROUND(SQRT(E646),2)</f>
        <v/>
      </c>
      <c r="D646">
        <f>MIN(MIN(B646,Parameters!$B$2)^2, D645+Parameters!$B$24)</f>
        <v/>
      </c>
      <c r="E646">
        <f>MIN(D646, E647+Parameters!$B$24)</f>
        <v/>
      </c>
    </row>
    <row r="647">
      <c r="A647" t="n">
        <v>64.5</v>
      </c>
      <c r="B647" t="n">
        <v>25</v>
      </c>
      <c r="C647">
        <f>ROUND(SQRT(E647),2)</f>
        <v/>
      </c>
      <c r="D647">
        <f>MIN(MIN(B647,Parameters!$B$2)^2, D646+Parameters!$B$24)</f>
        <v/>
      </c>
      <c r="E647">
        <f>MIN(D647, E648+Parameters!$B$24)</f>
        <v/>
      </c>
    </row>
    <row r="648">
      <c r="A648" t="n">
        <v>64.59999999999999</v>
      </c>
      <c r="B648" t="n">
        <v>25</v>
      </c>
      <c r="C648">
        <f>ROUND(SQRT(E648),2)</f>
        <v/>
      </c>
      <c r="D648">
        <f>MIN(MIN(B648,Parameters!$B$2)^2, D647+Parameters!$B$24)</f>
        <v/>
      </c>
      <c r="E648">
        <f>MIN(D648, E649+Parameters!$B$24)</f>
        <v/>
      </c>
    </row>
    <row r="649">
      <c r="A649" t="n">
        <v>64.7</v>
      </c>
      <c r="B649" t="n">
        <v>25</v>
      </c>
      <c r="C649">
        <f>ROUND(SQRT(E649),2)</f>
        <v/>
      </c>
      <c r="D649">
        <f>MIN(MIN(B649,Parameters!$B$2)^2, D648+Parameters!$B$24)</f>
        <v/>
      </c>
      <c r="E649">
        <f>MIN(D649, E650+Parameters!$B$24)</f>
        <v/>
      </c>
    </row>
    <row r="650">
      <c r="A650" t="n">
        <v>64.8</v>
      </c>
      <c r="B650" t="n">
        <v>25</v>
      </c>
      <c r="C650">
        <f>ROUND(SQRT(E650),2)</f>
        <v/>
      </c>
      <c r="D650">
        <f>MIN(MIN(B650,Parameters!$B$2)^2, D649+Parameters!$B$24)</f>
        <v/>
      </c>
      <c r="E650">
        <f>MIN(D650, E651+Parameters!$B$24)</f>
        <v/>
      </c>
    </row>
    <row r="651">
      <c r="A651" t="n">
        <v>64.90000000000001</v>
      </c>
      <c r="B651" t="n">
        <v>25</v>
      </c>
      <c r="C651">
        <f>ROUND(SQRT(E651),2)</f>
        <v/>
      </c>
      <c r="D651">
        <f>MIN(MIN(B651,Parameters!$B$2)^2, D650+Parameters!$B$24)</f>
        <v/>
      </c>
      <c r="E651">
        <f>MIN(D651, E652+Parameters!$B$24)</f>
        <v/>
      </c>
    </row>
    <row r="652">
      <c r="A652" t="n">
        <v>65</v>
      </c>
      <c r="B652" t="n">
        <v>25</v>
      </c>
      <c r="C652">
        <f>ROUND(SQRT(E652),2)</f>
        <v/>
      </c>
      <c r="D652">
        <f>MIN(MIN(B652,Parameters!$B$2)^2, D651+Parameters!$B$24)</f>
        <v/>
      </c>
      <c r="E652">
        <f>MIN(D652, E653+Parameters!$B$24)</f>
        <v/>
      </c>
    </row>
    <row r="653">
      <c r="A653" t="n">
        <v>65.09999999999999</v>
      </c>
      <c r="B653" t="n">
        <v>25</v>
      </c>
      <c r="C653">
        <f>ROUND(SQRT(E653),2)</f>
        <v/>
      </c>
      <c r="D653">
        <f>MIN(MIN(B653,Parameters!$B$2)^2, D652+Parameters!$B$24)</f>
        <v/>
      </c>
      <c r="E653">
        <f>MIN(D653, E654+Parameters!$B$24)</f>
        <v/>
      </c>
    </row>
    <row r="654">
      <c r="A654" t="n">
        <v>65.2</v>
      </c>
      <c r="B654" t="n">
        <v>25</v>
      </c>
      <c r="C654">
        <f>ROUND(SQRT(E654),2)</f>
        <v/>
      </c>
      <c r="D654">
        <f>MIN(MIN(B654,Parameters!$B$2)^2, D653+Parameters!$B$24)</f>
        <v/>
      </c>
      <c r="E654">
        <f>MIN(D654, E655+Parameters!$B$24)</f>
        <v/>
      </c>
    </row>
    <row r="655">
      <c r="A655" t="n">
        <v>65.3</v>
      </c>
      <c r="B655" t="n">
        <v>25</v>
      </c>
      <c r="C655">
        <f>ROUND(SQRT(E655),2)</f>
        <v/>
      </c>
      <c r="D655">
        <f>MIN(MIN(B655,Parameters!$B$2)^2, D654+Parameters!$B$24)</f>
        <v/>
      </c>
      <c r="E655">
        <f>MIN(D655, E656+Parameters!$B$24)</f>
        <v/>
      </c>
    </row>
    <row r="656">
      <c r="A656" t="n">
        <v>65.40000000000001</v>
      </c>
      <c r="B656" t="n">
        <v>25</v>
      </c>
      <c r="C656">
        <f>ROUND(SQRT(E656),2)</f>
        <v/>
      </c>
      <c r="D656">
        <f>MIN(MIN(B656,Parameters!$B$2)^2, D655+Parameters!$B$24)</f>
        <v/>
      </c>
      <c r="E656">
        <f>MIN(D656, E657+Parameters!$B$24)</f>
        <v/>
      </c>
    </row>
    <row r="657">
      <c r="A657" t="n">
        <v>65.5</v>
      </c>
      <c r="B657" t="n">
        <v>25</v>
      </c>
      <c r="C657">
        <f>ROUND(SQRT(E657),2)</f>
        <v/>
      </c>
      <c r="D657">
        <f>MIN(MIN(B657,Parameters!$B$2)^2, D656+Parameters!$B$24)</f>
        <v/>
      </c>
      <c r="E657">
        <f>MIN(D657, E658+Parameters!$B$24)</f>
        <v/>
      </c>
    </row>
    <row r="658">
      <c r="A658" t="n">
        <v>65.59999999999999</v>
      </c>
      <c r="B658" t="n">
        <v>25</v>
      </c>
      <c r="C658">
        <f>ROUND(SQRT(E658),2)</f>
        <v/>
      </c>
      <c r="D658">
        <f>MIN(MIN(B658,Parameters!$B$2)^2, D657+Parameters!$B$24)</f>
        <v/>
      </c>
      <c r="E658">
        <f>MIN(D658, E659+Parameters!$B$24)</f>
        <v/>
      </c>
    </row>
    <row r="659">
      <c r="A659" t="n">
        <v>65.7</v>
      </c>
      <c r="B659" t="n">
        <v>25</v>
      </c>
      <c r="C659">
        <f>ROUND(SQRT(E659),2)</f>
        <v/>
      </c>
      <c r="D659">
        <f>MIN(MIN(B659,Parameters!$B$2)^2, D658+Parameters!$B$24)</f>
        <v/>
      </c>
      <c r="E659">
        <f>MIN(D659, E660+Parameters!$B$24)</f>
        <v/>
      </c>
    </row>
    <row r="660">
      <c r="A660" t="n">
        <v>65.8</v>
      </c>
      <c r="B660" t="n">
        <v>25</v>
      </c>
      <c r="C660">
        <f>ROUND(SQRT(E660),2)</f>
        <v/>
      </c>
      <c r="D660">
        <f>MIN(MIN(B660,Parameters!$B$2)^2, D659+Parameters!$B$24)</f>
        <v/>
      </c>
      <c r="E660">
        <f>MIN(D660, E661+Parameters!$B$24)</f>
        <v/>
      </c>
    </row>
    <row r="661">
      <c r="A661" t="n">
        <v>65.90000000000001</v>
      </c>
      <c r="B661" t="n">
        <v>25</v>
      </c>
      <c r="C661">
        <f>ROUND(SQRT(E661),2)</f>
        <v/>
      </c>
      <c r="D661">
        <f>MIN(MIN(B661,Parameters!$B$2)^2, D660+Parameters!$B$24)</f>
        <v/>
      </c>
      <c r="E661">
        <f>MIN(D661, E662+Parameters!$B$24)</f>
        <v/>
      </c>
    </row>
    <row r="662">
      <c r="A662" t="n">
        <v>66</v>
      </c>
      <c r="B662" t="n">
        <v>25</v>
      </c>
      <c r="C662">
        <f>ROUND(SQRT(E662),2)</f>
        <v/>
      </c>
      <c r="D662">
        <f>MIN(MIN(B662,Parameters!$B$2)^2, D661+Parameters!$B$24)</f>
        <v/>
      </c>
      <c r="E662">
        <f>MIN(D662, E663+Parameters!$B$24)</f>
        <v/>
      </c>
    </row>
    <row r="663">
      <c r="A663" t="n">
        <v>66.09999999999999</v>
      </c>
      <c r="B663" t="n">
        <v>25</v>
      </c>
      <c r="C663">
        <f>ROUND(SQRT(E663),2)</f>
        <v/>
      </c>
      <c r="D663">
        <f>MIN(MIN(B663,Parameters!$B$2)^2, D662+Parameters!$B$24)</f>
        <v/>
      </c>
      <c r="E663">
        <f>MIN(D663, E664+Parameters!$B$24)</f>
        <v/>
      </c>
    </row>
    <row r="664">
      <c r="A664" t="n">
        <v>66.2</v>
      </c>
      <c r="B664" t="n">
        <v>25</v>
      </c>
      <c r="C664">
        <f>ROUND(SQRT(E664),2)</f>
        <v/>
      </c>
      <c r="D664">
        <f>MIN(MIN(B664,Parameters!$B$2)^2, D663+Parameters!$B$24)</f>
        <v/>
      </c>
      <c r="E664">
        <f>MIN(D664, E665+Parameters!$B$24)</f>
        <v/>
      </c>
    </row>
    <row r="665">
      <c r="A665" t="n">
        <v>66.3</v>
      </c>
      <c r="B665" t="n">
        <v>25</v>
      </c>
      <c r="C665">
        <f>ROUND(SQRT(E665),2)</f>
        <v/>
      </c>
      <c r="D665">
        <f>MIN(MIN(B665,Parameters!$B$2)^2, D664+Parameters!$B$24)</f>
        <v/>
      </c>
      <c r="E665">
        <f>MIN(D665, E666+Parameters!$B$24)</f>
        <v/>
      </c>
    </row>
    <row r="666">
      <c r="A666" t="n">
        <v>66.40000000000001</v>
      </c>
      <c r="B666" t="n">
        <v>25</v>
      </c>
      <c r="C666">
        <f>ROUND(SQRT(E666),2)</f>
        <v/>
      </c>
      <c r="D666">
        <f>MIN(MIN(B666,Parameters!$B$2)^2, D665+Parameters!$B$24)</f>
        <v/>
      </c>
      <c r="E666">
        <f>MIN(D666, E667+Parameters!$B$24)</f>
        <v/>
      </c>
    </row>
    <row r="667">
      <c r="A667" t="n">
        <v>66.5</v>
      </c>
      <c r="B667" t="n">
        <v>25</v>
      </c>
      <c r="C667">
        <f>ROUND(SQRT(E667),2)</f>
        <v/>
      </c>
      <c r="D667">
        <f>MIN(MIN(B667,Parameters!$B$2)^2, D666+Parameters!$B$24)</f>
        <v/>
      </c>
      <c r="E667">
        <f>MIN(D667, E668+Parameters!$B$24)</f>
        <v/>
      </c>
    </row>
    <row r="668">
      <c r="A668" t="n">
        <v>66.59999999999999</v>
      </c>
      <c r="B668" t="n">
        <v>25</v>
      </c>
      <c r="C668">
        <f>ROUND(SQRT(E668),2)</f>
        <v/>
      </c>
      <c r="D668">
        <f>MIN(MIN(B668,Parameters!$B$2)^2, D667+Parameters!$B$24)</f>
        <v/>
      </c>
      <c r="E668">
        <f>MIN(D668, E669+Parameters!$B$24)</f>
        <v/>
      </c>
    </row>
    <row r="669">
      <c r="A669" t="n">
        <v>66.7</v>
      </c>
      <c r="B669" t="n">
        <v>25</v>
      </c>
      <c r="C669">
        <f>ROUND(SQRT(E669),2)</f>
        <v/>
      </c>
      <c r="D669">
        <f>MIN(MIN(B669,Parameters!$B$2)^2, D668+Parameters!$B$24)</f>
        <v/>
      </c>
      <c r="E669">
        <f>MIN(D669, E670+Parameters!$B$24)</f>
        <v/>
      </c>
    </row>
    <row r="670">
      <c r="A670" t="n">
        <v>66.8</v>
      </c>
      <c r="B670" t="n">
        <v>25</v>
      </c>
      <c r="C670">
        <f>ROUND(SQRT(E670),2)</f>
        <v/>
      </c>
      <c r="D670">
        <f>MIN(MIN(B670,Parameters!$B$2)^2, D669+Parameters!$B$24)</f>
        <v/>
      </c>
      <c r="E670">
        <f>MIN(D670, E671+Parameters!$B$24)</f>
        <v/>
      </c>
    </row>
    <row r="671">
      <c r="A671" t="n">
        <v>66.90000000000001</v>
      </c>
      <c r="B671" t="n">
        <v>25</v>
      </c>
      <c r="C671">
        <f>ROUND(SQRT(E671),2)</f>
        <v/>
      </c>
      <c r="D671">
        <f>MIN(MIN(B671,Parameters!$B$2)^2, D670+Parameters!$B$24)</f>
        <v/>
      </c>
      <c r="E671">
        <f>MIN(D671, E672+Parameters!$B$24)</f>
        <v/>
      </c>
    </row>
    <row r="672">
      <c r="A672" t="n">
        <v>67</v>
      </c>
      <c r="B672" t="n">
        <v>25</v>
      </c>
      <c r="C672">
        <f>ROUND(SQRT(E672),2)</f>
        <v/>
      </c>
      <c r="D672">
        <f>MIN(MIN(B672,Parameters!$B$2)^2, D671+Parameters!$B$24)</f>
        <v/>
      </c>
      <c r="E672">
        <f>MIN(D672, E673+Parameters!$B$24)</f>
        <v/>
      </c>
    </row>
    <row r="673">
      <c r="A673" t="n">
        <v>67.09999999999999</v>
      </c>
      <c r="B673" t="n">
        <v>25</v>
      </c>
      <c r="C673">
        <f>ROUND(SQRT(E673),2)</f>
        <v/>
      </c>
      <c r="D673">
        <f>MIN(MIN(B673,Parameters!$B$2)^2, D672+Parameters!$B$24)</f>
        <v/>
      </c>
      <c r="E673">
        <f>MIN(D673, E674+Parameters!$B$24)</f>
        <v/>
      </c>
    </row>
    <row r="674">
      <c r="A674" t="n">
        <v>67.2</v>
      </c>
      <c r="B674" t="n">
        <v>25</v>
      </c>
      <c r="C674">
        <f>ROUND(SQRT(E674),2)</f>
        <v/>
      </c>
      <c r="D674">
        <f>MIN(MIN(B674,Parameters!$B$2)^2, D673+Parameters!$B$24)</f>
        <v/>
      </c>
      <c r="E674">
        <f>MIN(D674, E675+Parameters!$B$24)</f>
        <v/>
      </c>
    </row>
    <row r="675">
      <c r="A675" t="n">
        <v>67.3</v>
      </c>
      <c r="B675" t="n">
        <v>25</v>
      </c>
      <c r="C675">
        <f>ROUND(SQRT(E675),2)</f>
        <v/>
      </c>
      <c r="D675">
        <f>MIN(MIN(B675,Parameters!$B$2)^2, D674+Parameters!$B$24)</f>
        <v/>
      </c>
      <c r="E675">
        <f>MIN(D675, E676+Parameters!$B$24)</f>
        <v/>
      </c>
    </row>
    <row r="676">
      <c r="A676" t="n">
        <v>67.40000000000001</v>
      </c>
      <c r="B676" t="n">
        <v>25</v>
      </c>
      <c r="C676">
        <f>ROUND(SQRT(E676),2)</f>
        <v/>
      </c>
      <c r="D676">
        <f>MIN(MIN(B676,Parameters!$B$2)^2, D675+Parameters!$B$24)</f>
        <v/>
      </c>
      <c r="E676">
        <f>MIN(D676, E677+Parameters!$B$24)</f>
        <v/>
      </c>
    </row>
    <row r="677">
      <c r="A677" t="n">
        <v>67.5</v>
      </c>
      <c r="B677" t="n">
        <v>25</v>
      </c>
      <c r="C677">
        <f>ROUND(SQRT(E677),2)</f>
        <v/>
      </c>
      <c r="D677">
        <f>MIN(MIN(B677,Parameters!$B$2)^2, D676+Parameters!$B$24)</f>
        <v/>
      </c>
      <c r="E677">
        <f>MIN(D677, E678+Parameters!$B$24)</f>
        <v/>
      </c>
    </row>
    <row r="678">
      <c r="A678" t="n">
        <v>67.59999999999999</v>
      </c>
      <c r="B678" t="n">
        <v>25</v>
      </c>
      <c r="C678">
        <f>ROUND(SQRT(E678),2)</f>
        <v/>
      </c>
      <c r="D678">
        <f>MIN(MIN(B678,Parameters!$B$2)^2, D677+Parameters!$B$24)</f>
        <v/>
      </c>
      <c r="E678">
        <f>MIN(D678, E679+Parameters!$B$24)</f>
        <v/>
      </c>
    </row>
    <row r="679">
      <c r="A679" t="n">
        <v>67.7</v>
      </c>
      <c r="B679" t="n">
        <v>25</v>
      </c>
      <c r="C679">
        <f>ROUND(SQRT(E679),2)</f>
        <v/>
      </c>
      <c r="D679">
        <f>MIN(MIN(B679,Parameters!$B$2)^2, D678+Parameters!$B$24)</f>
        <v/>
      </c>
      <c r="E679">
        <f>MIN(D679, E680+Parameters!$B$24)</f>
        <v/>
      </c>
    </row>
    <row r="680">
      <c r="A680" t="n">
        <v>67.8</v>
      </c>
      <c r="B680" t="n">
        <v>25</v>
      </c>
      <c r="C680">
        <f>ROUND(SQRT(E680),2)</f>
        <v/>
      </c>
      <c r="D680">
        <f>MIN(MIN(B680,Parameters!$B$2)^2, D679+Parameters!$B$24)</f>
        <v/>
      </c>
      <c r="E680">
        <f>MIN(D680, E681+Parameters!$B$24)</f>
        <v/>
      </c>
    </row>
    <row r="681">
      <c r="A681" t="n">
        <v>67.90000000000001</v>
      </c>
      <c r="B681" t="n">
        <v>25</v>
      </c>
      <c r="C681">
        <f>ROUND(SQRT(E681),2)</f>
        <v/>
      </c>
      <c r="D681">
        <f>MIN(MIN(B681,Parameters!$B$2)^2, D680+Parameters!$B$24)</f>
        <v/>
      </c>
      <c r="E681">
        <f>MIN(D681, E682+Parameters!$B$24)</f>
        <v/>
      </c>
    </row>
    <row r="682">
      <c r="A682" t="n">
        <v>68</v>
      </c>
      <c r="B682" t="n">
        <v>25</v>
      </c>
      <c r="C682">
        <f>ROUND(SQRT(E682),2)</f>
        <v/>
      </c>
      <c r="D682">
        <f>MIN(MIN(B682,Parameters!$B$2)^2, D681+Parameters!$B$24)</f>
        <v/>
      </c>
      <c r="E682">
        <f>MIN(D682, E683+Parameters!$B$24)</f>
        <v/>
      </c>
    </row>
    <row r="683">
      <c r="A683" t="n">
        <v>68.09999999999999</v>
      </c>
      <c r="B683" t="n">
        <v>25</v>
      </c>
      <c r="C683">
        <f>ROUND(SQRT(E683),2)</f>
        <v/>
      </c>
      <c r="D683">
        <f>MIN(MIN(B683,Parameters!$B$2)^2, D682+Parameters!$B$24)</f>
        <v/>
      </c>
      <c r="E683">
        <f>MIN(D683, E684+Parameters!$B$24)</f>
        <v/>
      </c>
    </row>
    <row r="684">
      <c r="A684" t="n">
        <v>68.2</v>
      </c>
      <c r="B684" t="n">
        <v>25</v>
      </c>
      <c r="C684">
        <f>ROUND(SQRT(E684),2)</f>
        <v/>
      </c>
      <c r="D684">
        <f>MIN(MIN(B684,Parameters!$B$2)^2, D683+Parameters!$B$24)</f>
        <v/>
      </c>
      <c r="E684">
        <f>MIN(D684, E685+Parameters!$B$24)</f>
        <v/>
      </c>
    </row>
    <row r="685">
      <c r="A685" t="n">
        <v>68.3</v>
      </c>
      <c r="B685" t="n">
        <v>25</v>
      </c>
      <c r="C685">
        <f>ROUND(SQRT(E685),2)</f>
        <v/>
      </c>
      <c r="D685">
        <f>MIN(MIN(B685,Parameters!$B$2)^2, D684+Parameters!$B$24)</f>
        <v/>
      </c>
      <c r="E685">
        <f>MIN(D685, E686+Parameters!$B$24)</f>
        <v/>
      </c>
    </row>
    <row r="686">
      <c r="A686" t="n">
        <v>68.40000000000001</v>
      </c>
      <c r="B686" t="n">
        <v>25</v>
      </c>
      <c r="C686">
        <f>ROUND(SQRT(E686),2)</f>
        <v/>
      </c>
      <c r="D686">
        <f>MIN(MIN(B686,Parameters!$B$2)^2, D685+Parameters!$B$24)</f>
        <v/>
      </c>
      <c r="E686">
        <f>MIN(D686, E687+Parameters!$B$24)</f>
        <v/>
      </c>
    </row>
    <row r="687">
      <c r="A687" t="n">
        <v>68.5</v>
      </c>
      <c r="B687" t="n">
        <v>25</v>
      </c>
      <c r="C687">
        <f>ROUND(SQRT(E687),2)</f>
        <v/>
      </c>
      <c r="D687">
        <f>MIN(MIN(B687,Parameters!$B$2)^2, D686+Parameters!$B$24)</f>
        <v/>
      </c>
      <c r="E687">
        <f>MIN(D687, E688+Parameters!$B$24)</f>
        <v/>
      </c>
    </row>
    <row r="688">
      <c r="A688" t="n">
        <v>68.59999999999999</v>
      </c>
      <c r="B688" t="n">
        <v>25</v>
      </c>
      <c r="C688">
        <f>ROUND(SQRT(E688),2)</f>
        <v/>
      </c>
      <c r="D688">
        <f>MIN(MIN(B688,Parameters!$B$2)^2, D687+Parameters!$B$24)</f>
        <v/>
      </c>
      <c r="E688">
        <f>MIN(D688, E689+Parameters!$B$24)</f>
        <v/>
      </c>
    </row>
    <row r="689">
      <c r="A689" t="n">
        <v>68.7</v>
      </c>
      <c r="B689" t="n">
        <v>25</v>
      </c>
      <c r="C689">
        <f>ROUND(SQRT(E689),2)</f>
        <v/>
      </c>
      <c r="D689">
        <f>MIN(MIN(B689,Parameters!$B$2)^2, D688+Parameters!$B$24)</f>
        <v/>
      </c>
      <c r="E689">
        <f>MIN(D689, E690+Parameters!$B$24)</f>
        <v/>
      </c>
    </row>
    <row r="690">
      <c r="A690" t="n">
        <v>68.8</v>
      </c>
      <c r="B690" t="n">
        <v>25</v>
      </c>
      <c r="C690">
        <f>ROUND(SQRT(E690),2)</f>
        <v/>
      </c>
      <c r="D690">
        <f>MIN(MIN(B690,Parameters!$B$2)^2, D689+Parameters!$B$24)</f>
        <v/>
      </c>
      <c r="E690">
        <f>MIN(D690, E691+Parameters!$B$24)</f>
        <v/>
      </c>
    </row>
    <row r="691">
      <c r="A691" t="n">
        <v>68.90000000000001</v>
      </c>
      <c r="B691" t="n">
        <v>25</v>
      </c>
      <c r="C691">
        <f>ROUND(SQRT(E691),2)</f>
        <v/>
      </c>
      <c r="D691">
        <f>MIN(MIN(B691,Parameters!$B$2)^2, D690+Parameters!$B$24)</f>
        <v/>
      </c>
      <c r="E691">
        <f>MIN(D691, E692+Parameters!$B$24)</f>
        <v/>
      </c>
    </row>
    <row r="692">
      <c r="A692" t="n">
        <v>69</v>
      </c>
      <c r="B692" t="n">
        <v>25</v>
      </c>
      <c r="C692">
        <f>ROUND(SQRT(E692),2)</f>
        <v/>
      </c>
      <c r="D692">
        <f>MIN(MIN(B692,Parameters!$B$2)^2, D691+Parameters!$B$24)</f>
        <v/>
      </c>
      <c r="E692">
        <f>MIN(D692, E693+Parameters!$B$24)</f>
        <v/>
      </c>
    </row>
    <row r="693">
      <c r="A693" t="n">
        <v>69.09999999999999</v>
      </c>
      <c r="B693" t="n">
        <v>25</v>
      </c>
      <c r="C693">
        <f>ROUND(SQRT(E693),2)</f>
        <v/>
      </c>
      <c r="D693">
        <f>MIN(MIN(B693,Parameters!$B$2)^2, D692+Parameters!$B$24)</f>
        <v/>
      </c>
      <c r="E693">
        <f>MIN(D693, E694+Parameters!$B$24)</f>
        <v/>
      </c>
    </row>
    <row r="694">
      <c r="A694" t="n">
        <v>69.2</v>
      </c>
      <c r="B694" t="n">
        <v>25</v>
      </c>
      <c r="C694">
        <f>ROUND(SQRT(E694),2)</f>
        <v/>
      </c>
      <c r="D694">
        <f>MIN(MIN(B694,Parameters!$B$2)^2, D693+Parameters!$B$24)</f>
        <v/>
      </c>
      <c r="E694">
        <f>MIN(D694, E695+Parameters!$B$24)</f>
        <v/>
      </c>
    </row>
    <row r="695">
      <c r="A695" t="n">
        <v>69.3</v>
      </c>
      <c r="B695" t="n">
        <v>25</v>
      </c>
      <c r="C695">
        <f>ROUND(SQRT(E695),2)</f>
        <v/>
      </c>
      <c r="D695">
        <f>MIN(MIN(B695,Parameters!$B$2)^2, D694+Parameters!$B$24)</f>
        <v/>
      </c>
      <c r="E695">
        <f>MIN(D695, E696+Parameters!$B$24)</f>
        <v/>
      </c>
    </row>
    <row r="696">
      <c r="A696" t="n">
        <v>69.40000000000001</v>
      </c>
      <c r="B696" t="n">
        <v>25</v>
      </c>
      <c r="C696">
        <f>ROUND(SQRT(E696),2)</f>
        <v/>
      </c>
      <c r="D696">
        <f>MIN(MIN(B696,Parameters!$B$2)^2, D695+Parameters!$B$24)</f>
        <v/>
      </c>
      <c r="E696">
        <f>MIN(D696, E697+Parameters!$B$24)</f>
        <v/>
      </c>
    </row>
    <row r="697">
      <c r="A697" t="n">
        <v>69.5</v>
      </c>
      <c r="B697" t="n">
        <v>25</v>
      </c>
      <c r="C697">
        <f>ROUND(SQRT(E697),2)</f>
        <v/>
      </c>
      <c r="D697">
        <f>MIN(MIN(B697,Parameters!$B$2)^2, D696+Parameters!$B$24)</f>
        <v/>
      </c>
      <c r="E697">
        <f>MIN(D697, E698+Parameters!$B$24)</f>
        <v/>
      </c>
    </row>
    <row r="698">
      <c r="A698" t="n">
        <v>69.59999999999999</v>
      </c>
      <c r="B698" t="n">
        <v>25</v>
      </c>
      <c r="C698">
        <f>ROUND(SQRT(E698),2)</f>
        <v/>
      </c>
      <c r="D698">
        <f>MIN(MIN(B698,Parameters!$B$2)^2, D697+Parameters!$B$24)</f>
        <v/>
      </c>
      <c r="E698">
        <f>MIN(D698, E699+Parameters!$B$24)</f>
        <v/>
      </c>
    </row>
    <row r="699">
      <c r="A699" t="n">
        <v>69.7</v>
      </c>
      <c r="B699" t="n">
        <v>25</v>
      </c>
      <c r="C699">
        <f>ROUND(SQRT(E699),2)</f>
        <v/>
      </c>
      <c r="D699">
        <f>MIN(MIN(B699,Parameters!$B$2)^2, D698+Parameters!$B$24)</f>
        <v/>
      </c>
      <c r="E699">
        <f>MIN(D699, E700+Parameters!$B$24)</f>
        <v/>
      </c>
    </row>
    <row r="700">
      <c r="A700" t="n">
        <v>69.8</v>
      </c>
      <c r="B700" t="n">
        <v>25</v>
      </c>
      <c r="C700">
        <f>ROUND(SQRT(E700),2)</f>
        <v/>
      </c>
      <c r="D700">
        <f>MIN(MIN(B700,Parameters!$B$2)^2, D699+Parameters!$B$24)</f>
        <v/>
      </c>
      <c r="E700">
        <f>MIN(D700, E701+Parameters!$B$24)</f>
        <v/>
      </c>
    </row>
    <row r="701">
      <c r="A701" t="n">
        <v>69.90000000000001</v>
      </c>
      <c r="B701" t="n">
        <v>25</v>
      </c>
      <c r="C701">
        <f>ROUND(SQRT(E701),2)</f>
        <v/>
      </c>
      <c r="D701">
        <f>MIN(MIN(B701,Parameters!$B$2)^2, D700+Parameters!$B$24)</f>
        <v/>
      </c>
      <c r="E701">
        <f>MIN(D701, E702+Parameters!$B$24)</f>
        <v/>
      </c>
    </row>
    <row r="702">
      <c r="A702" t="n">
        <v>70</v>
      </c>
      <c r="B702" t="n">
        <v>25</v>
      </c>
      <c r="C702">
        <f>ROUND(SQRT(E702),2)</f>
        <v/>
      </c>
      <c r="D702">
        <f>MIN(MIN(B702,Parameters!$B$2)^2, D701+Parameters!$B$24)</f>
        <v/>
      </c>
      <c r="E702">
        <f>MIN(D702, E703+Parameters!$B$24)</f>
        <v/>
      </c>
    </row>
    <row r="703">
      <c r="A703" t="n">
        <v>70.09999999999999</v>
      </c>
      <c r="B703" t="n">
        <v>25</v>
      </c>
      <c r="C703">
        <f>ROUND(SQRT(E703),2)</f>
        <v/>
      </c>
      <c r="D703">
        <f>MIN(MIN(B703,Parameters!$B$2)^2, D702+Parameters!$B$24)</f>
        <v/>
      </c>
      <c r="E703">
        <f>MIN(D703, E704+Parameters!$B$24)</f>
        <v/>
      </c>
    </row>
    <row r="704">
      <c r="A704" t="n">
        <v>70.2</v>
      </c>
      <c r="B704" t="n">
        <v>25</v>
      </c>
      <c r="C704">
        <f>ROUND(SQRT(E704),2)</f>
        <v/>
      </c>
      <c r="D704">
        <f>MIN(MIN(B704,Parameters!$B$2)^2, D703+Parameters!$B$24)</f>
        <v/>
      </c>
      <c r="E704">
        <f>MIN(D704, E705+Parameters!$B$24)</f>
        <v/>
      </c>
    </row>
    <row r="705">
      <c r="A705" t="n">
        <v>70.3</v>
      </c>
      <c r="B705" t="n">
        <v>25</v>
      </c>
      <c r="C705">
        <f>ROUND(SQRT(E705),2)</f>
        <v/>
      </c>
      <c r="D705">
        <f>MIN(MIN(B705,Parameters!$B$2)^2, D704+Parameters!$B$24)</f>
        <v/>
      </c>
      <c r="E705">
        <f>MIN(D705, E706+Parameters!$B$24)</f>
        <v/>
      </c>
    </row>
    <row r="706">
      <c r="A706" t="n">
        <v>70.40000000000001</v>
      </c>
      <c r="B706" t="n">
        <v>25</v>
      </c>
      <c r="C706">
        <f>ROUND(SQRT(E706),2)</f>
        <v/>
      </c>
      <c r="D706">
        <f>MIN(MIN(B706,Parameters!$B$2)^2, D705+Parameters!$B$24)</f>
        <v/>
      </c>
      <c r="E706">
        <f>MIN(D706, E707+Parameters!$B$24)</f>
        <v/>
      </c>
    </row>
    <row r="707">
      <c r="A707" t="n">
        <v>70.5</v>
      </c>
      <c r="B707" t="n">
        <v>25</v>
      </c>
      <c r="C707">
        <f>ROUND(SQRT(E707),2)</f>
        <v/>
      </c>
      <c r="D707">
        <f>MIN(MIN(B707,Parameters!$B$2)^2, D706+Parameters!$B$24)</f>
        <v/>
      </c>
      <c r="E707">
        <f>MIN(D707, E708+Parameters!$B$24)</f>
        <v/>
      </c>
    </row>
    <row r="708">
      <c r="A708" t="n">
        <v>70.59999999999999</v>
      </c>
      <c r="B708" t="n">
        <v>25</v>
      </c>
      <c r="C708">
        <f>ROUND(SQRT(E708),2)</f>
        <v/>
      </c>
      <c r="D708">
        <f>MIN(MIN(B708,Parameters!$B$2)^2, D707+Parameters!$B$24)</f>
        <v/>
      </c>
      <c r="E708">
        <f>MIN(D708, E709+Parameters!$B$24)</f>
        <v/>
      </c>
    </row>
    <row r="709">
      <c r="A709" t="n">
        <v>70.7</v>
      </c>
      <c r="B709" t="n">
        <v>25</v>
      </c>
      <c r="C709">
        <f>ROUND(SQRT(E709),2)</f>
        <v/>
      </c>
      <c r="D709">
        <f>MIN(MIN(B709,Parameters!$B$2)^2, D708+Parameters!$B$24)</f>
        <v/>
      </c>
      <c r="E709">
        <f>MIN(D709, E710+Parameters!$B$24)</f>
        <v/>
      </c>
    </row>
    <row r="710">
      <c r="A710" t="n">
        <v>70.8</v>
      </c>
      <c r="B710" t="n">
        <v>25</v>
      </c>
      <c r="C710">
        <f>ROUND(SQRT(E710),2)</f>
        <v/>
      </c>
      <c r="D710">
        <f>MIN(MIN(B710,Parameters!$B$2)^2, D709+Parameters!$B$24)</f>
        <v/>
      </c>
      <c r="E710">
        <f>MIN(D710, E711+Parameters!$B$24)</f>
        <v/>
      </c>
    </row>
    <row r="711">
      <c r="A711" t="n">
        <v>70.90000000000001</v>
      </c>
      <c r="B711" t="n">
        <v>25</v>
      </c>
      <c r="C711">
        <f>ROUND(SQRT(E711),2)</f>
        <v/>
      </c>
      <c r="D711">
        <f>MIN(MIN(B711,Parameters!$B$2)^2, D710+Parameters!$B$24)</f>
        <v/>
      </c>
      <c r="E711">
        <f>MIN(D711, E712+Parameters!$B$24)</f>
        <v/>
      </c>
    </row>
    <row r="712">
      <c r="A712" t="n">
        <v>71</v>
      </c>
      <c r="B712" t="n">
        <v>25</v>
      </c>
      <c r="C712">
        <f>ROUND(SQRT(E712),2)</f>
        <v/>
      </c>
      <c r="D712">
        <f>MIN(MIN(B712,Parameters!$B$2)^2, D711+Parameters!$B$24)</f>
        <v/>
      </c>
      <c r="E712">
        <f>MIN(D712, E713+Parameters!$B$24)</f>
        <v/>
      </c>
    </row>
    <row r="713">
      <c r="A713" t="n">
        <v>71.09999999999999</v>
      </c>
      <c r="B713" t="n">
        <v>25</v>
      </c>
      <c r="C713">
        <f>ROUND(SQRT(E713),2)</f>
        <v/>
      </c>
      <c r="D713">
        <f>MIN(MIN(B713,Parameters!$B$2)^2, D712+Parameters!$B$24)</f>
        <v/>
      </c>
      <c r="E713">
        <f>MIN(D713, E714+Parameters!$B$24)</f>
        <v/>
      </c>
    </row>
    <row r="714">
      <c r="A714" t="n">
        <v>71.2</v>
      </c>
      <c r="B714" t="n">
        <v>25</v>
      </c>
      <c r="C714">
        <f>ROUND(SQRT(E714),2)</f>
        <v/>
      </c>
      <c r="D714">
        <f>MIN(MIN(B714,Parameters!$B$2)^2, D713+Parameters!$B$24)</f>
        <v/>
      </c>
      <c r="E714">
        <f>MIN(D714, E715+Parameters!$B$24)</f>
        <v/>
      </c>
    </row>
    <row r="715">
      <c r="A715" t="n">
        <v>71.3</v>
      </c>
      <c r="B715" t="n">
        <v>25</v>
      </c>
      <c r="C715">
        <f>ROUND(SQRT(E715),2)</f>
        <v/>
      </c>
      <c r="D715">
        <f>MIN(MIN(B715,Parameters!$B$2)^2, D714+Parameters!$B$24)</f>
        <v/>
      </c>
      <c r="E715">
        <f>MIN(D715, E716+Parameters!$B$24)</f>
        <v/>
      </c>
    </row>
    <row r="716">
      <c r="A716" t="n">
        <v>71.40000000000001</v>
      </c>
      <c r="B716" t="n">
        <v>25</v>
      </c>
      <c r="C716">
        <f>ROUND(SQRT(E716),2)</f>
        <v/>
      </c>
      <c r="D716">
        <f>MIN(MIN(B716,Parameters!$B$2)^2, D715+Parameters!$B$24)</f>
        <v/>
      </c>
      <c r="E716">
        <f>MIN(D716, E717+Parameters!$B$24)</f>
        <v/>
      </c>
    </row>
    <row r="717">
      <c r="A717" t="n">
        <v>71.5</v>
      </c>
      <c r="B717" t="n">
        <v>25</v>
      </c>
      <c r="C717">
        <f>ROUND(SQRT(E717),2)</f>
        <v/>
      </c>
      <c r="D717">
        <f>MIN(MIN(B717,Parameters!$B$2)^2, D716+Parameters!$B$24)</f>
        <v/>
      </c>
      <c r="E717">
        <f>MIN(D717, E718+Parameters!$B$24)</f>
        <v/>
      </c>
    </row>
    <row r="718">
      <c r="A718" t="n">
        <v>71.59999999999999</v>
      </c>
      <c r="B718" t="n">
        <v>25</v>
      </c>
      <c r="C718">
        <f>ROUND(SQRT(E718),2)</f>
        <v/>
      </c>
      <c r="D718">
        <f>MIN(MIN(B718,Parameters!$B$2)^2, D717+Parameters!$B$24)</f>
        <v/>
      </c>
      <c r="E718">
        <f>MIN(D718, E719+Parameters!$B$24)</f>
        <v/>
      </c>
    </row>
    <row r="719">
      <c r="A719" t="n">
        <v>71.7</v>
      </c>
      <c r="B719" t="n">
        <v>25</v>
      </c>
      <c r="C719">
        <f>ROUND(SQRT(E719),2)</f>
        <v/>
      </c>
      <c r="D719">
        <f>MIN(MIN(B719,Parameters!$B$2)^2, D718+Parameters!$B$24)</f>
        <v/>
      </c>
      <c r="E719">
        <f>MIN(D719, E720+Parameters!$B$24)</f>
        <v/>
      </c>
    </row>
    <row r="720">
      <c r="A720" t="n">
        <v>71.8</v>
      </c>
      <c r="B720" t="n">
        <v>25</v>
      </c>
      <c r="C720">
        <f>ROUND(SQRT(E720),2)</f>
        <v/>
      </c>
      <c r="D720">
        <f>MIN(MIN(B720,Parameters!$B$2)^2, D719+Parameters!$B$24)</f>
        <v/>
      </c>
      <c r="E720">
        <f>MIN(D720, E721+Parameters!$B$24)</f>
        <v/>
      </c>
    </row>
    <row r="721">
      <c r="A721" t="n">
        <v>71.90000000000001</v>
      </c>
      <c r="B721" t="n">
        <v>25</v>
      </c>
      <c r="C721">
        <f>ROUND(SQRT(E721),2)</f>
        <v/>
      </c>
      <c r="D721">
        <f>MIN(MIN(B721,Parameters!$B$2)^2, D720+Parameters!$B$24)</f>
        <v/>
      </c>
      <c r="E721">
        <f>MIN(D721, E722+Parameters!$B$24)</f>
        <v/>
      </c>
    </row>
    <row r="722">
      <c r="A722" t="n">
        <v>72</v>
      </c>
      <c r="B722" t="n">
        <v>25</v>
      </c>
      <c r="C722">
        <f>ROUND(SQRT(E722),2)</f>
        <v/>
      </c>
      <c r="D722">
        <f>MIN(MIN(B722,Parameters!$B$2)^2, D721+Parameters!$B$24)</f>
        <v/>
      </c>
      <c r="E722">
        <f>MIN(D722, E723+Parameters!$B$24)</f>
        <v/>
      </c>
    </row>
    <row r="723">
      <c r="A723" t="n">
        <v>72.09999999999999</v>
      </c>
      <c r="B723" t="n">
        <v>25</v>
      </c>
      <c r="C723">
        <f>ROUND(SQRT(E723),2)</f>
        <v/>
      </c>
      <c r="D723">
        <f>MIN(MIN(B723,Parameters!$B$2)^2, D722+Parameters!$B$24)</f>
        <v/>
      </c>
      <c r="E723">
        <f>MIN(D723, E724+Parameters!$B$24)</f>
        <v/>
      </c>
    </row>
    <row r="724">
      <c r="A724" t="n">
        <v>72.2</v>
      </c>
      <c r="B724" t="n">
        <v>25</v>
      </c>
      <c r="C724">
        <f>ROUND(SQRT(E724),2)</f>
        <v/>
      </c>
      <c r="D724">
        <f>MIN(MIN(B724,Parameters!$B$2)^2, D723+Parameters!$B$24)</f>
        <v/>
      </c>
      <c r="E724">
        <f>MIN(D724, E725+Parameters!$B$24)</f>
        <v/>
      </c>
    </row>
    <row r="725">
      <c r="A725" t="n">
        <v>72.3</v>
      </c>
      <c r="B725" t="n">
        <v>25</v>
      </c>
      <c r="C725">
        <f>ROUND(SQRT(E725),2)</f>
        <v/>
      </c>
      <c r="D725">
        <f>MIN(MIN(B725,Parameters!$B$2)^2, D724+Parameters!$B$24)</f>
        <v/>
      </c>
      <c r="E725">
        <f>MIN(D725, E726+Parameters!$B$24)</f>
        <v/>
      </c>
    </row>
    <row r="726">
      <c r="A726" t="n">
        <v>72.40000000000001</v>
      </c>
      <c r="B726" t="n">
        <v>25</v>
      </c>
      <c r="C726">
        <f>ROUND(SQRT(E726),2)</f>
        <v/>
      </c>
      <c r="D726">
        <f>MIN(MIN(B726,Parameters!$B$2)^2, D725+Parameters!$B$24)</f>
        <v/>
      </c>
      <c r="E726">
        <f>MIN(D726, E727+Parameters!$B$24)</f>
        <v/>
      </c>
    </row>
    <row r="727">
      <c r="A727" t="n">
        <v>72.5</v>
      </c>
      <c r="B727" t="n">
        <v>25</v>
      </c>
      <c r="C727">
        <f>ROUND(SQRT(E727),2)</f>
        <v/>
      </c>
      <c r="D727">
        <f>MIN(MIN(B727,Parameters!$B$2)^2, D726+Parameters!$B$24)</f>
        <v/>
      </c>
      <c r="E727">
        <f>MIN(D727, E728+Parameters!$B$24)</f>
        <v/>
      </c>
    </row>
    <row r="728">
      <c r="A728" t="n">
        <v>72.59999999999999</v>
      </c>
      <c r="B728" t="n">
        <v>25</v>
      </c>
      <c r="C728">
        <f>ROUND(SQRT(E728),2)</f>
        <v/>
      </c>
      <c r="D728">
        <f>MIN(MIN(B728,Parameters!$B$2)^2, D727+Parameters!$B$24)</f>
        <v/>
      </c>
      <c r="E728">
        <f>MIN(D728, E729+Parameters!$B$24)</f>
        <v/>
      </c>
    </row>
    <row r="729">
      <c r="A729" t="n">
        <v>72.7</v>
      </c>
      <c r="B729" t="n">
        <v>25</v>
      </c>
      <c r="C729">
        <f>ROUND(SQRT(E729),2)</f>
        <v/>
      </c>
      <c r="D729">
        <f>MIN(MIN(B729,Parameters!$B$2)^2, D728+Parameters!$B$24)</f>
        <v/>
      </c>
      <c r="E729">
        <f>MIN(D729, E730+Parameters!$B$24)</f>
        <v/>
      </c>
    </row>
    <row r="730">
      <c r="A730" t="n">
        <v>72.8</v>
      </c>
      <c r="B730" t="n">
        <v>25</v>
      </c>
      <c r="C730">
        <f>ROUND(SQRT(E730),2)</f>
        <v/>
      </c>
      <c r="D730">
        <f>MIN(MIN(B730,Parameters!$B$2)^2, D729+Parameters!$B$24)</f>
        <v/>
      </c>
      <c r="E730">
        <f>MIN(D730, E731+Parameters!$B$24)</f>
        <v/>
      </c>
    </row>
    <row r="731">
      <c r="A731" t="n">
        <v>72.90000000000001</v>
      </c>
      <c r="B731" t="n">
        <v>25</v>
      </c>
      <c r="C731">
        <f>ROUND(SQRT(E731),2)</f>
        <v/>
      </c>
      <c r="D731">
        <f>MIN(MIN(B731,Parameters!$B$2)^2, D730+Parameters!$B$24)</f>
        <v/>
      </c>
      <c r="E731">
        <f>MIN(D731, E732+Parameters!$B$24)</f>
        <v/>
      </c>
    </row>
    <row r="732">
      <c r="A732" t="n">
        <v>73</v>
      </c>
      <c r="B732" t="n">
        <v>25</v>
      </c>
      <c r="C732">
        <f>ROUND(SQRT(E732),2)</f>
        <v/>
      </c>
      <c r="D732">
        <f>MIN(MIN(B732,Parameters!$B$2)^2, D731+Parameters!$B$24)</f>
        <v/>
      </c>
      <c r="E732">
        <f>MIN(D732, E733+Parameters!$B$24)</f>
        <v/>
      </c>
    </row>
    <row r="733">
      <c r="A733" t="n">
        <v>73.09999999999999</v>
      </c>
      <c r="B733" t="n">
        <v>25</v>
      </c>
      <c r="C733">
        <f>ROUND(SQRT(E733),2)</f>
        <v/>
      </c>
      <c r="D733">
        <f>MIN(MIN(B733,Parameters!$B$2)^2, D732+Parameters!$B$24)</f>
        <v/>
      </c>
      <c r="E733">
        <f>MIN(D733, E734+Parameters!$B$24)</f>
        <v/>
      </c>
    </row>
    <row r="734">
      <c r="A734" t="n">
        <v>73.2</v>
      </c>
      <c r="B734" t="n">
        <v>25</v>
      </c>
      <c r="C734">
        <f>ROUND(SQRT(E734),2)</f>
        <v/>
      </c>
      <c r="D734">
        <f>MIN(MIN(B734,Parameters!$B$2)^2, D733+Parameters!$B$24)</f>
        <v/>
      </c>
      <c r="E734">
        <f>MIN(D734, E735+Parameters!$B$24)</f>
        <v/>
      </c>
    </row>
    <row r="735">
      <c r="A735" t="n">
        <v>73.3</v>
      </c>
      <c r="B735" t="n">
        <v>25</v>
      </c>
      <c r="C735">
        <f>ROUND(SQRT(E735),2)</f>
        <v/>
      </c>
      <c r="D735">
        <f>MIN(MIN(B735,Parameters!$B$2)^2, D734+Parameters!$B$24)</f>
        <v/>
      </c>
      <c r="E735">
        <f>MIN(D735, E736+Parameters!$B$24)</f>
        <v/>
      </c>
    </row>
    <row r="736">
      <c r="A736" t="n">
        <v>73.40000000000001</v>
      </c>
      <c r="B736" t="n">
        <v>25</v>
      </c>
      <c r="C736">
        <f>ROUND(SQRT(E736),2)</f>
        <v/>
      </c>
      <c r="D736">
        <f>MIN(MIN(B736,Parameters!$B$2)^2, D735+Parameters!$B$24)</f>
        <v/>
      </c>
      <c r="E736">
        <f>MIN(D736, E737+Parameters!$B$24)</f>
        <v/>
      </c>
    </row>
    <row r="737">
      <c r="A737" t="n">
        <v>73.5</v>
      </c>
      <c r="B737" t="n">
        <v>25</v>
      </c>
      <c r="C737">
        <f>ROUND(SQRT(E737),2)</f>
        <v/>
      </c>
      <c r="D737">
        <f>MIN(MIN(B737,Parameters!$B$2)^2, D736+Parameters!$B$24)</f>
        <v/>
      </c>
      <c r="E737">
        <f>MIN(D737, E738+Parameters!$B$24)</f>
        <v/>
      </c>
    </row>
    <row r="738">
      <c r="A738" t="n">
        <v>73.59999999999999</v>
      </c>
      <c r="B738" t="n">
        <v>25</v>
      </c>
      <c r="C738">
        <f>ROUND(SQRT(E738),2)</f>
        <v/>
      </c>
      <c r="D738">
        <f>MIN(MIN(B738,Parameters!$B$2)^2, D737+Parameters!$B$24)</f>
        <v/>
      </c>
      <c r="E738">
        <f>MIN(D738, E739+Parameters!$B$24)</f>
        <v/>
      </c>
    </row>
    <row r="739">
      <c r="A739" t="n">
        <v>73.7</v>
      </c>
      <c r="B739" t="n">
        <v>25</v>
      </c>
      <c r="C739">
        <f>ROUND(SQRT(E739),2)</f>
        <v/>
      </c>
      <c r="D739">
        <f>MIN(MIN(B739,Parameters!$B$2)^2, D738+Parameters!$B$24)</f>
        <v/>
      </c>
      <c r="E739">
        <f>MIN(D739, E740+Parameters!$B$24)</f>
        <v/>
      </c>
    </row>
    <row r="740">
      <c r="A740" t="n">
        <v>73.8</v>
      </c>
      <c r="B740" t="n">
        <v>25</v>
      </c>
      <c r="C740">
        <f>ROUND(SQRT(E740),2)</f>
        <v/>
      </c>
      <c r="D740">
        <f>MIN(MIN(B740,Parameters!$B$2)^2, D739+Parameters!$B$24)</f>
        <v/>
      </c>
      <c r="E740">
        <f>MIN(D740, E741+Parameters!$B$24)</f>
        <v/>
      </c>
    </row>
    <row r="741">
      <c r="A741" t="n">
        <v>73.90000000000001</v>
      </c>
      <c r="B741" t="n">
        <v>25</v>
      </c>
      <c r="C741">
        <f>ROUND(SQRT(E741),2)</f>
        <v/>
      </c>
      <c r="D741">
        <f>MIN(MIN(B741,Parameters!$B$2)^2, D740+Parameters!$B$24)</f>
        <v/>
      </c>
      <c r="E741">
        <f>MIN(D741, E742+Parameters!$B$24)</f>
        <v/>
      </c>
    </row>
    <row r="742">
      <c r="A742" t="n">
        <v>74</v>
      </c>
      <c r="B742" t="n">
        <v>25</v>
      </c>
      <c r="C742">
        <f>ROUND(SQRT(E742),2)</f>
        <v/>
      </c>
      <c r="D742">
        <f>MIN(MIN(B742,Parameters!$B$2)^2, D741+Parameters!$B$24)</f>
        <v/>
      </c>
      <c r="E742">
        <f>MIN(D742, E743+Parameters!$B$24)</f>
        <v/>
      </c>
    </row>
    <row r="743">
      <c r="A743" t="n">
        <v>74.09999999999999</v>
      </c>
      <c r="B743" t="n">
        <v>25</v>
      </c>
      <c r="C743">
        <f>ROUND(SQRT(E743),2)</f>
        <v/>
      </c>
      <c r="D743">
        <f>MIN(MIN(B743,Parameters!$B$2)^2, D742+Parameters!$B$24)</f>
        <v/>
      </c>
      <c r="E743">
        <f>MIN(D743, E744+Parameters!$B$24)</f>
        <v/>
      </c>
    </row>
    <row r="744">
      <c r="A744" t="n">
        <v>74.2</v>
      </c>
      <c r="B744" t="n">
        <v>25</v>
      </c>
      <c r="C744">
        <f>ROUND(SQRT(E744),2)</f>
        <v/>
      </c>
      <c r="D744">
        <f>MIN(MIN(B744,Parameters!$B$2)^2, D743+Parameters!$B$24)</f>
        <v/>
      </c>
      <c r="E744">
        <f>MIN(D744, E745+Parameters!$B$24)</f>
        <v/>
      </c>
    </row>
    <row r="745">
      <c r="A745" t="n">
        <v>74.3</v>
      </c>
      <c r="B745" t="n">
        <v>25</v>
      </c>
      <c r="C745">
        <f>ROUND(SQRT(E745),2)</f>
        <v/>
      </c>
      <c r="D745">
        <f>MIN(MIN(B745,Parameters!$B$2)^2, D744+Parameters!$B$24)</f>
        <v/>
      </c>
      <c r="E745">
        <f>MIN(D745, E746+Parameters!$B$24)</f>
        <v/>
      </c>
    </row>
    <row r="746">
      <c r="A746" t="n">
        <v>74.40000000000001</v>
      </c>
      <c r="B746" t="n">
        <v>25</v>
      </c>
      <c r="C746">
        <f>ROUND(SQRT(E746),2)</f>
        <v/>
      </c>
      <c r="D746">
        <f>MIN(MIN(B746,Parameters!$B$2)^2, D745+Parameters!$B$24)</f>
        <v/>
      </c>
      <c r="E746">
        <f>MIN(D746, E747+Parameters!$B$24)</f>
        <v/>
      </c>
    </row>
    <row r="747">
      <c r="A747" t="n">
        <v>74.5</v>
      </c>
      <c r="B747" t="n">
        <v>25</v>
      </c>
      <c r="C747">
        <f>ROUND(SQRT(E747),2)</f>
        <v/>
      </c>
      <c r="D747">
        <f>MIN(MIN(B747,Parameters!$B$2)^2, D746+Parameters!$B$24)</f>
        <v/>
      </c>
      <c r="E747">
        <f>MIN(D747, E748+Parameters!$B$24)</f>
        <v/>
      </c>
    </row>
    <row r="748">
      <c r="A748" t="n">
        <v>74.59999999999999</v>
      </c>
      <c r="B748" t="n">
        <v>25</v>
      </c>
      <c r="C748">
        <f>ROUND(SQRT(E748),2)</f>
        <v/>
      </c>
      <c r="D748">
        <f>MIN(MIN(B748,Parameters!$B$2)^2, D747+Parameters!$B$24)</f>
        <v/>
      </c>
      <c r="E748">
        <f>MIN(D748, E749+Parameters!$B$24)</f>
        <v/>
      </c>
    </row>
    <row r="749">
      <c r="A749" t="n">
        <v>74.7</v>
      </c>
      <c r="B749" t="n">
        <v>25</v>
      </c>
      <c r="C749">
        <f>ROUND(SQRT(E749),2)</f>
        <v/>
      </c>
      <c r="D749">
        <f>MIN(MIN(B749,Parameters!$B$2)^2, D748+Parameters!$B$24)</f>
        <v/>
      </c>
      <c r="E749">
        <f>MIN(D749, E750+Parameters!$B$24)</f>
        <v/>
      </c>
    </row>
    <row r="750">
      <c r="A750" t="n">
        <v>74.8</v>
      </c>
      <c r="B750" t="n">
        <v>25</v>
      </c>
      <c r="C750">
        <f>ROUND(SQRT(E750),2)</f>
        <v/>
      </c>
      <c r="D750">
        <f>MIN(MIN(B750,Parameters!$B$2)^2, D749+Parameters!$B$24)</f>
        <v/>
      </c>
      <c r="E750">
        <f>MIN(D750, E751+Parameters!$B$24)</f>
        <v/>
      </c>
    </row>
    <row r="751">
      <c r="A751" t="n">
        <v>74.90000000000001</v>
      </c>
      <c r="B751" t="n">
        <v>25</v>
      </c>
      <c r="C751">
        <f>ROUND(SQRT(E751),2)</f>
        <v/>
      </c>
      <c r="D751">
        <f>MIN(MIN(B751,Parameters!$B$2)^2, D750+Parameters!$B$24)</f>
        <v/>
      </c>
      <c r="E751">
        <f>MIN(D751, E752+Parameters!$B$24)</f>
        <v/>
      </c>
    </row>
    <row r="752">
      <c r="A752" t="n">
        <v>75</v>
      </c>
      <c r="B752" t="n">
        <v>25</v>
      </c>
      <c r="C752">
        <f>ROUND(SQRT(E752),2)</f>
        <v/>
      </c>
      <c r="D752">
        <f>MIN(MIN(B752,Parameters!$B$2)^2, D751+Parameters!$B$24)</f>
        <v/>
      </c>
      <c r="E752">
        <f>MIN(D752, E753+Parameters!$B$24)</f>
        <v/>
      </c>
    </row>
    <row r="753">
      <c r="A753" t="n">
        <v>75.09999999999999</v>
      </c>
      <c r="B753" t="n">
        <v>25</v>
      </c>
      <c r="C753">
        <f>ROUND(SQRT(E753),2)</f>
        <v/>
      </c>
      <c r="D753">
        <f>MIN(MIN(B753,Parameters!$B$2)^2, D752+Parameters!$B$24)</f>
        <v/>
      </c>
      <c r="E753">
        <f>MIN(D753, E754+Parameters!$B$24)</f>
        <v/>
      </c>
    </row>
    <row r="754">
      <c r="A754" t="n">
        <v>75.2</v>
      </c>
      <c r="B754" t="n">
        <v>25</v>
      </c>
      <c r="C754">
        <f>ROUND(SQRT(E754),2)</f>
        <v/>
      </c>
      <c r="D754">
        <f>MIN(MIN(B754,Parameters!$B$2)^2, D753+Parameters!$B$24)</f>
        <v/>
      </c>
      <c r="E754">
        <f>MIN(D754, E755+Parameters!$B$24)</f>
        <v/>
      </c>
    </row>
    <row r="755">
      <c r="A755" t="n">
        <v>75.3</v>
      </c>
      <c r="B755" t="n">
        <v>25</v>
      </c>
      <c r="C755">
        <f>ROUND(SQRT(E755),2)</f>
        <v/>
      </c>
      <c r="D755">
        <f>MIN(MIN(B755,Parameters!$B$2)^2, D754+Parameters!$B$24)</f>
        <v/>
      </c>
      <c r="E755">
        <f>MIN(D755, E756+Parameters!$B$24)</f>
        <v/>
      </c>
    </row>
    <row r="756">
      <c r="A756" t="n">
        <v>75.40000000000001</v>
      </c>
      <c r="B756" t="n">
        <v>25</v>
      </c>
      <c r="C756">
        <f>ROUND(SQRT(E756),2)</f>
        <v/>
      </c>
      <c r="D756">
        <f>MIN(MIN(B756,Parameters!$B$2)^2, D755+Parameters!$B$24)</f>
        <v/>
      </c>
      <c r="E756">
        <f>MIN(D756, E757+Parameters!$B$24)</f>
        <v/>
      </c>
    </row>
    <row r="757">
      <c r="A757" t="n">
        <v>75.5</v>
      </c>
      <c r="B757" t="n">
        <v>25</v>
      </c>
      <c r="C757">
        <f>ROUND(SQRT(E757),2)</f>
        <v/>
      </c>
      <c r="D757">
        <f>MIN(MIN(B757,Parameters!$B$2)^2, D756+Parameters!$B$24)</f>
        <v/>
      </c>
      <c r="E757">
        <f>MIN(D757, E758+Parameters!$B$24)</f>
        <v/>
      </c>
    </row>
    <row r="758">
      <c r="A758" t="n">
        <v>75.59999999999999</v>
      </c>
      <c r="B758" t="n">
        <v>25</v>
      </c>
      <c r="C758">
        <f>ROUND(SQRT(E758),2)</f>
        <v/>
      </c>
      <c r="D758">
        <f>MIN(MIN(B758,Parameters!$B$2)^2, D757+Parameters!$B$24)</f>
        <v/>
      </c>
      <c r="E758">
        <f>MIN(D758, E759+Parameters!$B$24)</f>
        <v/>
      </c>
    </row>
    <row r="759">
      <c r="A759" t="n">
        <v>75.7</v>
      </c>
      <c r="B759" t="n">
        <v>25</v>
      </c>
      <c r="C759">
        <f>ROUND(SQRT(E759),2)</f>
        <v/>
      </c>
      <c r="D759">
        <f>MIN(MIN(B759,Parameters!$B$2)^2, D758+Parameters!$B$24)</f>
        <v/>
      </c>
      <c r="E759">
        <f>MIN(D759, E760+Parameters!$B$24)</f>
        <v/>
      </c>
    </row>
    <row r="760">
      <c r="A760" t="n">
        <v>75.8</v>
      </c>
      <c r="B760" t="n">
        <v>25</v>
      </c>
      <c r="C760">
        <f>ROUND(SQRT(E760),2)</f>
        <v/>
      </c>
      <c r="D760">
        <f>MIN(MIN(B760,Parameters!$B$2)^2, D759+Parameters!$B$24)</f>
        <v/>
      </c>
      <c r="E760">
        <f>MIN(D760, E761+Parameters!$B$24)</f>
        <v/>
      </c>
    </row>
    <row r="761">
      <c r="A761" t="n">
        <v>75.90000000000001</v>
      </c>
      <c r="B761" t="n">
        <v>25</v>
      </c>
      <c r="C761">
        <f>ROUND(SQRT(E761),2)</f>
        <v/>
      </c>
      <c r="D761">
        <f>MIN(MIN(B761,Parameters!$B$2)^2, D760+Parameters!$B$24)</f>
        <v/>
      </c>
      <c r="E761">
        <f>MIN(D761, E762+Parameters!$B$24)</f>
        <v/>
      </c>
    </row>
    <row r="762">
      <c r="A762" t="n">
        <v>76</v>
      </c>
      <c r="B762" t="n">
        <v>25</v>
      </c>
      <c r="C762">
        <f>ROUND(SQRT(E762),2)</f>
        <v/>
      </c>
      <c r="D762">
        <f>MIN(MIN(B762,Parameters!$B$2)^2, D761+Parameters!$B$24)</f>
        <v/>
      </c>
      <c r="E762">
        <f>MIN(D762, E763+Parameters!$B$24)</f>
        <v/>
      </c>
    </row>
    <row r="763">
      <c r="A763" t="n">
        <v>76.09999999999999</v>
      </c>
      <c r="B763" t="n">
        <v>25</v>
      </c>
      <c r="C763">
        <f>ROUND(SQRT(E763),2)</f>
        <v/>
      </c>
      <c r="D763">
        <f>MIN(MIN(B763,Parameters!$B$2)^2, D762+Parameters!$B$24)</f>
        <v/>
      </c>
      <c r="E763">
        <f>MIN(D763, E764+Parameters!$B$24)</f>
        <v/>
      </c>
    </row>
    <row r="764">
      <c r="A764" t="n">
        <v>76.2</v>
      </c>
      <c r="B764" t="n">
        <v>25</v>
      </c>
      <c r="C764">
        <f>ROUND(SQRT(E764),2)</f>
        <v/>
      </c>
      <c r="D764">
        <f>MIN(MIN(B764,Parameters!$B$2)^2, D763+Parameters!$B$24)</f>
        <v/>
      </c>
      <c r="E764">
        <f>MIN(D764, E765+Parameters!$B$24)</f>
        <v/>
      </c>
    </row>
    <row r="765">
      <c r="A765" t="n">
        <v>76.3</v>
      </c>
      <c r="B765" t="n">
        <v>25</v>
      </c>
      <c r="C765">
        <f>ROUND(SQRT(E765),2)</f>
        <v/>
      </c>
      <c r="D765">
        <f>MIN(MIN(B765,Parameters!$B$2)^2, D764+Parameters!$B$24)</f>
        <v/>
      </c>
      <c r="E765">
        <f>MIN(D765, E766+Parameters!$B$24)</f>
        <v/>
      </c>
    </row>
    <row r="766">
      <c r="A766" t="n">
        <v>76.40000000000001</v>
      </c>
      <c r="B766" t="n">
        <v>25</v>
      </c>
      <c r="C766">
        <f>ROUND(SQRT(E766),2)</f>
        <v/>
      </c>
      <c r="D766">
        <f>MIN(MIN(B766,Parameters!$B$2)^2, D765+Parameters!$B$24)</f>
        <v/>
      </c>
      <c r="E766">
        <f>MIN(D766, E767+Parameters!$B$24)</f>
        <v/>
      </c>
    </row>
    <row r="767">
      <c r="A767" t="n">
        <v>76.5</v>
      </c>
      <c r="B767" t="n">
        <v>25</v>
      </c>
      <c r="C767">
        <f>ROUND(SQRT(E767),2)</f>
        <v/>
      </c>
      <c r="D767">
        <f>MIN(MIN(B767,Parameters!$B$2)^2, D766+Parameters!$B$24)</f>
        <v/>
      </c>
      <c r="E767">
        <f>MIN(D767, E768+Parameters!$B$24)</f>
        <v/>
      </c>
    </row>
    <row r="768">
      <c r="A768" t="n">
        <v>76.59999999999999</v>
      </c>
      <c r="B768" t="n">
        <v>25</v>
      </c>
      <c r="C768">
        <f>ROUND(SQRT(E768),2)</f>
        <v/>
      </c>
      <c r="D768">
        <f>MIN(MIN(B768,Parameters!$B$2)^2, D767+Parameters!$B$24)</f>
        <v/>
      </c>
      <c r="E768">
        <f>MIN(D768, E769+Parameters!$B$24)</f>
        <v/>
      </c>
    </row>
    <row r="769">
      <c r="A769" t="n">
        <v>76.7</v>
      </c>
      <c r="B769" t="n">
        <v>25</v>
      </c>
      <c r="C769">
        <f>ROUND(SQRT(E769),2)</f>
        <v/>
      </c>
      <c r="D769">
        <f>MIN(MIN(B769,Parameters!$B$2)^2, D768+Parameters!$B$24)</f>
        <v/>
      </c>
      <c r="E769">
        <f>MIN(D769, E770+Parameters!$B$24)</f>
        <v/>
      </c>
    </row>
    <row r="770">
      <c r="A770" t="n">
        <v>76.8</v>
      </c>
      <c r="B770" t="n">
        <v>25</v>
      </c>
      <c r="C770">
        <f>ROUND(SQRT(E770),2)</f>
        <v/>
      </c>
      <c r="D770">
        <f>MIN(MIN(B770,Parameters!$B$2)^2, D769+Parameters!$B$24)</f>
        <v/>
      </c>
      <c r="E770">
        <f>MIN(D770, E771+Parameters!$B$24)</f>
        <v/>
      </c>
    </row>
    <row r="771">
      <c r="A771" t="n">
        <v>76.90000000000001</v>
      </c>
      <c r="B771" t="n">
        <v>25</v>
      </c>
      <c r="C771">
        <f>ROUND(SQRT(E771),2)</f>
        <v/>
      </c>
      <c r="D771">
        <f>MIN(MIN(B771,Parameters!$B$2)^2, D770+Parameters!$B$24)</f>
        <v/>
      </c>
      <c r="E771">
        <f>MIN(D771, E772+Parameters!$B$24)</f>
        <v/>
      </c>
    </row>
    <row r="772">
      <c r="A772" t="n">
        <v>77</v>
      </c>
      <c r="B772" t="n">
        <v>25</v>
      </c>
      <c r="C772">
        <f>ROUND(SQRT(E772),2)</f>
        <v/>
      </c>
      <c r="D772">
        <f>MIN(MIN(B772,Parameters!$B$2)^2, D771+Parameters!$B$24)</f>
        <v/>
      </c>
      <c r="E772">
        <f>MIN(D772, E773+Parameters!$B$24)</f>
        <v/>
      </c>
    </row>
    <row r="773">
      <c r="A773" t="n">
        <v>77.09999999999999</v>
      </c>
      <c r="B773" t="n">
        <v>25</v>
      </c>
      <c r="C773">
        <f>ROUND(SQRT(E773),2)</f>
        <v/>
      </c>
      <c r="D773">
        <f>MIN(MIN(B773,Parameters!$B$2)^2, D772+Parameters!$B$24)</f>
        <v/>
      </c>
      <c r="E773">
        <f>MIN(D773, E774+Parameters!$B$24)</f>
        <v/>
      </c>
    </row>
    <row r="774">
      <c r="A774" t="n">
        <v>77.2</v>
      </c>
      <c r="B774" t="n">
        <v>25</v>
      </c>
      <c r="C774">
        <f>ROUND(SQRT(E774),2)</f>
        <v/>
      </c>
      <c r="D774">
        <f>MIN(MIN(B774,Parameters!$B$2)^2, D773+Parameters!$B$24)</f>
        <v/>
      </c>
      <c r="E774">
        <f>MIN(D774, E775+Parameters!$B$24)</f>
        <v/>
      </c>
    </row>
    <row r="775">
      <c r="A775" t="n">
        <v>77.3</v>
      </c>
      <c r="B775" t="n">
        <v>25</v>
      </c>
      <c r="C775">
        <f>ROUND(SQRT(E775),2)</f>
        <v/>
      </c>
      <c r="D775">
        <f>MIN(MIN(B775,Parameters!$B$2)^2, D774+Parameters!$B$24)</f>
        <v/>
      </c>
      <c r="E775">
        <f>MIN(D775, E776+Parameters!$B$24)</f>
        <v/>
      </c>
    </row>
    <row r="776">
      <c r="A776" t="n">
        <v>77.40000000000001</v>
      </c>
      <c r="B776" t="n">
        <v>25</v>
      </c>
      <c r="C776">
        <f>ROUND(SQRT(E776),2)</f>
        <v/>
      </c>
      <c r="D776">
        <f>MIN(MIN(B776,Parameters!$B$2)^2, D775+Parameters!$B$24)</f>
        <v/>
      </c>
      <c r="E776">
        <f>MIN(D776, E777+Parameters!$B$24)</f>
        <v/>
      </c>
    </row>
    <row r="777">
      <c r="A777" t="n">
        <v>77.5</v>
      </c>
      <c r="B777" t="n">
        <v>25</v>
      </c>
      <c r="C777">
        <f>ROUND(SQRT(E777),2)</f>
        <v/>
      </c>
      <c r="D777">
        <f>MIN(MIN(B777,Parameters!$B$2)^2, D776+Parameters!$B$24)</f>
        <v/>
      </c>
      <c r="E777">
        <f>MIN(D777, E778+Parameters!$B$24)</f>
        <v/>
      </c>
    </row>
    <row r="778">
      <c r="A778" t="n">
        <v>77.59999999999999</v>
      </c>
      <c r="B778" t="n">
        <v>25</v>
      </c>
      <c r="C778">
        <f>ROUND(SQRT(E778),2)</f>
        <v/>
      </c>
      <c r="D778">
        <f>MIN(MIN(B778,Parameters!$B$2)^2, D777+Parameters!$B$24)</f>
        <v/>
      </c>
      <c r="E778">
        <f>MIN(D778, E779+Parameters!$B$24)</f>
        <v/>
      </c>
    </row>
    <row r="779">
      <c r="A779" t="n">
        <v>77.7</v>
      </c>
      <c r="B779" t="n">
        <v>25</v>
      </c>
      <c r="C779">
        <f>ROUND(SQRT(E779),2)</f>
        <v/>
      </c>
      <c r="D779">
        <f>MIN(MIN(B779,Parameters!$B$2)^2, D778+Parameters!$B$24)</f>
        <v/>
      </c>
      <c r="E779">
        <f>MIN(D779, E780+Parameters!$B$24)</f>
        <v/>
      </c>
    </row>
    <row r="780">
      <c r="A780" t="n">
        <v>77.8</v>
      </c>
      <c r="B780" t="n">
        <v>25</v>
      </c>
      <c r="C780">
        <f>ROUND(SQRT(E780),2)</f>
        <v/>
      </c>
      <c r="D780">
        <f>MIN(MIN(B780,Parameters!$B$2)^2, D779+Parameters!$B$24)</f>
        <v/>
      </c>
      <c r="E780">
        <f>MIN(D780, E781+Parameters!$B$24)</f>
        <v/>
      </c>
    </row>
    <row r="781">
      <c r="A781" t="n">
        <v>77.90000000000001</v>
      </c>
      <c r="B781" t="n">
        <v>25</v>
      </c>
      <c r="C781">
        <f>ROUND(SQRT(E781),2)</f>
        <v/>
      </c>
      <c r="D781">
        <f>MIN(MIN(B781,Parameters!$B$2)^2, D780+Parameters!$B$24)</f>
        <v/>
      </c>
      <c r="E781">
        <f>MIN(D781, E782+Parameters!$B$24)</f>
        <v/>
      </c>
    </row>
    <row r="782">
      <c r="A782" t="n">
        <v>78</v>
      </c>
      <c r="B782" t="n">
        <v>25</v>
      </c>
      <c r="C782">
        <f>ROUND(SQRT(E782),2)</f>
        <v/>
      </c>
      <c r="D782">
        <f>MIN(MIN(B782,Parameters!$B$2)^2, D781+Parameters!$B$24)</f>
        <v/>
      </c>
      <c r="E782">
        <f>MIN(D782, E783+Parameters!$B$24)</f>
        <v/>
      </c>
    </row>
    <row r="783">
      <c r="A783" t="n">
        <v>78.09999999999999</v>
      </c>
      <c r="B783" t="n">
        <v>25</v>
      </c>
      <c r="C783">
        <f>ROUND(SQRT(E783),2)</f>
        <v/>
      </c>
      <c r="D783">
        <f>MIN(MIN(B783,Parameters!$B$2)^2, D782+Parameters!$B$24)</f>
        <v/>
      </c>
      <c r="E783">
        <f>MIN(D783, E784+Parameters!$B$24)</f>
        <v/>
      </c>
    </row>
    <row r="784">
      <c r="A784" t="n">
        <v>78.2</v>
      </c>
      <c r="B784" t="n">
        <v>25</v>
      </c>
      <c r="C784">
        <f>ROUND(SQRT(E784),2)</f>
        <v/>
      </c>
      <c r="D784">
        <f>MIN(MIN(B784,Parameters!$B$2)^2, D783+Parameters!$B$24)</f>
        <v/>
      </c>
      <c r="E784">
        <f>MIN(D784, E785+Parameters!$B$24)</f>
        <v/>
      </c>
    </row>
    <row r="785">
      <c r="A785" t="n">
        <v>78.3</v>
      </c>
      <c r="B785" t="n">
        <v>25</v>
      </c>
      <c r="C785">
        <f>ROUND(SQRT(E785),2)</f>
        <v/>
      </c>
      <c r="D785">
        <f>MIN(MIN(B785,Parameters!$B$2)^2, D784+Parameters!$B$24)</f>
        <v/>
      </c>
      <c r="E785">
        <f>MIN(D785, E786+Parameters!$B$24)</f>
        <v/>
      </c>
    </row>
    <row r="786">
      <c r="A786" t="n">
        <v>78.40000000000001</v>
      </c>
      <c r="B786" t="n">
        <v>25</v>
      </c>
      <c r="C786">
        <f>ROUND(SQRT(E786),2)</f>
        <v/>
      </c>
      <c r="D786">
        <f>MIN(MIN(B786,Parameters!$B$2)^2, D785+Parameters!$B$24)</f>
        <v/>
      </c>
      <c r="E786">
        <f>MIN(D786, E787+Parameters!$B$24)</f>
        <v/>
      </c>
    </row>
    <row r="787">
      <c r="A787" t="n">
        <v>78.5</v>
      </c>
      <c r="B787" t="n">
        <v>25</v>
      </c>
      <c r="C787">
        <f>ROUND(SQRT(E787),2)</f>
        <v/>
      </c>
      <c r="D787">
        <f>MIN(MIN(B787,Parameters!$B$2)^2, D786+Parameters!$B$24)</f>
        <v/>
      </c>
      <c r="E787">
        <f>MIN(D787, E788+Parameters!$B$24)</f>
        <v/>
      </c>
    </row>
    <row r="788">
      <c r="A788" t="n">
        <v>78.59999999999999</v>
      </c>
      <c r="B788" t="n">
        <v>25</v>
      </c>
      <c r="C788">
        <f>ROUND(SQRT(E788),2)</f>
        <v/>
      </c>
      <c r="D788">
        <f>MIN(MIN(B788,Parameters!$B$2)^2, D787+Parameters!$B$24)</f>
        <v/>
      </c>
      <c r="E788">
        <f>MIN(D788, E789+Parameters!$B$24)</f>
        <v/>
      </c>
    </row>
    <row r="789">
      <c r="A789" t="n">
        <v>78.7</v>
      </c>
      <c r="B789" t="n">
        <v>25</v>
      </c>
      <c r="C789">
        <f>ROUND(SQRT(E789),2)</f>
        <v/>
      </c>
      <c r="D789">
        <f>MIN(MIN(B789,Parameters!$B$2)^2, D788+Parameters!$B$24)</f>
        <v/>
      </c>
      <c r="E789">
        <f>MIN(D789, E790+Parameters!$B$24)</f>
        <v/>
      </c>
    </row>
    <row r="790">
      <c r="A790" t="n">
        <v>78.8</v>
      </c>
      <c r="B790" t="n">
        <v>25</v>
      </c>
      <c r="C790">
        <f>ROUND(SQRT(E790),2)</f>
        <v/>
      </c>
      <c r="D790">
        <f>MIN(MIN(B790,Parameters!$B$2)^2, D789+Parameters!$B$24)</f>
        <v/>
      </c>
      <c r="E790">
        <f>MIN(D790, E791+Parameters!$B$24)</f>
        <v/>
      </c>
    </row>
    <row r="791">
      <c r="A791" t="n">
        <v>78.90000000000001</v>
      </c>
      <c r="B791" t="n">
        <v>25</v>
      </c>
      <c r="C791">
        <f>ROUND(SQRT(E791),2)</f>
        <v/>
      </c>
      <c r="D791">
        <f>MIN(MIN(B791,Parameters!$B$2)^2, D790+Parameters!$B$24)</f>
        <v/>
      </c>
      <c r="E791">
        <f>MIN(D791, E792+Parameters!$B$24)</f>
        <v/>
      </c>
    </row>
    <row r="792">
      <c r="A792" t="n">
        <v>79</v>
      </c>
      <c r="B792" t="n">
        <v>25</v>
      </c>
      <c r="C792">
        <f>ROUND(SQRT(E792),2)</f>
        <v/>
      </c>
      <c r="D792">
        <f>MIN(MIN(B792,Parameters!$B$2)^2, D791+Parameters!$B$24)</f>
        <v/>
      </c>
      <c r="E792">
        <f>MIN(D792, E793+Parameters!$B$24)</f>
        <v/>
      </c>
    </row>
    <row r="793">
      <c r="A793" t="n">
        <v>79.09999999999999</v>
      </c>
      <c r="B793" t="n">
        <v>25</v>
      </c>
      <c r="C793">
        <f>ROUND(SQRT(E793),2)</f>
        <v/>
      </c>
      <c r="D793">
        <f>MIN(MIN(B793,Parameters!$B$2)^2, D792+Parameters!$B$24)</f>
        <v/>
      </c>
      <c r="E793">
        <f>MIN(D793, E794+Parameters!$B$24)</f>
        <v/>
      </c>
    </row>
    <row r="794">
      <c r="A794" t="n">
        <v>79.2</v>
      </c>
      <c r="B794" t="n">
        <v>25</v>
      </c>
      <c r="C794">
        <f>ROUND(SQRT(E794),2)</f>
        <v/>
      </c>
      <c r="D794">
        <f>MIN(MIN(B794,Parameters!$B$2)^2, D793+Parameters!$B$24)</f>
        <v/>
      </c>
      <c r="E794">
        <f>MIN(D794, E795+Parameters!$B$24)</f>
        <v/>
      </c>
    </row>
    <row r="795">
      <c r="A795" t="n">
        <v>79.3</v>
      </c>
      <c r="B795" t="n">
        <v>25</v>
      </c>
      <c r="C795">
        <f>ROUND(SQRT(E795),2)</f>
        <v/>
      </c>
      <c r="D795">
        <f>MIN(MIN(B795,Parameters!$B$2)^2, D794+Parameters!$B$24)</f>
        <v/>
      </c>
      <c r="E795">
        <f>MIN(D795, E796+Parameters!$B$24)</f>
        <v/>
      </c>
    </row>
    <row r="796">
      <c r="A796" t="n">
        <v>79.40000000000001</v>
      </c>
      <c r="B796" t="n">
        <v>25</v>
      </c>
      <c r="C796">
        <f>ROUND(SQRT(E796),2)</f>
        <v/>
      </c>
      <c r="D796">
        <f>MIN(MIN(B796,Parameters!$B$2)^2, D795+Parameters!$B$24)</f>
        <v/>
      </c>
      <c r="E796">
        <f>MIN(D796, E797+Parameters!$B$24)</f>
        <v/>
      </c>
    </row>
    <row r="797">
      <c r="A797" t="n">
        <v>79.5</v>
      </c>
      <c r="B797" t="n">
        <v>25</v>
      </c>
      <c r="C797">
        <f>ROUND(SQRT(E797),2)</f>
        <v/>
      </c>
      <c r="D797">
        <f>MIN(MIN(B797,Parameters!$B$2)^2, D796+Parameters!$B$24)</f>
        <v/>
      </c>
      <c r="E797">
        <f>MIN(D797, E798+Parameters!$B$24)</f>
        <v/>
      </c>
    </row>
    <row r="798">
      <c r="A798" t="n">
        <v>79.59999999999999</v>
      </c>
      <c r="B798" t="n">
        <v>25</v>
      </c>
      <c r="C798">
        <f>ROUND(SQRT(E798),2)</f>
        <v/>
      </c>
      <c r="D798">
        <f>MIN(MIN(B798,Parameters!$B$2)^2, D797+Parameters!$B$24)</f>
        <v/>
      </c>
      <c r="E798">
        <f>MIN(D798, E799+Parameters!$B$24)</f>
        <v/>
      </c>
    </row>
    <row r="799">
      <c r="A799" t="n">
        <v>79.7</v>
      </c>
      <c r="B799" t="n">
        <v>25</v>
      </c>
      <c r="C799">
        <f>ROUND(SQRT(E799),2)</f>
        <v/>
      </c>
      <c r="D799">
        <f>MIN(MIN(B799,Parameters!$B$2)^2, D798+Parameters!$B$24)</f>
        <v/>
      </c>
      <c r="E799">
        <f>MIN(D799, E800+Parameters!$B$24)</f>
        <v/>
      </c>
    </row>
    <row r="800">
      <c r="A800" t="n">
        <v>79.8</v>
      </c>
      <c r="B800" t="n">
        <v>25</v>
      </c>
      <c r="C800">
        <f>ROUND(SQRT(E800),2)</f>
        <v/>
      </c>
      <c r="D800">
        <f>MIN(MIN(B800,Parameters!$B$2)^2, D799+Parameters!$B$24)</f>
        <v/>
      </c>
      <c r="E800">
        <f>MIN(D800, E801+Parameters!$B$24)</f>
        <v/>
      </c>
    </row>
    <row r="801">
      <c r="A801" t="n">
        <v>79.90000000000001</v>
      </c>
      <c r="B801" t="n">
        <v>25</v>
      </c>
      <c r="C801">
        <f>ROUND(SQRT(E801),2)</f>
        <v/>
      </c>
      <c r="D801">
        <f>MIN(MIN(B801,Parameters!$B$2)^2, D800+Parameters!$B$24)</f>
        <v/>
      </c>
      <c r="E801">
        <f>MIN(D801, E802+Parameters!$B$24)</f>
        <v/>
      </c>
    </row>
    <row r="802">
      <c r="A802" t="n">
        <v>80</v>
      </c>
      <c r="B802" t="n">
        <v>25</v>
      </c>
      <c r="C802">
        <f>ROUND(SQRT(E802),2)</f>
        <v/>
      </c>
      <c r="D802">
        <f>MIN(MIN(B802,Parameters!$B$2)^2, D801+Parameters!$B$24)</f>
        <v/>
      </c>
      <c r="E802">
        <f>MIN(D802, E803+Parameters!$B$24)</f>
        <v/>
      </c>
    </row>
    <row r="803">
      <c r="A803" t="n">
        <v>80.09999999999999</v>
      </c>
      <c r="B803" t="n">
        <v>25</v>
      </c>
      <c r="C803">
        <f>ROUND(SQRT(E803),2)</f>
        <v/>
      </c>
      <c r="D803">
        <f>MIN(MIN(B803,Parameters!$B$2)^2, D802+Parameters!$B$24)</f>
        <v/>
      </c>
      <c r="E803">
        <f>MIN(D803, E804+Parameters!$B$24)</f>
        <v/>
      </c>
    </row>
    <row r="804">
      <c r="A804" t="n">
        <v>80.2</v>
      </c>
      <c r="B804" t="n">
        <v>25</v>
      </c>
      <c r="C804">
        <f>ROUND(SQRT(E804),2)</f>
        <v/>
      </c>
      <c r="D804">
        <f>MIN(MIN(B804,Parameters!$B$2)^2, D803+Parameters!$B$24)</f>
        <v/>
      </c>
      <c r="E804">
        <f>MIN(D804, E805+Parameters!$B$24)</f>
        <v/>
      </c>
    </row>
    <row r="805">
      <c r="A805" t="n">
        <v>80.3</v>
      </c>
      <c r="B805" t="n">
        <v>25</v>
      </c>
      <c r="C805">
        <f>ROUND(SQRT(E805),2)</f>
        <v/>
      </c>
      <c r="D805">
        <f>MIN(MIN(B805,Parameters!$B$2)^2, D804+Parameters!$B$24)</f>
        <v/>
      </c>
      <c r="E805">
        <f>MIN(D805, E806+Parameters!$B$24)</f>
        <v/>
      </c>
    </row>
    <row r="806">
      <c r="A806" t="n">
        <v>80.40000000000001</v>
      </c>
      <c r="B806" t="n">
        <v>25</v>
      </c>
      <c r="C806">
        <f>ROUND(SQRT(E806),2)</f>
        <v/>
      </c>
      <c r="D806">
        <f>MIN(MIN(B806,Parameters!$B$2)^2, D805+Parameters!$B$24)</f>
        <v/>
      </c>
      <c r="E806">
        <f>MIN(D806, E807+Parameters!$B$24)</f>
        <v/>
      </c>
    </row>
    <row r="807">
      <c r="A807" t="n">
        <v>80.5</v>
      </c>
      <c r="B807" t="n">
        <v>25</v>
      </c>
      <c r="C807">
        <f>ROUND(SQRT(E807),2)</f>
        <v/>
      </c>
      <c r="D807">
        <f>MIN(MIN(B807,Parameters!$B$2)^2, D806+Parameters!$B$24)</f>
        <v/>
      </c>
      <c r="E807">
        <f>MIN(D807, E808+Parameters!$B$24)</f>
        <v/>
      </c>
    </row>
    <row r="808">
      <c r="A808" t="n">
        <v>80.59999999999999</v>
      </c>
      <c r="B808" t="n">
        <v>25</v>
      </c>
      <c r="C808">
        <f>ROUND(SQRT(E808),2)</f>
        <v/>
      </c>
      <c r="D808">
        <f>MIN(MIN(B808,Parameters!$B$2)^2, D807+Parameters!$B$24)</f>
        <v/>
      </c>
      <c r="E808">
        <f>MIN(D808, E809+Parameters!$B$24)</f>
        <v/>
      </c>
    </row>
    <row r="809">
      <c r="A809" t="n">
        <v>80.7</v>
      </c>
      <c r="B809" t="n">
        <v>25</v>
      </c>
      <c r="C809">
        <f>ROUND(SQRT(E809),2)</f>
        <v/>
      </c>
      <c r="D809">
        <f>MIN(MIN(B809,Parameters!$B$2)^2, D808+Parameters!$B$24)</f>
        <v/>
      </c>
      <c r="E809">
        <f>MIN(D809, E810+Parameters!$B$24)</f>
        <v/>
      </c>
    </row>
    <row r="810">
      <c r="A810" t="n">
        <v>80.8</v>
      </c>
      <c r="B810" t="n">
        <v>25</v>
      </c>
      <c r="C810">
        <f>ROUND(SQRT(E810),2)</f>
        <v/>
      </c>
      <c r="D810">
        <f>MIN(MIN(B810,Parameters!$B$2)^2, D809+Parameters!$B$24)</f>
        <v/>
      </c>
      <c r="E810">
        <f>MIN(D810, E811+Parameters!$B$24)</f>
        <v/>
      </c>
    </row>
    <row r="811">
      <c r="A811" t="n">
        <v>80.90000000000001</v>
      </c>
      <c r="B811" t="n">
        <v>25</v>
      </c>
      <c r="C811">
        <f>ROUND(SQRT(E811),2)</f>
        <v/>
      </c>
      <c r="D811">
        <f>MIN(MIN(B811,Parameters!$B$2)^2, D810+Parameters!$B$24)</f>
        <v/>
      </c>
      <c r="E811">
        <f>MIN(D811, E812+Parameters!$B$24)</f>
        <v/>
      </c>
    </row>
    <row r="812">
      <c r="A812" t="n">
        <v>81</v>
      </c>
      <c r="B812" t="n">
        <v>25</v>
      </c>
      <c r="C812">
        <f>ROUND(SQRT(E812),2)</f>
        <v/>
      </c>
      <c r="D812">
        <f>MIN(MIN(B812,Parameters!$B$2)^2, D811+Parameters!$B$24)</f>
        <v/>
      </c>
      <c r="E812">
        <f>MIN(D812, E813+Parameters!$B$24)</f>
        <v/>
      </c>
    </row>
    <row r="813">
      <c r="A813" t="n">
        <v>81.09999999999999</v>
      </c>
      <c r="B813" t="n">
        <v>25</v>
      </c>
      <c r="C813">
        <f>ROUND(SQRT(E813),2)</f>
        <v/>
      </c>
      <c r="D813">
        <f>MIN(MIN(B813,Parameters!$B$2)^2, D812+Parameters!$B$24)</f>
        <v/>
      </c>
      <c r="E813">
        <f>MIN(D813, E814+Parameters!$B$24)</f>
        <v/>
      </c>
    </row>
    <row r="814">
      <c r="A814" t="n">
        <v>81.2</v>
      </c>
      <c r="B814" t="n">
        <v>25</v>
      </c>
      <c r="C814">
        <f>ROUND(SQRT(E814),2)</f>
        <v/>
      </c>
      <c r="D814">
        <f>MIN(MIN(B814,Parameters!$B$2)^2, D813+Parameters!$B$24)</f>
        <v/>
      </c>
      <c r="E814">
        <f>MIN(D814, E815+Parameters!$B$24)</f>
        <v/>
      </c>
    </row>
    <row r="815">
      <c r="A815" t="n">
        <v>81.3</v>
      </c>
      <c r="B815" t="n">
        <v>25</v>
      </c>
      <c r="C815">
        <f>ROUND(SQRT(E815),2)</f>
        <v/>
      </c>
      <c r="D815">
        <f>MIN(MIN(B815,Parameters!$B$2)^2, D814+Parameters!$B$24)</f>
        <v/>
      </c>
      <c r="E815">
        <f>MIN(D815, E816+Parameters!$B$24)</f>
        <v/>
      </c>
    </row>
    <row r="816">
      <c r="A816" t="n">
        <v>81.40000000000001</v>
      </c>
      <c r="B816" t="n">
        <v>25</v>
      </c>
      <c r="C816">
        <f>ROUND(SQRT(E816),2)</f>
        <v/>
      </c>
      <c r="D816">
        <f>MIN(MIN(B816,Parameters!$B$2)^2, D815+Parameters!$B$24)</f>
        <v/>
      </c>
      <c r="E816">
        <f>MIN(D816, E817+Parameters!$B$24)</f>
        <v/>
      </c>
    </row>
    <row r="817">
      <c r="A817" t="n">
        <v>81.5</v>
      </c>
      <c r="B817" t="n">
        <v>25</v>
      </c>
      <c r="C817">
        <f>ROUND(SQRT(E817),2)</f>
        <v/>
      </c>
      <c r="D817">
        <f>MIN(MIN(B817,Parameters!$B$2)^2, D816+Parameters!$B$24)</f>
        <v/>
      </c>
      <c r="E817">
        <f>MIN(D817, E818+Parameters!$B$24)</f>
        <v/>
      </c>
    </row>
    <row r="818">
      <c r="A818" t="n">
        <v>81.59999999999999</v>
      </c>
      <c r="B818" t="n">
        <v>25</v>
      </c>
      <c r="C818">
        <f>ROUND(SQRT(E818),2)</f>
        <v/>
      </c>
      <c r="D818">
        <f>MIN(MIN(B818,Parameters!$B$2)^2, D817+Parameters!$B$24)</f>
        <v/>
      </c>
      <c r="E818">
        <f>MIN(D818, E819+Parameters!$B$24)</f>
        <v/>
      </c>
    </row>
    <row r="819">
      <c r="A819" t="n">
        <v>81.7</v>
      </c>
      <c r="B819" t="n">
        <v>25</v>
      </c>
      <c r="C819">
        <f>ROUND(SQRT(E819),2)</f>
        <v/>
      </c>
      <c r="D819">
        <f>MIN(MIN(B819,Parameters!$B$2)^2, D818+Parameters!$B$24)</f>
        <v/>
      </c>
      <c r="E819">
        <f>MIN(D819, E820+Parameters!$B$24)</f>
        <v/>
      </c>
    </row>
    <row r="820">
      <c r="A820" t="n">
        <v>81.8</v>
      </c>
      <c r="B820" t="n">
        <v>25</v>
      </c>
      <c r="C820">
        <f>ROUND(SQRT(E820),2)</f>
        <v/>
      </c>
      <c r="D820">
        <f>MIN(MIN(B820,Parameters!$B$2)^2, D819+Parameters!$B$24)</f>
        <v/>
      </c>
      <c r="E820">
        <f>MIN(D820, E821+Parameters!$B$24)</f>
        <v/>
      </c>
    </row>
    <row r="821">
      <c r="A821" t="n">
        <v>81.90000000000001</v>
      </c>
      <c r="B821" t="n">
        <v>25</v>
      </c>
      <c r="C821">
        <f>ROUND(SQRT(E821),2)</f>
        <v/>
      </c>
      <c r="D821">
        <f>MIN(MIN(B821,Parameters!$B$2)^2, D820+Parameters!$B$24)</f>
        <v/>
      </c>
      <c r="E821">
        <f>MIN(D821, E822+Parameters!$B$24)</f>
        <v/>
      </c>
    </row>
    <row r="822">
      <c r="A822" t="n">
        <v>82</v>
      </c>
      <c r="B822" t="n">
        <v>25</v>
      </c>
      <c r="C822">
        <f>ROUND(SQRT(E822),2)</f>
        <v/>
      </c>
      <c r="D822">
        <f>MIN(MIN(B822,Parameters!$B$2)^2, D821+Parameters!$B$24)</f>
        <v/>
      </c>
      <c r="E822">
        <f>MIN(D822, E823+Parameters!$B$24)</f>
        <v/>
      </c>
    </row>
    <row r="823">
      <c r="A823" t="n">
        <v>82.09999999999999</v>
      </c>
      <c r="B823" t="n">
        <v>25</v>
      </c>
      <c r="C823">
        <f>ROUND(SQRT(E823),2)</f>
        <v/>
      </c>
      <c r="D823">
        <f>MIN(MIN(B823,Parameters!$B$2)^2, D822+Parameters!$B$24)</f>
        <v/>
      </c>
      <c r="E823">
        <f>MIN(D823, E824+Parameters!$B$24)</f>
        <v/>
      </c>
    </row>
    <row r="824">
      <c r="A824" t="n">
        <v>82.2</v>
      </c>
      <c r="B824" t="n">
        <v>25</v>
      </c>
      <c r="C824">
        <f>ROUND(SQRT(E824),2)</f>
        <v/>
      </c>
      <c r="D824">
        <f>MIN(MIN(B824,Parameters!$B$2)^2, D823+Parameters!$B$24)</f>
        <v/>
      </c>
      <c r="E824">
        <f>MIN(D824, E825+Parameters!$B$24)</f>
        <v/>
      </c>
    </row>
    <row r="825">
      <c r="A825" t="n">
        <v>82.3</v>
      </c>
      <c r="B825" t="n">
        <v>25</v>
      </c>
      <c r="C825">
        <f>ROUND(SQRT(E825),2)</f>
        <v/>
      </c>
      <c r="D825">
        <f>MIN(MIN(B825,Parameters!$B$2)^2, D824+Parameters!$B$24)</f>
        <v/>
      </c>
      <c r="E825">
        <f>MIN(D825, E826+Parameters!$B$24)</f>
        <v/>
      </c>
    </row>
    <row r="826">
      <c r="A826" t="n">
        <v>82.40000000000001</v>
      </c>
      <c r="B826" t="n">
        <v>25</v>
      </c>
      <c r="C826">
        <f>ROUND(SQRT(E826),2)</f>
        <v/>
      </c>
      <c r="D826">
        <f>MIN(MIN(B826,Parameters!$B$2)^2, D825+Parameters!$B$24)</f>
        <v/>
      </c>
      <c r="E826">
        <f>MIN(D826, E827+Parameters!$B$24)</f>
        <v/>
      </c>
    </row>
    <row r="827">
      <c r="A827" t="n">
        <v>82.5</v>
      </c>
      <c r="B827" t="n">
        <v>25</v>
      </c>
      <c r="C827">
        <f>ROUND(SQRT(E827),2)</f>
        <v/>
      </c>
      <c r="D827">
        <f>MIN(MIN(B827,Parameters!$B$2)^2, D826+Parameters!$B$24)</f>
        <v/>
      </c>
      <c r="E827">
        <f>MIN(D827, E828+Parameters!$B$24)</f>
        <v/>
      </c>
    </row>
    <row r="828">
      <c r="A828" t="n">
        <v>82.59999999999999</v>
      </c>
      <c r="B828" t="n">
        <v>25</v>
      </c>
      <c r="C828">
        <f>ROUND(SQRT(E828),2)</f>
        <v/>
      </c>
      <c r="D828">
        <f>MIN(MIN(B828,Parameters!$B$2)^2, D827+Parameters!$B$24)</f>
        <v/>
      </c>
      <c r="E828">
        <f>MIN(D828, E829+Parameters!$B$24)</f>
        <v/>
      </c>
    </row>
    <row r="829">
      <c r="A829" t="n">
        <v>82.7</v>
      </c>
      <c r="B829" t="n">
        <v>25</v>
      </c>
      <c r="C829">
        <f>ROUND(SQRT(E829),2)</f>
        <v/>
      </c>
      <c r="D829">
        <f>MIN(MIN(B829,Parameters!$B$2)^2, D828+Parameters!$B$24)</f>
        <v/>
      </c>
      <c r="E829">
        <f>MIN(D829, E830+Parameters!$B$24)</f>
        <v/>
      </c>
    </row>
    <row r="830">
      <c r="A830" t="n">
        <v>82.8</v>
      </c>
      <c r="B830" t="n">
        <v>25</v>
      </c>
      <c r="C830">
        <f>ROUND(SQRT(E830),2)</f>
        <v/>
      </c>
      <c r="D830">
        <f>MIN(MIN(B830,Parameters!$B$2)^2, D829+Parameters!$B$24)</f>
        <v/>
      </c>
      <c r="E830">
        <f>MIN(D830, E831+Parameters!$B$24)</f>
        <v/>
      </c>
    </row>
    <row r="831">
      <c r="A831" t="n">
        <v>82.90000000000001</v>
      </c>
      <c r="B831" t="n">
        <v>25</v>
      </c>
      <c r="C831">
        <f>ROUND(SQRT(E831),2)</f>
        <v/>
      </c>
      <c r="D831">
        <f>MIN(MIN(B831,Parameters!$B$2)^2, D830+Parameters!$B$24)</f>
        <v/>
      </c>
      <c r="E831">
        <f>MIN(D831, E832+Parameters!$B$24)</f>
        <v/>
      </c>
    </row>
    <row r="832">
      <c r="A832" t="n">
        <v>83</v>
      </c>
      <c r="B832" t="n">
        <v>25</v>
      </c>
      <c r="C832">
        <f>ROUND(SQRT(E832),2)</f>
        <v/>
      </c>
      <c r="D832">
        <f>MIN(MIN(B832,Parameters!$B$2)^2, D831+Parameters!$B$24)</f>
        <v/>
      </c>
      <c r="E832">
        <f>MIN(D832, E833+Parameters!$B$24)</f>
        <v/>
      </c>
    </row>
    <row r="833">
      <c r="A833" t="n">
        <v>83.09999999999999</v>
      </c>
      <c r="B833" t="n">
        <v>25</v>
      </c>
      <c r="C833">
        <f>ROUND(SQRT(E833),2)</f>
        <v/>
      </c>
      <c r="D833">
        <f>MIN(MIN(B833,Parameters!$B$2)^2, D832+Parameters!$B$24)</f>
        <v/>
      </c>
      <c r="E833">
        <f>MIN(D833, E834+Parameters!$B$24)</f>
        <v/>
      </c>
    </row>
    <row r="834">
      <c r="A834" t="n">
        <v>83.2</v>
      </c>
      <c r="B834" t="n">
        <v>25</v>
      </c>
      <c r="C834">
        <f>ROUND(SQRT(E834),2)</f>
        <v/>
      </c>
      <c r="D834">
        <f>MIN(MIN(B834,Parameters!$B$2)^2, D833+Parameters!$B$24)</f>
        <v/>
      </c>
      <c r="E834">
        <f>MIN(D834, E835+Parameters!$B$24)</f>
        <v/>
      </c>
    </row>
    <row r="835">
      <c r="A835" t="n">
        <v>83.3</v>
      </c>
      <c r="B835" t="n">
        <v>25</v>
      </c>
      <c r="C835">
        <f>ROUND(SQRT(E835),2)</f>
        <v/>
      </c>
      <c r="D835">
        <f>MIN(MIN(B835,Parameters!$B$2)^2, D834+Parameters!$B$24)</f>
        <v/>
      </c>
      <c r="E835">
        <f>MIN(D835, E836+Parameters!$B$24)</f>
        <v/>
      </c>
    </row>
    <row r="836">
      <c r="A836" t="n">
        <v>83.40000000000001</v>
      </c>
      <c r="B836" t="n">
        <v>25</v>
      </c>
      <c r="C836">
        <f>ROUND(SQRT(E836),2)</f>
        <v/>
      </c>
      <c r="D836">
        <f>MIN(MIN(B836,Parameters!$B$2)^2, D835+Parameters!$B$24)</f>
        <v/>
      </c>
      <c r="E836">
        <f>MIN(D836, E837+Parameters!$B$24)</f>
        <v/>
      </c>
    </row>
    <row r="837">
      <c r="A837" t="n">
        <v>83.5</v>
      </c>
      <c r="B837" t="n">
        <v>25</v>
      </c>
      <c r="C837">
        <f>ROUND(SQRT(E837),2)</f>
        <v/>
      </c>
      <c r="D837">
        <f>MIN(MIN(B837,Parameters!$B$2)^2, D836+Parameters!$B$24)</f>
        <v/>
      </c>
      <c r="E837">
        <f>MIN(D837, E838+Parameters!$B$24)</f>
        <v/>
      </c>
    </row>
    <row r="838">
      <c r="A838" t="n">
        <v>83.59999999999999</v>
      </c>
      <c r="B838" t="n">
        <v>25</v>
      </c>
      <c r="C838">
        <f>ROUND(SQRT(E838),2)</f>
        <v/>
      </c>
      <c r="D838">
        <f>MIN(MIN(B838,Parameters!$B$2)^2, D837+Parameters!$B$24)</f>
        <v/>
      </c>
      <c r="E838">
        <f>MIN(D838, E839+Parameters!$B$24)</f>
        <v/>
      </c>
    </row>
    <row r="839">
      <c r="A839" t="n">
        <v>83.7</v>
      </c>
      <c r="B839" t="n">
        <v>25</v>
      </c>
      <c r="C839">
        <f>ROUND(SQRT(E839),2)</f>
        <v/>
      </c>
      <c r="D839">
        <f>MIN(MIN(B839,Parameters!$B$2)^2, D838+Parameters!$B$24)</f>
        <v/>
      </c>
      <c r="E839">
        <f>MIN(D839, E840+Parameters!$B$24)</f>
        <v/>
      </c>
    </row>
    <row r="840">
      <c r="A840" t="n">
        <v>83.8</v>
      </c>
      <c r="B840" t="n">
        <v>25</v>
      </c>
      <c r="C840">
        <f>ROUND(SQRT(E840),2)</f>
        <v/>
      </c>
      <c r="D840">
        <f>MIN(MIN(B840,Parameters!$B$2)^2, D839+Parameters!$B$24)</f>
        <v/>
      </c>
      <c r="E840">
        <f>MIN(D840, E841+Parameters!$B$24)</f>
        <v/>
      </c>
    </row>
    <row r="841">
      <c r="A841" t="n">
        <v>83.90000000000001</v>
      </c>
      <c r="B841" t="n">
        <v>25</v>
      </c>
      <c r="C841">
        <f>ROUND(SQRT(E841),2)</f>
        <v/>
      </c>
      <c r="D841">
        <f>MIN(MIN(B841,Parameters!$B$2)^2, D840+Parameters!$B$24)</f>
        <v/>
      </c>
      <c r="E841">
        <f>MIN(D841, E842+Parameters!$B$24)</f>
        <v/>
      </c>
    </row>
    <row r="842">
      <c r="A842" t="n">
        <v>84</v>
      </c>
      <c r="B842" t="n">
        <v>25</v>
      </c>
      <c r="C842">
        <f>ROUND(SQRT(E842),2)</f>
        <v/>
      </c>
      <c r="D842">
        <f>MIN(MIN(B842,Parameters!$B$2)^2, D841+Parameters!$B$24)</f>
        <v/>
      </c>
      <c r="E842">
        <f>MIN(D842, E843+Parameters!$B$24)</f>
        <v/>
      </c>
    </row>
    <row r="843">
      <c r="A843" t="n">
        <v>84.09999999999999</v>
      </c>
      <c r="B843" t="n">
        <v>25</v>
      </c>
      <c r="C843">
        <f>ROUND(SQRT(E843),2)</f>
        <v/>
      </c>
      <c r="D843">
        <f>MIN(MIN(B843,Parameters!$B$2)^2, D842+Parameters!$B$24)</f>
        <v/>
      </c>
      <c r="E843">
        <f>MIN(D843, E844+Parameters!$B$24)</f>
        <v/>
      </c>
    </row>
    <row r="844">
      <c r="A844" t="n">
        <v>84.2</v>
      </c>
      <c r="B844" t="n">
        <v>25</v>
      </c>
      <c r="C844">
        <f>ROUND(SQRT(E844),2)</f>
        <v/>
      </c>
      <c r="D844">
        <f>MIN(MIN(B844,Parameters!$B$2)^2, D843+Parameters!$B$24)</f>
        <v/>
      </c>
      <c r="E844">
        <f>MIN(D844, E845+Parameters!$B$24)</f>
        <v/>
      </c>
    </row>
    <row r="845">
      <c r="A845" t="n">
        <v>84.3</v>
      </c>
      <c r="B845" t="n">
        <v>25</v>
      </c>
      <c r="C845">
        <f>ROUND(SQRT(E845),2)</f>
        <v/>
      </c>
      <c r="D845">
        <f>MIN(MIN(B845,Parameters!$B$2)^2, D844+Parameters!$B$24)</f>
        <v/>
      </c>
      <c r="E845">
        <f>MIN(D845, E846+Parameters!$B$24)</f>
        <v/>
      </c>
    </row>
    <row r="846">
      <c r="A846" t="n">
        <v>84.40000000000001</v>
      </c>
      <c r="B846" t="n">
        <v>25</v>
      </c>
      <c r="C846">
        <f>ROUND(SQRT(E846),2)</f>
        <v/>
      </c>
      <c r="D846">
        <f>MIN(MIN(B846,Parameters!$B$2)^2, D845+Parameters!$B$24)</f>
        <v/>
      </c>
      <c r="E846">
        <f>MIN(D846, E847+Parameters!$B$24)</f>
        <v/>
      </c>
    </row>
    <row r="847">
      <c r="A847" t="n">
        <v>84.5</v>
      </c>
      <c r="B847" t="n">
        <v>25</v>
      </c>
      <c r="C847">
        <f>ROUND(SQRT(E847),2)</f>
        <v/>
      </c>
      <c r="D847">
        <f>MIN(MIN(B847,Parameters!$B$2)^2, D846+Parameters!$B$24)</f>
        <v/>
      </c>
      <c r="E847">
        <f>MIN(D847, E848+Parameters!$B$24)</f>
        <v/>
      </c>
    </row>
    <row r="848">
      <c r="A848" t="n">
        <v>84.59999999999999</v>
      </c>
      <c r="B848" t="n">
        <v>25</v>
      </c>
      <c r="C848">
        <f>ROUND(SQRT(E848),2)</f>
        <v/>
      </c>
      <c r="D848">
        <f>MIN(MIN(B848,Parameters!$B$2)^2, D847+Parameters!$B$24)</f>
        <v/>
      </c>
      <c r="E848">
        <f>MIN(D848, E849+Parameters!$B$24)</f>
        <v/>
      </c>
    </row>
    <row r="849">
      <c r="A849" t="n">
        <v>84.7</v>
      </c>
      <c r="B849" t="n">
        <v>25</v>
      </c>
      <c r="C849">
        <f>ROUND(SQRT(E849),2)</f>
        <v/>
      </c>
      <c r="D849">
        <f>MIN(MIN(B849,Parameters!$B$2)^2, D848+Parameters!$B$24)</f>
        <v/>
      </c>
      <c r="E849">
        <f>MIN(D849, E850+Parameters!$B$24)</f>
        <v/>
      </c>
    </row>
    <row r="850">
      <c r="A850" t="n">
        <v>84.8</v>
      </c>
      <c r="B850" t="n">
        <v>25</v>
      </c>
      <c r="C850">
        <f>ROUND(SQRT(E850),2)</f>
        <v/>
      </c>
      <c r="D850">
        <f>MIN(MIN(B850,Parameters!$B$2)^2, D849+Parameters!$B$24)</f>
        <v/>
      </c>
      <c r="E850">
        <f>MIN(D850, E851+Parameters!$B$24)</f>
        <v/>
      </c>
    </row>
    <row r="851">
      <c r="A851" t="n">
        <v>84.90000000000001</v>
      </c>
      <c r="B851" t="n">
        <v>25</v>
      </c>
      <c r="C851">
        <f>ROUND(SQRT(E851),2)</f>
        <v/>
      </c>
      <c r="D851">
        <f>MIN(MIN(B851,Parameters!$B$2)^2, D850+Parameters!$B$24)</f>
        <v/>
      </c>
      <c r="E851">
        <f>MIN(D851, E852+Parameters!$B$24)</f>
        <v/>
      </c>
    </row>
    <row r="852">
      <c r="A852" t="n">
        <v>85</v>
      </c>
      <c r="B852" t="n">
        <v>25</v>
      </c>
      <c r="C852">
        <f>ROUND(SQRT(E852),2)</f>
        <v/>
      </c>
      <c r="D852">
        <f>MIN(MIN(B852,Parameters!$B$2)^2, D851+Parameters!$B$24)</f>
        <v/>
      </c>
      <c r="E852">
        <f>MIN(D852, E853+Parameters!$B$24)</f>
        <v/>
      </c>
    </row>
    <row r="853">
      <c r="A853" t="n">
        <v>85.09999999999999</v>
      </c>
      <c r="B853" t="n">
        <v>25</v>
      </c>
      <c r="C853">
        <f>ROUND(SQRT(E853),2)</f>
        <v/>
      </c>
      <c r="D853">
        <f>MIN(MIN(B853,Parameters!$B$2)^2, D852+Parameters!$B$24)</f>
        <v/>
      </c>
      <c r="E853">
        <f>MIN(D853, E854+Parameters!$B$24)</f>
        <v/>
      </c>
    </row>
    <row r="854">
      <c r="A854" t="n">
        <v>85.2</v>
      </c>
      <c r="B854" t="n">
        <v>25</v>
      </c>
      <c r="C854">
        <f>ROUND(SQRT(E854),2)</f>
        <v/>
      </c>
      <c r="D854">
        <f>MIN(MIN(B854,Parameters!$B$2)^2, D853+Parameters!$B$24)</f>
        <v/>
      </c>
      <c r="E854">
        <f>MIN(D854, E855+Parameters!$B$24)</f>
        <v/>
      </c>
    </row>
    <row r="855">
      <c r="A855" t="n">
        <v>85.3</v>
      </c>
      <c r="B855" t="n">
        <v>25</v>
      </c>
      <c r="C855">
        <f>ROUND(SQRT(E855),2)</f>
        <v/>
      </c>
      <c r="D855">
        <f>MIN(MIN(B855,Parameters!$B$2)^2, D854+Parameters!$B$24)</f>
        <v/>
      </c>
      <c r="E855">
        <f>MIN(D855, E856+Parameters!$B$24)</f>
        <v/>
      </c>
    </row>
    <row r="856">
      <c r="A856" t="n">
        <v>85.40000000000001</v>
      </c>
      <c r="B856" t="n">
        <v>25</v>
      </c>
      <c r="C856">
        <f>ROUND(SQRT(E856),2)</f>
        <v/>
      </c>
      <c r="D856">
        <f>MIN(MIN(B856,Parameters!$B$2)^2, D855+Parameters!$B$24)</f>
        <v/>
      </c>
      <c r="E856">
        <f>MIN(D856, E857+Parameters!$B$24)</f>
        <v/>
      </c>
    </row>
    <row r="857">
      <c r="A857" t="n">
        <v>85.5</v>
      </c>
      <c r="B857" t="n">
        <v>25</v>
      </c>
      <c r="C857">
        <f>ROUND(SQRT(E857),2)</f>
        <v/>
      </c>
      <c r="D857">
        <f>MIN(MIN(B857,Parameters!$B$2)^2, D856+Parameters!$B$24)</f>
        <v/>
      </c>
      <c r="E857">
        <f>MIN(D857, E858+Parameters!$B$24)</f>
        <v/>
      </c>
    </row>
    <row r="858">
      <c r="A858" t="n">
        <v>85.59999999999999</v>
      </c>
      <c r="B858" t="n">
        <v>25</v>
      </c>
      <c r="C858">
        <f>ROUND(SQRT(E858),2)</f>
        <v/>
      </c>
      <c r="D858">
        <f>MIN(MIN(B858,Parameters!$B$2)^2, D857+Parameters!$B$24)</f>
        <v/>
      </c>
      <c r="E858">
        <f>MIN(D858, E859+Parameters!$B$24)</f>
        <v/>
      </c>
    </row>
    <row r="859">
      <c r="A859" t="n">
        <v>85.7</v>
      </c>
      <c r="B859" t="n">
        <v>25</v>
      </c>
      <c r="C859">
        <f>ROUND(SQRT(E859),2)</f>
        <v/>
      </c>
      <c r="D859">
        <f>MIN(MIN(B859,Parameters!$B$2)^2, D858+Parameters!$B$24)</f>
        <v/>
      </c>
      <c r="E859">
        <f>MIN(D859, E860+Parameters!$B$24)</f>
        <v/>
      </c>
    </row>
    <row r="860">
      <c r="A860" t="n">
        <v>85.8</v>
      </c>
      <c r="B860" t="n">
        <v>25</v>
      </c>
      <c r="C860">
        <f>ROUND(SQRT(E860),2)</f>
        <v/>
      </c>
      <c r="D860">
        <f>MIN(MIN(B860,Parameters!$B$2)^2, D859+Parameters!$B$24)</f>
        <v/>
      </c>
      <c r="E860">
        <f>MIN(D860, E861+Parameters!$B$24)</f>
        <v/>
      </c>
    </row>
    <row r="861">
      <c r="A861" t="n">
        <v>85.90000000000001</v>
      </c>
      <c r="B861" t="n">
        <v>25</v>
      </c>
      <c r="C861">
        <f>ROUND(SQRT(E861),2)</f>
        <v/>
      </c>
      <c r="D861">
        <f>MIN(MIN(B861,Parameters!$B$2)^2, D860+Parameters!$B$24)</f>
        <v/>
      </c>
      <c r="E861">
        <f>MIN(D861, E862+Parameters!$B$24)</f>
        <v/>
      </c>
    </row>
    <row r="862">
      <c r="A862" t="n">
        <v>86</v>
      </c>
      <c r="B862" t="n">
        <v>25</v>
      </c>
      <c r="C862">
        <f>ROUND(SQRT(E862),2)</f>
        <v/>
      </c>
      <c r="D862">
        <f>MIN(MIN(B862,Parameters!$B$2)^2, D861+Parameters!$B$24)</f>
        <v/>
      </c>
      <c r="E862">
        <f>MIN(D862, E863+Parameters!$B$24)</f>
        <v/>
      </c>
    </row>
    <row r="863">
      <c r="A863" t="n">
        <v>86.09999999999999</v>
      </c>
      <c r="B863" t="n">
        <v>25</v>
      </c>
      <c r="C863">
        <f>ROUND(SQRT(E863),2)</f>
        <v/>
      </c>
      <c r="D863">
        <f>MIN(MIN(B863,Parameters!$B$2)^2, D862+Parameters!$B$24)</f>
        <v/>
      </c>
      <c r="E863">
        <f>MIN(D863, E864+Parameters!$B$24)</f>
        <v/>
      </c>
    </row>
    <row r="864">
      <c r="A864" t="n">
        <v>86.2</v>
      </c>
      <c r="B864" t="n">
        <v>25</v>
      </c>
      <c r="C864">
        <f>ROUND(SQRT(E864),2)</f>
        <v/>
      </c>
      <c r="D864">
        <f>MIN(MIN(B864,Parameters!$B$2)^2, D863+Parameters!$B$24)</f>
        <v/>
      </c>
      <c r="E864">
        <f>MIN(D864, E865+Parameters!$B$24)</f>
        <v/>
      </c>
    </row>
    <row r="865">
      <c r="A865" t="n">
        <v>86.3</v>
      </c>
      <c r="B865" t="n">
        <v>25</v>
      </c>
      <c r="C865">
        <f>ROUND(SQRT(E865),2)</f>
        <v/>
      </c>
      <c r="D865">
        <f>MIN(MIN(B865,Parameters!$B$2)^2, D864+Parameters!$B$24)</f>
        <v/>
      </c>
      <c r="E865">
        <f>MIN(D865, E866+Parameters!$B$24)</f>
        <v/>
      </c>
    </row>
    <row r="866">
      <c r="A866" t="n">
        <v>86.40000000000001</v>
      </c>
      <c r="B866" t="n">
        <v>25</v>
      </c>
      <c r="C866">
        <f>ROUND(SQRT(E866),2)</f>
        <v/>
      </c>
      <c r="D866">
        <f>MIN(MIN(B866,Parameters!$B$2)^2, D865+Parameters!$B$24)</f>
        <v/>
      </c>
      <c r="E866">
        <f>MIN(D866, E867+Parameters!$B$24)</f>
        <v/>
      </c>
    </row>
    <row r="867">
      <c r="A867" t="n">
        <v>86.5</v>
      </c>
      <c r="B867" t="n">
        <v>25</v>
      </c>
      <c r="C867">
        <f>ROUND(SQRT(E867),2)</f>
        <v/>
      </c>
      <c r="D867">
        <f>MIN(MIN(B867,Parameters!$B$2)^2, D866+Parameters!$B$24)</f>
        <v/>
      </c>
      <c r="E867">
        <f>MIN(D867, E868+Parameters!$B$24)</f>
        <v/>
      </c>
    </row>
    <row r="868">
      <c r="A868" t="n">
        <v>86.59999999999999</v>
      </c>
      <c r="B868" t="n">
        <v>25</v>
      </c>
      <c r="C868">
        <f>ROUND(SQRT(E868),2)</f>
        <v/>
      </c>
      <c r="D868">
        <f>MIN(MIN(B868,Parameters!$B$2)^2, D867+Parameters!$B$24)</f>
        <v/>
      </c>
      <c r="E868">
        <f>MIN(D868, E869+Parameters!$B$24)</f>
        <v/>
      </c>
    </row>
    <row r="869">
      <c r="A869" t="n">
        <v>86.7</v>
      </c>
      <c r="B869" t="n">
        <v>25</v>
      </c>
      <c r="C869">
        <f>ROUND(SQRT(E869),2)</f>
        <v/>
      </c>
      <c r="D869">
        <f>MIN(MIN(B869,Parameters!$B$2)^2, D868+Parameters!$B$24)</f>
        <v/>
      </c>
      <c r="E869">
        <f>MIN(D869, E870+Parameters!$B$24)</f>
        <v/>
      </c>
    </row>
    <row r="870">
      <c r="A870" t="n">
        <v>86.8</v>
      </c>
      <c r="B870" t="n">
        <v>25</v>
      </c>
      <c r="C870">
        <f>ROUND(SQRT(E870),2)</f>
        <v/>
      </c>
      <c r="D870">
        <f>MIN(MIN(B870,Parameters!$B$2)^2, D869+Parameters!$B$24)</f>
        <v/>
      </c>
      <c r="E870">
        <f>MIN(D870, E871+Parameters!$B$24)</f>
        <v/>
      </c>
    </row>
    <row r="871">
      <c r="A871" t="n">
        <v>86.90000000000001</v>
      </c>
      <c r="B871" t="n">
        <v>25</v>
      </c>
      <c r="C871">
        <f>ROUND(SQRT(E871),2)</f>
        <v/>
      </c>
      <c r="D871">
        <f>MIN(MIN(B871,Parameters!$B$2)^2, D870+Parameters!$B$24)</f>
        <v/>
      </c>
      <c r="E871">
        <f>MIN(D871, E872+Parameters!$B$24)</f>
        <v/>
      </c>
    </row>
    <row r="872">
      <c r="A872" t="n">
        <v>87</v>
      </c>
      <c r="B872" t="n">
        <v>25</v>
      </c>
      <c r="C872">
        <f>ROUND(SQRT(E872),2)</f>
        <v/>
      </c>
      <c r="D872">
        <f>MIN(MIN(B872,Parameters!$B$2)^2, D871+Parameters!$B$24)</f>
        <v/>
      </c>
      <c r="E872">
        <f>MIN(D872, E873+Parameters!$B$24)</f>
        <v/>
      </c>
    </row>
    <row r="873">
      <c r="A873" t="n">
        <v>87.09999999999999</v>
      </c>
      <c r="B873" t="n">
        <v>25</v>
      </c>
      <c r="C873">
        <f>ROUND(SQRT(E873),2)</f>
        <v/>
      </c>
      <c r="D873">
        <f>MIN(MIN(B873,Parameters!$B$2)^2, D872+Parameters!$B$24)</f>
        <v/>
      </c>
      <c r="E873">
        <f>MIN(D873, E874+Parameters!$B$24)</f>
        <v/>
      </c>
    </row>
    <row r="874">
      <c r="A874" t="n">
        <v>87.2</v>
      </c>
      <c r="B874" t="n">
        <v>25</v>
      </c>
      <c r="C874">
        <f>ROUND(SQRT(E874),2)</f>
        <v/>
      </c>
      <c r="D874">
        <f>MIN(MIN(B874,Parameters!$B$2)^2, D873+Parameters!$B$24)</f>
        <v/>
      </c>
      <c r="E874">
        <f>MIN(D874, E875+Parameters!$B$24)</f>
        <v/>
      </c>
    </row>
    <row r="875">
      <c r="A875" t="n">
        <v>87.3</v>
      </c>
      <c r="B875" t="n">
        <v>25</v>
      </c>
      <c r="C875">
        <f>ROUND(SQRT(E875),2)</f>
        <v/>
      </c>
      <c r="D875">
        <f>MIN(MIN(B875,Parameters!$B$2)^2, D874+Parameters!$B$24)</f>
        <v/>
      </c>
      <c r="E875">
        <f>MIN(D875, E876+Parameters!$B$24)</f>
        <v/>
      </c>
    </row>
    <row r="876">
      <c r="A876" t="n">
        <v>87.40000000000001</v>
      </c>
      <c r="B876" t="n">
        <v>25</v>
      </c>
      <c r="C876">
        <f>ROUND(SQRT(E876),2)</f>
        <v/>
      </c>
      <c r="D876">
        <f>MIN(MIN(B876,Parameters!$B$2)^2, D875+Parameters!$B$24)</f>
        <v/>
      </c>
      <c r="E876">
        <f>MIN(D876, E877+Parameters!$B$24)</f>
        <v/>
      </c>
    </row>
    <row r="877">
      <c r="A877" t="n">
        <v>87.5</v>
      </c>
      <c r="B877" t="n">
        <v>25</v>
      </c>
      <c r="C877">
        <f>ROUND(SQRT(E877),2)</f>
        <v/>
      </c>
      <c r="D877">
        <f>MIN(MIN(B877,Parameters!$B$2)^2, D876+Parameters!$B$24)</f>
        <v/>
      </c>
      <c r="E877">
        <f>MIN(D877, E878+Parameters!$B$24)</f>
        <v/>
      </c>
    </row>
    <row r="878">
      <c r="A878" t="n">
        <v>87.59999999999999</v>
      </c>
      <c r="B878" t="n">
        <v>25</v>
      </c>
      <c r="C878">
        <f>ROUND(SQRT(E878),2)</f>
        <v/>
      </c>
      <c r="D878">
        <f>MIN(MIN(B878,Parameters!$B$2)^2, D877+Parameters!$B$24)</f>
        <v/>
      </c>
      <c r="E878">
        <f>MIN(D878, E879+Parameters!$B$24)</f>
        <v/>
      </c>
    </row>
    <row r="879">
      <c r="A879" t="n">
        <v>87.7</v>
      </c>
      <c r="B879" t="n">
        <v>25</v>
      </c>
      <c r="C879">
        <f>ROUND(SQRT(E879),2)</f>
        <v/>
      </c>
      <c r="D879">
        <f>MIN(MIN(B879,Parameters!$B$2)^2, D878+Parameters!$B$24)</f>
        <v/>
      </c>
      <c r="E879">
        <f>MIN(D879, E880+Parameters!$B$24)</f>
        <v/>
      </c>
    </row>
    <row r="880">
      <c r="A880" t="n">
        <v>87.8</v>
      </c>
      <c r="B880" t="n">
        <v>25</v>
      </c>
      <c r="C880">
        <f>ROUND(SQRT(E880),2)</f>
        <v/>
      </c>
      <c r="D880">
        <f>MIN(MIN(B880,Parameters!$B$2)^2, D879+Parameters!$B$24)</f>
        <v/>
      </c>
      <c r="E880">
        <f>MIN(D880, E881+Parameters!$B$24)</f>
        <v/>
      </c>
    </row>
    <row r="881">
      <c r="A881" t="n">
        <v>87.90000000000001</v>
      </c>
      <c r="B881" t="n">
        <v>25</v>
      </c>
      <c r="C881">
        <f>ROUND(SQRT(E881),2)</f>
        <v/>
      </c>
      <c r="D881">
        <f>MIN(MIN(B881,Parameters!$B$2)^2, D880+Parameters!$B$24)</f>
        <v/>
      </c>
      <c r="E881">
        <f>MIN(D881, E882+Parameters!$B$24)</f>
        <v/>
      </c>
    </row>
    <row r="882">
      <c r="A882" t="n">
        <v>88</v>
      </c>
      <c r="B882" t="n">
        <v>25</v>
      </c>
      <c r="C882">
        <f>ROUND(SQRT(E882),2)</f>
        <v/>
      </c>
      <c r="D882">
        <f>MIN(MIN(B882,Parameters!$B$2)^2, D881+Parameters!$B$24)</f>
        <v/>
      </c>
      <c r="E882">
        <f>MIN(D882, E883+Parameters!$B$24)</f>
        <v/>
      </c>
    </row>
    <row r="883">
      <c r="A883" t="n">
        <v>88.09999999999999</v>
      </c>
      <c r="B883" t="n">
        <v>25</v>
      </c>
      <c r="C883">
        <f>ROUND(SQRT(E883),2)</f>
        <v/>
      </c>
      <c r="D883">
        <f>MIN(MIN(B883,Parameters!$B$2)^2, D882+Parameters!$B$24)</f>
        <v/>
      </c>
      <c r="E883">
        <f>MIN(D883, E884+Parameters!$B$24)</f>
        <v/>
      </c>
    </row>
    <row r="884">
      <c r="A884" t="n">
        <v>88.2</v>
      </c>
      <c r="B884" t="n">
        <v>25</v>
      </c>
      <c r="C884">
        <f>ROUND(SQRT(E884),2)</f>
        <v/>
      </c>
      <c r="D884">
        <f>MIN(MIN(B884,Parameters!$B$2)^2, D883+Parameters!$B$24)</f>
        <v/>
      </c>
      <c r="E884">
        <f>MIN(D884, E885+Parameters!$B$24)</f>
        <v/>
      </c>
    </row>
    <row r="885">
      <c r="A885" t="n">
        <v>88.3</v>
      </c>
      <c r="B885" t="n">
        <v>25</v>
      </c>
      <c r="C885">
        <f>ROUND(SQRT(E885),2)</f>
        <v/>
      </c>
      <c r="D885">
        <f>MIN(MIN(B885,Parameters!$B$2)^2, D884+Parameters!$B$24)</f>
        <v/>
      </c>
      <c r="E885">
        <f>MIN(D885, E886+Parameters!$B$24)</f>
        <v/>
      </c>
    </row>
    <row r="886">
      <c r="A886" t="n">
        <v>88.40000000000001</v>
      </c>
      <c r="B886" t="n">
        <v>25</v>
      </c>
      <c r="C886">
        <f>ROUND(SQRT(E886),2)</f>
        <v/>
      </c>
      <c r="D886">
        <f>MIN(MIN(B886,Parameters!$B$2)^2, D885+Parameters!$B$24)</f>
        <v/>
      </c>
      <c r="E886">
        <f>MIN(D886, E887+Parameters!$B$24)</f>
        <v/>
      </c>
    </row>
    <row r="887">
      <c r="A887" t="n">
        <v>88.5</v>
      </c>
      <c r="B887" t="n">
        <v>25</v>
      </c>
      <c r="C887">
        <f>ROUND(SQRT(E887),2)</f>
        <v/>
      </c>
      <c r="D887">
        <f>MIN(MIN(B887,Parameters!$B$2)^2, D886+Parameters!$B$24)</f>
        <v/>
      </c>
      <c r="E887">
        <f>MIN(D887, E888+Parameters!$B$24)</f>
        <v/>
      </c>
    </row>
    <row r="888">
      <c r="A888" t="n">
        <v>88.59999999999999</v>
      </c>
      <c r="B888" t="n">
        <v>25</v>
      </c>
      <c r="C888">
        <f>ROUND(SQRT(E888),2)</f>
        <v/>
      </c>
      <c r="D888">
        <f>MIN(MIN(B888,Parameters!$B$2)^2, D887+Parameters!$B$24)</f>
        <v/>
      </c>
      <c r="E888">
        <f>MIN(D888, E889+Parameters!$B$24)</f>
        <v/>
      </c>
    </row>
    <row r="889">
      <c r="A889" t="n">
        <v>88.7</v>
      </c>
      <c r="B889" t="n">
        <v>25</v>
      </c>
      <c r="C889">
        <f>ROUND(SQRT(E889),2)</f>
        <v/>
      </c>
      <c r="D889">
        <f>MIN(MIN(B889,Parameters!$B$2)^2, D888+Parameters!$B$24)</f>
        <v/>
      </c>
      <c r="E889">
        <f>MIN(D889, E890+Parameters!$B$24)</f>
        <v/>
      </c>
    </row>
    <row r="890">
      <c r="A890" t="n">
        <v>88.8</v>
      </c>
      <c r="B890" t="n">
        <v>25</v>
      </c>
      <c r="C890">
        <f>ROUND(SQRT(E890),2)</f>
        <v/>
      </c>
      <c r="D890">
        <f>MIN(MIN(B890,Parameters!$B$2)^2, D889+Parameters!$B$24)</f>
        <v/>
      </c>
      <c r="E890">
        <f>MIN(D890, E891+Parameters!$B$24)</f>
        <v/>
      </c>
    </row>
    <row r="891">
      <c r="A891" t="n">
        <v>88.90000000000001</v>
      </c>
      <c r="B891" t="n">
        <v>25</v>
      </c>
      <c r="C891">
        <f>ROUND(SQRT(E891),2)</f>
        <v/>
      </c>
      <c r="D891">
        <f>MIN(MIN(B891,Parameters!$B$2)^2, D890+Parameters!$B$24)</f>
        <v/>
      </c>
      <c r="E891">
        <f>MIN(D891, E892+Parameters!$B$24)</f>
        <v/>
      </c>
    </row>
    <row r="892">
      <c r="A892" t="n">
        <v>89</v>
      </c>
      <c r="B892" t="n">
        <v>25</v>
      </c>
      <c r="C892">
        <f>ROUND(SQRT(E892),2)</f>
        <v/>
      </c>
      <c r="D892">
        <f>MIN(MIN(B892,Parameters!$B$2)^2, D891+Parameters!$B$24)</f>
        <v/>
      </c>
      <c r="E892">
        <f>MIN(D892, E893+Parameters!$B$24)</f>
        <v/>
      </c>
    </row>
    <row r="893">
      <c r="A893" t="n">
        <v>89.09999999999999</v>
      </c>
      <c r="B893" t="n">
        <v>25</v>
      </c>
      <c r="C893">
        <f>ROUND(SQRT(E893),2)</f>
        <v/>
      </c>
      <c r="D893">
        <f>MIN(MIN(B893,Parameters!$B$2)^2, D892+Parameters!$B$24)</f>
        <v/>
      </c>
      <c r="E893">
        <f>MIN(D893, E894+Parameters!$B$24)</f>
        <v/>
      </c>
    </row>
    <row r="894">
      <c r="A894" t="n">
        <v>89.2</v>
      </c>
      <c r="B894" t="n">
        <v>25</v>
      </c>
      <c r="C894">
        <f>ROUND(SQRT(E894),2)</f>
        <v/>
      </c>
      <c r="D894">
        <f>MIN(MIN(B894,Parameters!$B$2)^2, D893+Parameters!$B$24)</f>
        <v/>
      </c>
      <c r="E894">
        <f>MIN(D894, E895+Parameters!$B$24)</f>
        <v/>
      </c>
    </row>
    <row r="895">
      <c r="A895" t="n">
        <v>89.3</v>
      </c>
      <c r="B895" t="n">
        <v>25</v>
      </c>
      <c r="C895">
        <f>ROUND(SQRT(E895),2)</f>
        <v/>
      </c>
      <c r="D895">
        <f>MIN(MIN(B895,Parameters!$B$2)^2, D894+Parameters!$B$24)</f>
        <v/>
      </c>
      <c r="E895">
        <f>MIN(D895, E896+Parameters!$B$24)</f>
        <v/>
      </c>
    </row>
    <row r="896">
      <c r="A896" t="n">
        <v>89.40000000000001</v>
      </c>
      <c r="B896" t="n">
        <v>25</v>
      </c>
      <c r="C896">
        <f>ROUND(SQRT(E896),2)</f>
        <v/>
      </c>
      <c r="D896">
        <f>MIN(MIN(B896,Parameters!$B$2)^2, D895+Parameters!$B$24)</f>
        <v/>
      </c>
      <c r="E896">
        <f>MIN(D896, E897+Parameters!$B$24)</f>
        <v/>
      </c>
    </row>
    <row r="897">
      <c r="A897" t="n">
        <v>89.5</v>
      </c>
      <c r="B897" t="n">
        <v>25</v>
      </c>
      <c r="C897">
        <f>ROUND(SQRT(E897),2)</f>
        <v/>
      </c>
      <c r="D897">
        <f>MIN(MIN(B897,Parameters!$B$2)^2, D896+Parameters!$B$24)</f>
        <v/>
      </c>
      <c r="E897">
        <f>MIN(D897, E898+Parameters!$B$24)</f>
        <v/>
      </c>
    </row>
    <row r="898">
      <c r="A898" t="n">
        <v>89.59999999999999</v>
      </c>
      <c r="B898" t="n">
        <v>25</v>
      </c>
      <c r="C898">
        <f>ROUND(SQRT(E898),2)</f>
        <v/>
      </c>
      <c r="D898">
        <f>MIN(MIN(B898,Parameters!$B$2)^2, D897+Parameters!$B$24)</f>
        <v/>
      </c>
      <c r="E898">
        <f>MIN(D898, E899+Parameters!$B$24)</f>
        <v/>
      </c>
    </row>
    <row r="899">
      <c r="A899" t="n">
        <v>89.7</v>
      </c>
      <c r="B899" t="n">
        <v>25</v>
      </c>
      <c r="C899">
        <f>ROUND(SQRT(E899),2)</f>
        <v/>
      </c>
      <c r="D899">
        <f>MIN(MIN(B899,Parameters!$B$2)^2, D898+Parameters!$B$24)</f>
        <v/>
      </c>
      <c r="E899">
        <f>MIN(D899, E900+Parameters!$B$24)</f>
        <v/>
      </c>
    </row>
    <row r="900">
      <c r="A900" t="n">
        <v>89.8</v>
      </c>
      <c r="B900" t="n">
        <v>25</v>
      </c>
      <c r="C900">
        <f>ROUND(SQRT(E900),2)</f>
        <v/>
      </c>
      <c r="D900">
        <f>MIN(MIN(B900,Parameters!$B$2)^2, D899+Parameters!$B$24)</f>
        <v/>
      </c>
      <c r="E900">
        <f>MIN(D900, E901+Parameters!$B$24)</f>
        <v/>
      </c>
    </row>
    <row r="901">
      <c r="A901" t="n">
        <v>89.90000000000001</v>
      </c>
      <c r="B901" t="n">
        <v>25</v>
      </c>
      <c r="C901">
        <f>ROUND(SQRT(E901),2)</f>
        <v/>
      </c>
      <c r="D901">
        <f>MIN(MIN(B901,Parameters!$B$2)^2, D900+Parameters!$B$24)</f>
        <v/>
      </c>
      <c r="E901">
        <f>MIN(D901, E902+Parameters!$B$24)</f>
        <v/>
      </c>
    </row>
    <row r="902">
      <c r="A902" t="n">
        <v>90</v>
      </c>
      <c r="B902" t="n">
        <v>25</v>
      </c>
      <c r="C902">
        <f>ROUND(SQRT(E902),2)</f>
        <v/>
      </c>
      <c r="D902">
        <f>MIN(MIN(B902,Parameters!$B$2)^2, D901+Parameters!$B$24)</f>
        <v/>
      </c>
      <c r="E902">
        <f>MIN(D902, E903+Parameters!$B$24)</f>
        <v/>
      </c>
    </row>
    <row r="903">
      <c r="A903" t="n">
        <v>90.09999999999999</v>
      </c>
      <c r="B903" t="n">
        <v>25</v>
      </c>
      <c r="C903">
        <f>ROUND(SQRT(E903),2)</f>
        <v/>
      </c>
      <c r="D903">
        <f>MIN(MIN(B903,Parameters!$B$2)^2, D902+Parameters!$B$24)</f>
        <v/>
      </c>
      <c r="E903">
        <f>MIN(D903, E904+Parameters!$B$24)</f>
        <v/>
      </c>
    </row>
    <row r="904">
      <c r="A904" t="n">
        <v>90.2</v>
      </c>
      <c r="B904" t="n">
        <v>25</v>
      </c>
      <c r="C904">
        <f>ROUND(SQRT(E904),2)</f>
        <v/>
      </c>
      <c r="D904">
        <f>MIN(MIN(B904,Parameters!$B$2)^2, D903+Parameters!$B$24)</f>
        <v/>
      </c>
      <c r="E904">
        <f>MIN(D904, E905+Parameters!$B$24)</f>
        <v/>
      </c>
    </row>
    <row r="905">
      <c r="A905" t="n">
        <v>90.3</v>
      </c>
      <c r="B905" t="n">
        <v>25</v>
      </c>
      <c r="C905">
        <f>ROUND(SQRT(E905),2)</f>
        <v/>
      </c>
      <c r="D905">
        <f>MIN(MIN(B905,Parameters!$B$2)^2, D904+Parameters!$B$24)</f>
        <v/>
      </c>
      <c r="E905">
        <f>MIN(D905, E906+Parameters!$B$24)</f>
        <v/>
      </c>
    </row>
    <row r="906">
      <c r="A906" t="n">
        <v>90.40000000000001</v>
      </c>
      <c r="B906" t="n">
        <v>25</v>
      </c>
      <c r="C906">
        <f>ROUND(SQRT(E906),2)</f>
        <v/>
      </c>
      <c r="D906">
        <f>MIN(MIN(B906,Parameters!$B$2)^2, D905+Parameters!$B$24)</f>
        <v/>
      </c>
      <c r="E906">
        <f>MIN(D906, E907+Parameters!$B$24)</f>
        <v/>
      </c>
    </row>
    <row r="907">
      <c r="A907" t="n">
        <v>90.5</v>
      </c>
      <c r="B907" t="n">
        <v>25</v>
      </c>
      <c r="C907">
        <f>ROUND(SQRT(E907),2)</f>
        <v/>
      </c>
      <c r="D907">
        <f>MIN(MIN(B907,Parameters!$B$2)^2, D906+Parameters!$B$24)</f>
        <v/>
      </c>
      <c r="E907">
        <f>MIN(D907, E908+Parameters!$B$24)</f>
        <v/>
      </c>
    </row>
    <row r="908">
      <c r="A908" t="n">
        <v>90.59999999999999</v>
      </c>
      <c r="B908" t="n">
        <v>25</v>
      </c>
      <c r="C908">
        <f>ROUND(SQRT(E908),2)</f>
        <v/>
      </c>
      <c r="D908">
        <f>MIN(MIN(B908,Parameters!$B$2)^2, D907+Parameters!$B$24)</f>
        <v/>
      </c>
      <c r="E908">
        <f>MIN(D908, E909+Parameters!$B$24)</f>
        <v/>
      </c>
    </row>
    <row r="909">
      <c r="A909" t="n">
        <v>90.7</v>
      </c>
      <c r="B909" t="n">
        <v>25</v>
      </c>
      <c r="C909">
        <f>ROUND(SQRT(E909),2)</f>
        <v/>
      </c>
      <c r="D909">
        <f>MIN(MIN(B909,Parameters!$B$2)^2, D908+Parameters!$B$24)</f>
        <v/>
      </c>
      <c r="E909">
        <f>MIN(D909, E910+Parameters!$B$24)</f>
        <v/>
      </c>
    </row>
    <row r="910">
      <c r="A910" t="n">
        <v>90.8</v>
      </c>
      <c r="B910" t="n">
        <v>25</v>
      </c>
      <c r="C910">
        <f>ROUND(SQRT(E910),2)</f>
        <v/>
      </c>
      <c r="D910">
        <f>MIN(MIN(B910,Parameters!$B$2)^2, D909+Parameters!$B$24)</f>
        <v/>
      </c>
      <c r="E910">
        <f>MIN(D910, E911+Parameters!$B$24)</f>
        <v/>
      </c>
    </row>
    <row r="911">
      <c r="A911" t="n">
        <v>90.90000000000001</v>
      </c>
      <c r="B911" t="n">
        <v>25</v>
      </c>
      <c r="C911">
        <f>ROUND(SQRT(E911),2)</f>
        <v/>
      </c>
      <c r="D911">
        <f>MIN(MIN(B911,Parameters!$B$2)^2, D910+Parameters!$B$24)</f>
        <v/>
      </c>
      <c r="E911">
        <f>MIN(D911, E912+Parameters!$B$24)</f>
        <v/>
      </c>
    </row>
    <row r="912">
      <c r="A912" t="n">
        <v>91</v>
      </c>
      <c r="B912" t="n">
        <v>25</v>
      </c>
      <c r="C912">
        <f>ROUND(SQRT(E912),2)</f>
        <v/>
      </c>
      <c r="D912">
        <f>MIN(MIN(B912,Parameters!$B$2)^2, D911+Parameters!$B$24)</f>
        <v/>
      </c>
      <c r="E912">
        <f>MIN(D912, E913+Parameters!$B$24)</f>
        <v/>
      </c>
    </row>
    <row r="913">
      <c r="A913" t="n">
        <v>91.09999999999999</v>
      </c>
      <c r="B913" t="n">
        <v>25</v>
      </c>
      <c r="C913">
        <f>ROUND(SQRT(E913),2)</f>
        <v/>
      </c>
      <c r="D913">
        <f>MIN(MIN(B913,Parameters!$B$2)^2, D912+Parameters!$B$24)</f>
        <v/>
      </c>
      <c r="E913">
        <f>MIN(D913, E914+Parameters!$B$24)</f>
        <v/>
      </c>
    </row>
    <row r="914">
      <c r="A914" t="n">
        <v>91.2</v>
      </c>
      <c r="B914" t="n">
        <v>25</v>
      </c>
      <c r="C914">
        <f>ROUND(SQRT(E914),2)</f>
        <v/>
      </c>
      <c r="D914">
        <f>MIN(MIN(B914,Parameters!$B$2)^2, D913+Parameters!$B$24)</f>
        <v/>
      </c>
      <c r="E914">
        <f>MIN(D914, E915+Parameters!$B$24)</f>
        <v/>
      </c>
    </row>
    <row r="915">
      <c r="A915" t="n">
        <v>91.3</v>
      </c>
      <c r="B915" t="n">
        <v>10</v>
      </c>
      <c r="C915">
        <f>ROUND(SQRT(E915),2)</f>
        <v/>
      </c>
      <c r="D915">
        <f>MIN(MIN(B915,Parameters!$B$2)^2, D914+Parameters!$B$24)</f>
        <v/>
      </c>
      <c r="E915">
        <f>MIN(D915, E916+Parameters!$B$24)</f>
        <v/>
      </c>
    </row>
    <row r="916">
      <c r="A916" t="n">
        <v>91.40000000000001</v>
      </c>
      <c r="B916" t="n">
        <v>10</v>
      </c>
      <c r="C916">
        <f>ROUND(SQRT(E916),2)</f>
        <v/>
      </c>
      <c r="D916">
        <f>MIN(MIN(B916,Parameters!$B$2)^2, D915+Parameters!$B$24)</f>
        <v/>
      </c>
      <c r="E916">
        <f>MIN(D916, E917+Parameters!$B$24)</f>
        <v/>
      </c>
    </row>
    <row r="917">
      <c r="A917" t="n">
        <v>91.5</v>
      </c>
      <c r="B917" t="n">
        <v>10</v>
      </c>
      <c r="C917">
        <f>ROUND(SQRT(E917),2)</f>
        <v/>
      </c>
      <c r="D917">
        <f>MIN(MIN(B917,Parameters!$B$2)^2, D916+Parameters!$B$24)</f>
        <v/>
      </c>
      <c r="E917">
        <f>MIN(D917, E918+Parameters!$B$24)</f>
        <v/>
      </c>
    </row>
    <row r="918">
      <c r="A918" t="n">
        <v>91.59999999999999</v>
      </c>
      <c r="B918" t="n">
        <v>10</v>
      </c>
      <c r="C918">
        <f>ROUND(SQRT(E918),2)</f>
        <v/>
      </c>
      <c r="D918">
        <f>MIN(MIN(B918,Parameters!$B$2)^2, D917+Parameters!$B$24)</f>
        <v/>
      </c>
      <c r="E918">
        <f>MIN(D918, E919+Parameters!$B$24)</f>
        <v/>
      </c>
    </row>
    <row r="919">
      <c r="A919" t="n">
        <v>91.7</v>
      </c>
      <c r="B919" t="n">
        <v>10</v>
      </c>
      <c r="C919">
        <f>ROUND(SQRT(E919),2)</f>
        <v/>
      </c>
      <c r="D919">
        <f>MIN(MIN(B919,Parameters!$B$2)^2, D918+Parameters!$B$24)</f>
        <v/>
      </c>
      <c r="E919">
        <f>MIN(D919, E920+Parameters!$B$24)</f>
        <v/>
      </c>
    </row>
    <row r="920">
      <c r="A920" t="n">
        <v>91.8</v>
      </c>
      <c r="B920" t="n">
        <v>10</v>
      </c>
      <c r="C920">
        <f>ROUND(SQRT(E920),2)</f>
        <v/>
      </c>
      <c r="D920">
        <f>MIN(MIN(B920,Parameters!$B$2)^2, D919+Parameters!$B$24)</f>
        <v/>
      </c>
      <c r="E920">
        <f>MIN(D920, E921+Parameters!$B$24)</f>
        <v/>
      </c>
    </row>
    <row r="921">
      <c r="A921" t="n">
        <v>91.90000000000001</v>
      </c>
      <c r="B921" t="n">
        <v>10</v>
      </c>
      <c r="C921">
        <f>ROUND(SQRT(E921),2)</f>
        <v/>
      </c>
      <c r="D921">
        <f>MIN(MIN(B921,Parameters!$B$2)^2, D920+Parameters!$B$24)</f>
        <v/>
      </c>
      <c r="E921">
        <f>MIN(D921, E922+Parameters!$B$24)</f>
        <v/>
      </c>
    </row>
    <row r="922">
      <c r="A922" t="n">
        <v>92</v>
      </c>
      <c r="B922" t="n">
        <v>10</v>
      </c>
      <c r="C922">
        <f>ROUND(SQRT(E922),2)</f>
        <v/>
      </c>
      <c r="D922">
        <f>MIN(MIN(B922,Parameters!$B$2)^2, D921+Parameters!$B$24)</f>
        <v/>
      </c>
      <c r="E922">
        <f>MIN(D922, E923+Parameters!$B$24)</f>
        <v/>
      </c>
    </row>
    <row r="923">
      <c r="A923" t="n">
        <v>92.09999999999999</v>
      </c>
      <c r="B923" t="n">
        <v>10</v>
      </c>
      <c r="C923">
        <f>ROUND(SQRT(E923),2)</f>
        <v/>
      </c>
      <c r="D923">
        <f>MIN(MIN(B923,Parameters!$B$2)^2, D922+Parameters!$B$24)</f>
        <v/>
      </c>
      <c r="E923">
        <f>MIN(D923, E924+Parameters!$B$24)</f>
        <v/>
      </c>
    </row>
    <row r="924">
      <c r="A924" t="n">
        <v>92.2</v>
      </c>
      <c r="B924" t="n">
        <v>10</v>
      </c>
      <c r="C924">
        <f>ROUND(SQRT(E924),2)</f>
        <v/>
      </c>
      <c r="D924">
        <f>MIN(MIN(B924,Parameters!$B$2)^2, D923+Parameters!$B$24)</f>
        <v/>
      </c>
      <c r="E924">
        <f>MIN(D924, E925+Parameters!$B$24)</f>
        <v/>
      </c>
    </row>
    <row r="925">
      <c r="A925" t="n">
        <v>92.3</v>
      </c>
      <c r="B925" t="n">
        <v>10</v>
      </c>
      <c r="C925">
        <f>ROUND(SQRT(E925),2)</f>
        <v/>
      </c>
      <c r="D925">
        <f>MIN(MIN(B925,Parameters!$B$2)^2, D924+Parameters!$B$24)</f>
        <v/>
      </c>
      <c r="E925">
        <f>MIN(D925, E926+Parameters!$B$24)</f>
        <v/>
      </c>
    </row>
    <row r="926">
      <c r="A926" t="n">
        <v>92.40000000000001</v>
      </c>
      <c r="B926" t="n">
        <v>10</v>
      </c>
      <c r="C926">
        <f>ROUND(SQRT(E926),2)</f>
        <v/>
      </c>
      <c r="D926">
        <f>MIN(MIN(B926,Parameters!$B$2)^2, D925+Parameters!$B$24)</f>
        <v/>
      </c>
      <c r="E926">
        <f>MIN(D926, E927+Parameters!$B$24)</f>
        <v/>
      </c>
    </row>
    <row r="927">
      <c r="A927" t="n">
        <v>92.5</v>
      </c>
      <c r="B927" t="n">
        <v>10</v>
      </c>
      <c r="C927">
        <f>ROUND(SQRT(E927),2)</f>
        <v/>
      </c>
      <c r="D927">
        <f>MIN(MIN(B927,Parameters!$B$2)^2, D926+Parameters!$B$24)</f>
        <v/>
      </c>
      <c r="E927">
        <f>MIN(D927, E928+Parameters!$B$24)</f>
        <v/>
      </c>
    </row>
    <row r="928">
      <c r="A928" t="n">
        <v>92.59999999999999</v>
      </c>
      <c r="B928" t="n">
        <v>10</v>
      </c>
      <c r="C928">
        <f>ROUND(SQRT(E928),2)</f>
        <v/>
      </c>
      <c r="D928">
        <f>MIN(MIN(B928,Parameters!$B$2)^2, D927+Parameters!$B$24)</f>
        <v/>
      </c>
      <c r="E928">
        <f>MIN(D928, E929+Parameters!$B$24)</f>
        <v/>
      </c>
    </row>
    <row r="929">
      <c r="A929" t="n">
        <v>92.7</v>
      </c>
      <c r="B929" t="n">
        <v>10</v>
      </c>
      <c r="C929">
        <f>ROUND(SQRT(E929),2)</f>
        <v/>
      </c>
      <c r="D929">
        <f>MIN(MIN(B929,Parameters!$B$2)^2, D928+Parameters!$B$24)</f>
        <v/>
      </c>
      <c r="E929">
        <f>MIN(D929, E930+Parameters!$B$24)</f>
        <v/>
      </c>
    </row>
    <row r="930">
      <c r="A930" t="n">
        <v>92.8</v>
      </c>
      <c r="B930" t="n">
        <v>10</v>
      </c>
      <c r="C930">
        <f>ROUND(SQRT(E930),2)</f>
        <v/>
      </c>
      <c r="D930">
        <f>MIN(MIN(B930,Parameters!$B$2)^2, D929+Parameters!$B$24)</f>
        <v/>
      </c>
      <c r="E930">
        <f>MIN(D930, E931+Parameters!$B$24)</f>
        <v/>
      </c>
    </row>
    <row r="931">
      <c r="A931" t="n">
        <v>92.90000000000001</v>
      </c>
      <c r="B931" t="n">
        <v>10</v>
      </c>
      <c r="C931">
        <f>ROUND(SQRT(E931),2)</f>
        <v/>
      </c>
      <c r="D931">
        <f>MIN(MIN(B931,Parameters!$B$2)^2, D930+Parameters!$B$24)</f>
        <v/>
      </c>
      <c r="E931">
        <f>MIN(D931, E932+Parameters!$B$24)</f>
        <v/>
      </c>
    </row>
    <row r="932">
      <c r="A932" t="n">
        <v>93</v>
      </c>
      <c r="B932" t="n">
        <v>10</v>
      </c>
      <c r="C932">
        <f>ROUND(SQRT(E932),2)</f>
        <v/>
      </c>
      <c r="D932">
        <f>MIN(MIN(B932,Parameters!$B$2)^2, D931+Parameters!$B$24)</f>
        <v/>
      </c>
      <c r="E932">
        <f>MIN(D932, E933+Parameters!$B$24)</f>
        <v/>
      </c>
    </row>
    <row r="933">
      <c r="A933" t="n">
        <v>93.09999999999999</v>
      </c>
      <c r="B933" t="n">
        <v>10</v>
      </c>
      <c r="C933">
        <f>ROUND(SQRT(E933),2)</f>
        <v/>
      </c>
      <c r="D933">
        <f>MIN(MIN(B933,Parameters!$B$2)^2, D932+Parameters!$B$24)</f>
        <v/>
      </c>
      <c r="E933">
        <f>MIN(D933, E934+Parameters!$B$24)</f>
        <v/>
      </c>
    </row>
    <row r="934">
      <c r="A934" t="n">
        <v>93.2</v>
      </c>
      <c r="B934" t="n">
        <v>10</v>
      </c>
      <c r="C934">
        <f>ROUND(SQRT(E934),2)</f>
        <v/>
      </c>
      <c r="D934">
        <f>MIN(MIN(B934,Parameters!$B$2)^2, D933+Parameters!$B$24)</f>
        <v/>
      </c>
      <c r="E934">
        <f>MIN(D934, E935+Parameters!$B$24)</f>
        <v/>
      </c>
    </row>
    <row r="935">
      <c r="A935" t="n">
        <v>93.3</v>
      </c>
      <c r="B935" t="n">
        <v>10</v>
      </c>
      <c r="C935">
        <f>ROUND(SQRT(E935),2)</f>
        <v/>
      </c>
      <c r="D935">
        <f>MIN(MIN(B935,Parameters!$B$2)^2, D934+Parameters!$B$24)</f>
        <v/>
      </c>
      <c r="E935">
        <f>MIN(D935, E936+Parameters!$B$24)</f>
        <v/>
      </c>
    </row>
    <row r="936">
      <c r="A936" t="n">
        <v>93.40000000000001</v>
      </c>
      <c r="B936" t="n">
        <v>10</v>
      </c>
      <c r="C936">
        <f>ROUND(SQRT(E936),2)</f>
        <v/>
      </c>
      <c r="D936">
        <f>MIN(MIN(B936,Parameters!$B$2)^2, D935+Parameters!$B$24)</f>
        <v/>
      </c>
      <c r="E936">
        <f>MIN(D936, E937+Parameters!$B$24)</f>
        <v/>
      </c>
    </row>
    <row r="937">
      <c r="A937" t="n">
        <v>93.5</v>
      </c>
      <c r="B937" t="n">
        <v>10</v>
      </c>
      <c r="C937">
        <f>ROUND(SQRT(E937),2)</f>
        <v/>
      </c>
      <c r="D937">
        <f>MIN(MIN(B937,Parameters!$B$2)^2, D936+Parameters!$B$24)</f>
        <v/>
      </c>
      <c r="E937">
        <f>MIN(D937, E938+Parameters!$B$24)</f>
        <v/>
      </c>
    </row>
    <row r="938">
      <c r="A938" t="n">
        <v>93.59999999999999</v>
      </c>
      <c r="B938" t="n">
        <v>10</v>
      </c>
      <c r="C938">
        <f>ROUND(SQRT(E938),2)</f>
        <v/>
      </c>
      <c r="D938">
        <f>MIN(MIN(B938,Parameters!$B$2)^2, D937+Parameters!$B$24)</f>
        <v/>
      </c>
      <c r="E938">
        <f>MIN(D938, E939+Parameters!$B$24)</f>
        <v/>
      </c>
    </row>
    <row r="939">
      <c r="A939" t="n">
        <v>93.7</v>
      </c>
      <c r="B939" t="n">
        <v>10</v>
      </c>
      <c r="C939">
        <f>ROUND(SQRT(E939),2)</f>
        <v/>
      </c>
      <c r="D939">
        <f>MIN(MIN(B939,Parameters!$B$2)^2, D938+Parameters!$B$24)</f>
        <v/>
      </c>
      <c r="E939">
        <f>MIN(D939, E940+Parameters!$B$24)</f>
        <v/>
      </c>
    </row>
    <row r="940">
      <c r="A940" t="n">
        <v>93.8</v>
      </c>
      <c r="B940" t="n">
        <v>10</v>
      </c>
      <c r="C940">
        <f>ROUND(SQRT(E940),2)</f>
        <v/>
      </c>
      <c r="D940">
        <f>MIN(MIN(B940,Parameters!$B$2)^2, D939+Parameters!$B$24)</f>
        <v/>
      </c>
      <c r="E940">
        <f>MIN(D940, E941+Parameters!$B$24)</f>
        <v/>
      </c>
    </row>
    <row r="941">
      <c r="A941" t="n">
        <v>93.90000000000001</v>
      </c>
      <c r="B941" t="n">
        <v>10</v>
      </c>
      <c r="C941">
        <f>ROUND(SQRT(E941),2)</f>
        <v/>
      </c>
      <c r="D941">
        <f>MIN(MIN(B941,Parameters!$B$2)^2, D940+Parameters!$B$24)</f>
        <v/>
      </c>
      <c r="E941">
        <f>MIN(D941, E942+Parameters!$B$24)</f>
        <v/>
      </c>
    </row>
    <row r="942">
      <c r="A942" t="n">
        <v>94</v>
      </c>
      <c r="B942" t="n">
        <v>10</v>
      </c>
      <c r="C942">
        <f>ROUND(SQRT(E942),2)</f>
        <v/>
      </c>
      <c r="D942">
        <f>MIN(MIN(B942,Parameters!$B$2)^2, D941+Parameters!$B$24)</f>
        <v/>
      </c>
      <c r="E942">
        <f>MIN(D942, E943+Parameters!$B$24)</f>
        <v/>
      </c>
    </row>
    <row r="943">
      <c r="A943" t="n">
        <v>94.09999999999999</v>
      </c>
      <c r="B943" t="n">
        <v>10</v>
      </c>
      <c r="C943">
        <f>ROUND(SQRT(E943),2)</f>
        <v/>
      </c>
      <c r="D943">
        <f>MIN(MIN(B943,Parameters!$B$2)^2, D942+Parameters!$B$24)</f>
        <v/>
      </c>
      <c r="E943">
        <f>MIN(D943, E944+Parameters!$B$24)</f>
        <v/>
      </c>
    </row>
    <row r="944">
      <c r="A944" t="n">
        <v>94.2</v>
      </c>
      <c r="B944" t="n">
        <v>10</v>
      </c>
      <c r="C944">
        <f>ROUND(SQRT(E944),2)</f>
        <v/>
      </c>
      <c r="D944">
        <f>MIN(MIN(B944,Parameters!$B$2)^2, D943+Parameters!$B$24)</f>
        <v/>
      </c>
      <c r="E944">
        <f>MIN(D944, E945+Parameters!$B$24)</f>
        <v/>
      </c>
    </row>
    <row r="945">
      <c r="A945" t="n">
        <v>94.3</v>
      </c>
      <c r="B945" t="n">
        <v>10</v>
      </c>
      <c r="C945">
        <f>ROUND(SQRT(E945),2)</f>
        <v/>
      </c>
      <c r="D945">
        <f>MIN(MIN(B945,Parameters!$B$2)^2, D944+Parameters!$B$24)</f>
        <v/>
      </c>
      <c r="E945">
        <f>MIN(D945, E946+Parameters!$B$24)</f>
        <v/>
      </c>
    </row>
    <row r="946">
      <c r="A946" t="n">
        <v>94.40000000000001</v>
      </c>
      <c r="B946" t="n">
        <v>10</v>
      </c>
      <c r="C946">
        <f>ROUND(SQRT(E946),2)</f>
        <v/>
      </c>
      <c r="D946">
        <f>MIN(MIN(B946,Parameters!$B$2)^2, D945+Parameters!$B$24)</f>
        <v/>
      </c>
      <c r="E946">
        <f>MIN(D946, E947+Parameters!$B$24)</f>
        <v/>
      </c>
    </row>
    <row r="947">
      <c r="A947" t="n">
        <v>94.5</v>
      </c>
      <c r="B947" t="n">
        <v>0</v>
      </c>
      <c r="C947">
        <f>ROUND(SQRT(E947),2)</f>
        <v/>
      </c>
      <c r="D947">
        <f>MIN(MIN(B947,Parameters!$B$2)^2, D946+Parameters!$B$24)</f>
        <v/>
      </c>
      <c r="E947">
        <f>MIN(D947, E948+Parameters!$B$24)</f>
        <v/>
      </c>
    </row>
    <row r="948">
      <c r="A948" t="n">
        <v>94.59999999999999</v>
      </c>
      <c r="B948" t="n">
        <v>25</v>
      </c>
      <c r="C948">
        <f>ROUND(SQRT(E948),2)</f>
        <v/>
      </c>
      <c r="D948">
        <f>MIN(MIN(B948,Parameters!$B$2)^2, D947+Parameters!$B$24)</f>
        <v/>
      </c>
      <c r="E948">
        <f>MIN(D948, E949+Parameters!$B$24)</f>
        <v/>
      </c>
    </row>
    <row r="949">
      <c r="A949" t="n">
        <v>94.7</v>
      </c>
      <c r="B949" t="n">
        <v>25</v>
      </c>
      <c r="C949">
        <f>ROUND(SQRT(E949),2)</f>
        <v/>
      </c>
      <c r="D949">
        <f>MIN(MIN(B949,Parameters!$B$2)^2, D948+Parameters!$B$24)</f>
        <v/>
      </c>
      <c r="E949">
        <f>MIN(D949, E950+Parameters!$B$24)</f>
        <v/>
      </c>
    </row>
    <row r="950">
      <c r="A950" t="n">
        <v>94.8</v>
      </c>
      <c r="B950" t="n">
        <v>25</v>
      </c>
      <c r="C950">
        <f>ROUND(SQRT(E950),2)</f>
        <v/>
      </c>
      <c r="D950">
        <f>MIN(MIN(B950,Parameters!$B$2)^2, D949+Parameters!$B$24)</f>
        <v/>
      </c>
      <c r="E950">
        <f>MIN(D950, E951+Parameters!$B$24)</f>
        <v/>
      </c>
    </row>
    <row r="951">
      <c r="A951" t="n">
        <v>94.90000000000001</v>
      </c>
      <c r="B951" t="n">
        <v>25</v>
      </c>
      <c r="C951">
        <f>ROUND(SQRT(E951),2)</f>
        <v/>
      </c>
      <c r="D951">
        <f>MIN(MIN(B951,Parameters!$B$2)^2, D950+Parameters!$B$24)</f>
        <v/>
      </c>
      <c r="E951">
        <f>MIN(D951, E952+Parameters!$B$24)</f>
        <v/>
      </c>
    </row>
    <row r="952">
      <c r="A952" t="n">
        <v>95</v>
      </c>
      <c r="B952" t="n">
        <v>25</v>
      </c>
      <c r="C952">
        <f>ROUND(SQRT(E952),2)</f>
        <v/>
      </c>
      <c r="D952">
        <f>MIN(MIN(B952,Parameters!$B$2)^2, D951+Parameters!$B$24)</f>
        <v/>
      </c>
      <c r="E952">
        <f>MIN(D952, E953+Parameters!$B$24)</f>
        <v/>
      </c>
    </row>
    <row r="953">
      <c r="A953" t="n">
        <v>95.09999999999999</v>
      </c>
      <c r="B953" t="n">
        <v>25</v>
      </c>
      <c r="C953">
        <f>ROUND(SQRT(E953),2)</f>
        <v/>
      </c>
      <c r="D953">
        <f>MIN(MIN(B953,Parameters!$B$2)^2, D952+Parameters!$B$24)</f>
        <v/>
      </c>
      <c r="E953">
        <f>MIN(D953, E954+Parameters!$B$24)</f>
        <v/>
      </c>
    </row>
    <row r="954">
      <c r="A954" t="n">
        <v>95.2</v>
      </c>
      <c r="B954" t="n">
        <v>25</v>
      </c>
      <c r="C954">
        <f>ROUND(SQRT(E954),2)</f>
        <v/>
      </c>
      <c r="D954">
        <f>MIN(MIN(B954,Parameters!$B$2)^2, D953+Parameters!$B$24)</f>
        <v/>
      </c>
      <c r="E954">
        <f>MIN(D954, E955+Parameters!$B$24)</f>
        <v/>
      </c>
    </row>
    <row r="955">
      <c r="A955" t="n">
        <v>95.3</v>
      </c>
      <c r="B955" t="n">
        <v>25</v>
      </c>
      <c r="C955">
        <f>ROUND(SQRT(E955),2)</f>
        <v/>
      </c>
      <c r="D955">
        <f>MIN(MIN(B955,Parameters!$B$2)^2, D954+Parameters!$B$24)</f>
        <v/>
      </c>
      <c r="E955">
        <f>MIN(D955, E956+Parameters!$B$24)</f>
        <v/>
      </c>
    </row>
    <row r="956">
      <c r="A956" t="n">
        <v>95.40000000000001</v>
      </c>
      <c r="B956" t="n">
        <v>25</v>
      </c>
      <c r="C956">
        <f>ROUND(SQRT(E956),2)</f>
        <v/>
      </c>
      <c r="D956">
        <f>MIN(MIN(B956,Parameters!$B$2)^2, D955+Parameters!$B$24)</f>
        <v/>
      </c>
      <c r="E956">
        <f>MIN(D956, E957+Parameters!$B$24)</f>
        <v/>
      </c>
    </row>
    <row r="957">
      <c r="A957" t="n">
        <v>95.5</v>
      </c>
      <c r="B957" t="n">
        <v>25</v>
      </c>
      <c r="C957">
        <f>ROUND(SQRT(E957),2)</f>
        <v/>
      </c>
      <c r="D957">
        <f>MIN(MIN(B957,Parameters!$B$2)^2, D956+Parameters!$B$24)</f>
        <v/>
      </c>
      <c r="E957">
        <f>MIN(D957, E958+Parameters!$B$24)</f>
        <v/>
      </c>
    </row>
    <row r="958">
      <c r="A958" t="n">
        <v>95.59999999999999</v>
      </c>
      <c r="B958" t="n">
        <v>25</v>
      </c>
      <c r="C958">
        <f>ROUND(SQRT(E958),2)</f>
        <v/>
      </c>
      <c r="D958">
        <f>MIN(MIN(B958,Parameters!$B$2)^2, D957+Parameters!$B$24)</f>
        <v/>
      </c>
      <c r="E958">
        <f>MIN(D958, E959+Parameters!$B$24)</f>
        <v/>
      </c>
    </row>
    <row r="959">
      <c r="A959" t="n">
        <v>95.7</v>
      </c>
      <c r="B959" t="n">
        <v>25</v>
      </c>
      <c r="C959">
        <f>ROUND(SQRT(E959),2)</f>
        <v/>
      </c>
      <c r="D959">
        <f>MIN(MIN(B959,Parameters!$B$2)^2, D958+Parameters!$B$24)</f>
        <v/>
      </c>
      <c r="E959">
        <f>MIN(D959, E960+Parameters!$B$24)</f>
        <v/>
      </c>
    </row>
    <row r="960">
      <c r="A960" t="n">
        <v>95.8</v>
      </c>
      <c r="B960" t="n">
        <v>25</v>
      </c>
      <c r="C960">
        <f>ROUND(SQRT(E960),2)</f>
        <v/>
      </c>
      <c r="D960">
        <f>MIN(MIN(B960,Parameters!$B$2)^2, D959+Parameters!$B$24)</f>
        <v/>
      </c>
      <c r="E960">
        <f>MIN(D960, E961+Parameters!$B$24)</f>
        <v/>
      </c>
    </row>
    <row r="961">
      <c r="A961" t="n">
        <v>95.90000000000001</v>
      </c>
      <c r="B961" t="n">
        <v>25</v>
      </c>
      <c r="C961">
        <f>ROUND(SQRT(E961),2)</f>
        <v/>
      </c>
      <c r="D961">
        <f>MIN(MIN(B961,Parameters!$B$2)^2, D960+Parameters!$B$24)</f>
        <v/>
      </c>
      <c r="E961">
        <f>MIN(D961, E962+Parameters!$B$24)</f>
        <v/>
      </c>
    </row>
    <row r="962">
      <c r="A962" t="n">
        <v>96</v>
      </c>
      <c r="B962" t="n">
        <v>25</v>
      </c>
      <c r="C962">
        <f>ROUND(SQRT(E962),2)</f>
        <v/>
      </c>
      <c r="D962">
        <f>MIN(MIN(B962,Parameters!$B$2)^2, D961+Parameters!$B$24)</f>
        <v/>
      </c>
      <c r="E962">
        <f>MIN(D962, E963+Parameters!$B$24)</f>
        <v/>
      </c>
    </row>
    <row r="963">
      <c r="A963" t="n">
        <v>96.09999999999999</v>
      </c>
      <c r="B963" t="n">
        <v>25</v>
      </c>
      <c r="C963">
        <f>ROUND(SQRT(E963),2)</f>
        <v/>
      </c>
      <c r="D963">
        <f>MIN(MIN(B963,Parameters!$B$2)^2, D962+Parameters!$B$24)</f>
        <v/>
      </c>
      <c r="E963">
        <f>MIN(D963, E964+Parameters!$B$24)</f>
        <v/>
      </c>
    </row>
    <row r="964">
      <c r="A964" t="n">
        <v>96.2</v>
      </c>
      <c r="B964" t="n">
        <v>25</v>
      </c>
      <c r="C964">
        <f>ROUND(SQRT(E964),2)</f>
        <v/>
      </c>
      <c r="D964">
        <f>MIN(MIN(B964,Parameters!$B$2)^2, D963+Parameters!$B$24)</f>
        <v/>
      </c>
      <c r="E964">
        <f>MIN(D964, E965+Parameters!$B$24)</f>
        <v/>
      </c>
    </row>
    <row r="965">
      <c r="A965" t="n">
        <v>96.3</v>
      </c>
      <c r="B965" t="n">
        <v>25</v>
      </c>
      <c r="C965">
        <f>ROUND(SQRT(E965),2)</f>
        <v/>
      </c>
      <c r="D965">
        <f>MIN(MIN(B965,Parameters!$B$2)^2, D964+Parameters!$B$24)</f>
        <v/>
      </c>
      <c r="E965">
        <f>MIN(D965, E966+Parameters!$B$24)</f>
        <v/>
      </c>
    </row>
    <row r="966">
      <c r="A966" t="n">
        <v>96.40000000000001</v>
      </c>
      <c r="B966" t="n">
        <v>25</v>
      </c>
      <c r="C966">
        <f>ROUND(SQRT(E966),2)</f>
        <v/>
      </c>
      <c r="D966">
        <f>MIN(MIN(B966,Parameters!$B$2)^2, D965+Parameters!$B$24)</f>
        <v/>
      </c>
      <c r="E966">
        <f>MIN(D966, E967+Parameters!$B$24)</f>
        <v/>
      </c>
    </row>
    <row r="967">
      <c r="A967" t="n">
        <v>96.5</v>
      </c>
      <c r="B967" t="n">
        <v>25</v>
      </c>
      <c r="C967">
        <f>ROUND(SQRT(E967),2)</f>
        <v/>
      </c>
      <c r="D967">
        <f>MIN(MIN(B967,Parameters!$B$2)^2, D966+Parameters!$B$24)</f>
        <v/>
      </c>
      <c r="E967">
        <f>MIN(D967, E968+Parameters!$B$24)</f>
        <v/>
      </c>
    </row>
    <row r="968">
      <c r="A968" t="n">
        <v>96.59999999999999</v>
      </c>
      <c r="B968" t="n">
        <v>25</v>
      </c>
      <c r="C968">
        <f>ROUND(SQRT(E968),2)</f>
        <v/>
      </c>
      <c r="D968">
        <f>MIN(MIN(B968,Parameters!$B$2)^2, D967+Parameters!$B$24)</f>
        <v/>
      </c>
      <c r="E968">
        <f>MIN(D968, E969+Parameters!$B$24)</f>
        <v/>
      </c>
    </row>
    <row r="969">
      <c r="A969" t="n">
        <v>96.7</v>
      </c>
      <c r="B969" t="n">
        <v>25</v>
      </c>
      <c r="C969">
        <f>ROUND(SQRT(E969),2)</f>
        <v/>
      </c>
      <c r="D969">
        <f>MIN(MIN(B969,Parameters!$B$2)^2, D968+Parameters!$B$24)</f>
        <v/>
      </c>
      <c r="E969">
        <f>MIN(D969, E970+Parameters!$B$24)</f>
        <v/>
      </c>
    </row>
    <row r="970">
      <c r="A970" t="n">
        <v>96.8</v>
      </c>
      <c r="B970" t="n">
        <v>25</v>
      </c>
      <c r="C970">
        <f>ROUND(SQRT(E970),2)</f>
        <v/>
      </c>
      <c r="D970">
        <f>MIN(MIN(B970,Parameters!$B$2)^2, D969+Parameters!$B$24)</f>
        <v/>
      </c>
      <c r="E970">
        <f>MIN(D970, E971+Parameters!$B$24)</f>
        <v/>
      </c>
    </row>
    <row r="971">
      <c r="A971" t="n">
        <v>96.90000000000001</v>
      </c>
      <c r="B971" t="n">
        <v>25</v>
      </c>
      <c r="C971">
        <f>ROUND(SQRT(E971),2)</f>
        <v/>
      </c>
      <c r="D971">
        <f>MIN(MIN(B971,Parameters!$B$2)^2, D970+Parameters!$B$24)</f>
        <v/>
      </c>
      <c r="E971">
        <f>MIN(D971, E972+Parameters!$B$24)</f>
        <v/>
      </c>
    </row>
    <row r="972">
      <c r="A972" t="n">
        <v>97</v>
      </c>
      <c r="B972" t="n">
        <v>25</v>
      </c>
      <c r="C972">
        <f>ROUND(SQRT(E972),2)</f>
        <v/>
      </c>
      <c r="D972">
        <f>MIN(MIN(B972,Parameters!$B$2)^2, D971+Parameters!$B$24)</f>
        <v/>
      </c>
      <c r="E972">
        <f>MIN(D972, E973+Parameters!$B$24)</f>
        <v/>
      </c>
    </row>
    <row r="973">
      <c r="A973" t="n">
        <v>97.09999999999999</v>
      </c>
      <c r="B973" t="n">
        <v>25</v>
      </c>
      <c r="C973">
        <f>ROUND(SQRT(E973),2)</f>
        <v/>
      </c>
      <c r="D973">
        <f>MIN(MIN(B973,Parameters!$B$2)^2, D972+Parameters!$B$24)</f>
        <v/>
      </c>
      <c r="E973">
        <f>MIN(D973, E974+Parameters!$B$24)</f>
        <v/>
      </c>
    </row>
    <row r="974">
      <c r="A974" t="n">
        <v>97.2</v>
      </c>
      <c r="B974" t="n">
        <v>25</v>
      </c>
      <c r="C974">
        <f>ROUND(SQRT(E974),2)</f>
        <v/>
      </c>
      <c r="D974">
        <f>MIN(MIN(B974,Parameters!$B$2)^2, D973+Parameters!$B$24)</f>
        <v/>
      </c>
      <c r="E974">
        <f>MIN(D974, E975+Parameters!$B$24)</f>
        <v/>
      </c>
    </row>
    <row r="975">
      <c r="A975" t="n">
        <v>97.3</v>
      </c>
      <c r="B975" t="n">
        <v>25</v>
      </c>
      <c r="C975">
        <f>ROUND(SQRT(E975),2)</f>
        <v/>
      </c>
      <c r="D975">
        <f>MIN(MIN(B975,Parameters!$B$2)^2, D974+Parameters!$B$24)</f>
        <v/>
      </c>
      <c r="E975">
        <f>MIN(D975, E976+Parameters!$B$24)</f>
        <v/>
      </c>
    </row>
    <row r="976">
      <c r="A976" t="n">
        <v>97.40000000000001</v>
      </c>
      <c r="B976" t="n">
        <v>25</v>
      </c>
      <c r="C976">
        <f>ROUND(SQRT(E976),2)</f>
        <v/>
      </c>
      <c r="D976">
        <f>MIN(MIN(B976,Parameters!$B$2)^2, D975+Parameters!$B$24)</f>
        <v/>
      </c>
      <c r="E976">
        <f>MIN(D976, E977+Parameters!$B$24)</f>
        <v/>
      </c>
    </row>
    <row r="977">
      <c r="A977" t="n">
        <v>97.5</v>
      </c>
      <c r="B977" t="n">
        <v>25</v>
      </c>
      <c r="C977">
        <f>ROUND(SQRT(E977),2)</f>
        <v/>
      </c>
      <c r="D977">
        <f>MIN(MIN(B977,Parameters!$B$2)^2, D976+Parameters!$B$24)</f>
        <v/>
      </c>
      <c r="E977">
        <f>MIN(D977, E978+Parameters!$B$24)</f>
        <v/>
      </c>
    </row>
    <row r="978">
      <c r="A978" t="n">
        <v>97.59999999999999</v>
      </c>
      <c r="B978" t="n">
        <v>25</v>
      </c>
      <c r="C978">
        <f>ROUND(SQRT(E978),2)</f>
        <v/>
      </c>
      <c r="D978">
        <f>MIN(MIN(B978,Parameters!$B$2)^2, D977+Parameters!$B$24)</f>
        <v/>
      </c>
      <c r="E978">
        <f>MIN(D978, E979+Parameters!$B$24)</f>
        <v/>
      </c>
    </row>
    <row r="979">
      <c r="A979" t="n">
        <v>97.7</v>
      </c>
      <c r="B979" t="n">
        <v>25</v>
      </c>
      <c r="C979">
        <f>ROUND(SQRT(E979),2)</f>
        <v/>
      </c>
      <c r="D979">
        <f>MIN(MIN(B979,Parameters!$B$2)^2, D978+Parameters!$B$24)</f>
        <v/>
      </c>
      <c r="E979">
        <f>MIN(D979, E980+Parameters!$B$24)</f>
        <v/>
      </c>
    </row>
    <row r="980">
      <c r="A980" t="n">
        <v>97.8</v>
      </c>
      <c r="B980" t="n">
        <v>25</v>
      </c>
      <c r="C980">
        <f>ROUND(SQRT(E980),2)</f>
        <v/>
      </c>
      <c r="D980">
        <f>MIN(MIN(B980,Parameters!$B$2)^2, D979+Parameters!$B$24)</f>
        <v/>
      </c>
      <c r="E980">
        <f>MIN(D980, E981+Parameters!$B$24)</f>
        <v/>
      </c>
    </row>
    <row r="981">
      <c r="A981" t="n">
        <v>97.90000000000001</v>
      </c>
      <c r="B981" t="n">
        <v>25</v>
      </c>
      <c r="C981">
        <f>ROUND(SQRT(E981),2)</f>
        <v/>
      </c>
      <c r="D981">
        <f>MIN(MIN(B981,Parameters!$B$2)^2, D980+Parameters!$B$24)</f>
        <v/>
      </c>
      <c r="E981">
        <f>MIN(D981, E982+Parameters!$B$24)</f>
        <v/>
      </c>
    </row>
    <row r="982">
      <c r="A982" t="n">
        <v>98</v>
      </c>
      <c r="B982" t="n">
        <v>25</v>
      </c>
      <c r="C982">
        <f>ROUND(SQRT(E982),2)</f>
        <v/>
      </c>
      <c r="D982">
        <f>MIN(MIN(B982,Parameters!$B$2)^2, D981+Parameters!$B$24)</f>
        <v/>
      </c>
      <c r="E982">
        <f>MIN(D982, E983+Parameters!$B$24)</f>
        <v/>
      </c>
    </row>
    <row r="983">
      <c r="A983" t="n">
        <v>98.09999999999999</v>
      </c>
      <c r="B983" t="n">
        <v>25</v>
      </c>
      <c r="C983">
        <f>ROUND(SQRT(E983),2)</f>
        <v/>
      </c>
      <c r="D983">
        <f>MIN(MIN(B983,Parameters!$B$2)^2, D982+Parameters!$B$24)</f>
        <v/>
      </c>
      <c r="E983">
        <f>MIN(D983, E984+Parameters!$B$24)</f>
        <v/>
      </c>
    </row>
    <row r="984">
      <c r="A984" t="n">
        <v>98.2</v>
      </c>
      <c r="B984" t="n">
        <v>25</v>
      </c>
      <c r="C984">
        <f>ROUND(SQRT(E984),2)</f>
        <v/>
      </c>
      <c r="D984">
        <f>MIN(MIN(B984,Parameters!$B$2)^2, D983+Parameters!$B$24)</f>
        <v/>
      </c>
      <c r="E984">
        <f>MIN(D984, E985+Parameters!$B$24)</f>
        <v/>
      </c>
    </row>
    <row r="985">
      <c r="A985" t="n">
        <v>98.3</v>
      </c>
      <c r="B985" t="n">
        <v>25</v>
      </c>
      <c r="C985">
        <f>ROUND(SQRT(E985),2)</f>
        <v/>
      </c>
      <c r="D985">
        <f>MIN(MIN(B985,Parameters!$B$2)^2, D984+Parameters!$B$24)</f>
        <v/>
      </c>
      <c r="E985">
        <f>MIN(D985, E986+Parameters!$B$24)</f>
        <v/>
      </c>
    </row>
    <row r="986">
      <c r="A986" t="n">
        <v>98.40000000000001</v>
      </c>
      <c r="B986" t="n">
        <v>25</v>
      </c>
      <c r="C986">
        <f>ROUND(SQRT(E986),2)</f>
        <v/>
      </c>
      <c r="D986">
        <f>MIN(MIN(B986,Parameters!$B$2)^2, D985+Parameters!$B$24)</f>
        <v/>
      </c>
      <c r="E986">
        <f>MIN(D986, E987+Parameters!$B$24)</f>
        <v/>
      </c>
    </row>
    <row r="987">
      <c r="A987" t="n">
        <v>98.5</v>
      </c>
      <c r="B987" t="n">
        <v>25</v>
      </c>
      <c r="C987">
        <f>ROUND(SQRT(E987),2)</f>
        <v/>
      </c>
      <c r="D987">
        <f>MIN(MIN(B987,Parameters!$B$2)^2, D986+Parameters!$B$24)</f>
        <v/>
      </c>
      <c r="E987">
        <f>MIN(D987, E988+Parameters!$B$24)</f>
        <v/>
      </c>
    </row>
    <row r="988">
      <c r="A988" t="n">
        <v>98.59999999999999</v>
      </c>
      <c r="B988" t="n">
        <v>25</v>
      </c>
      <c r="C988">
        <f>ROUND(SQRT(E988),2)</f>
        <v/>
      </c>
      <c r="D988">
        <f>MIN(MIN(B988,Parameters!$B$2)^2, D987+Parameters!$B$24)</f>
        <v/>
      </c>
      <c r="E988">
        <f>MIN(D988, E989+Parameters!$B$24)</f>
        <v/>
      </c>
    </row>
    <row r="989">
      <c r="A989" t="n">
        <v>98.7</v>
      </c>
      <c r="B989" t="n">
        <v>25</v>
      </c>
      <c r="C989">
        <f>ROUND(SQRT(E989),2)</f>
        <v/>
      </c>
      <c r="D989">
        <f>MIN(MIN(B989,Parameters!$B$2)^2, D988+Parameters!$B$24)</f>
        <v/>
      </c>
      <c r="E989">
        <f>MIN(D989, E990+Parameters!$B$24)</f>
        <v/>
      </c>
    </row>
    <row r="990">
      <c r="A990" t="n">
        <v>98.8</v>
      </c>
      <c r="B990" t="n">
        <v>25</v>
      </c>
      <c r="C990">
        <f>ROUND(SQRT(E990),2)</f>
        <v/>
      </c>
      <c r="D990">
        <f>MIN(MIN(B990,Parameters!$B$2)^2, D989+Parameters!$B$24)</f>
        <v/>
      </c>
      <c r="E990">
        <f>MIN(D990, E991+Parameters!$B$24)</f>
        <v/>
      </c>
    </row>
    <row r="991">
      <c r="A991" t="n">
        <v>98.90000000000001</v>
      </c>
      <c r="B991" t="n">
        <v>25</v>
      </c>
      <c r="C991">
        <f>ROUND(SQRT(E991),2)</f>
        <v/>
      </c>
      <c r="D991">
        <f>MIN(MIN(B991,Parameters!$B$2)^2, D990+Parameters!$B$24)</f>
        <v/>
      </c>
      <c r="E991">
        <f>MIN(D991, E992+Parameters!$B$24)</f>
        <v/>
      </c>
    </row>
    <row r="992">
      <c r="A992" t="n">
        <v>99</v>
      </c>
      <c r="B992" t="n">
        <v>25</v>
      </c>
      <c r="C992">
        <f>ROUND(SQRT(E992),2)</f>
        <v/>
      </c>
      <c r="D992">
        <f>MIN(MIN(B992,Parameters!$B$2)^2, D991+Parameters!$B$24)</f>
        <v/>
      </c>
      <c r="E992">
        <f>MIN(D992, E993+Parameters!$B$24)</f>
        <v/>
      </c>
    </row>
    <row r="993">
      <c r="A993" t="n">
        <v>99.09999999999999</v>
      </c>
      <c r="B993" t="n">
        <v>25</v>
      </c>
      <c r="C993">
        <f>ROUND(SQRT(E993),2)</f>
        <v/>
      </c>
      <c r="D993">
        <f>MIN(MIN(B993,Parameters!$B$2)^2, D992+Parameters!$B$24)</f>
        <v/>
      </c>
      <c r="E993">
        <f>MIN(D993, E994+Parameters!$B$24)</f>
        <v/>
      </c>
    </row>
    <row r="994">
      <c r="A994" t="n">
        <v>99.2</v>
      </c>
      <c r="B994" t="n">
        <v>25</v>
      </c>
      <c r="C994">
        <f>ROUND(SQRT(E994),2)</f>
        <v/>
      </c>
      <c r="D994">
        <f>MIN(MIN(B994,Parameters!$B$2)^2, D993+Parameters!$B$24)</f>
        <v/>
      </c>
      <c r="E994">
        <f>MIN(D994, E995+Parameters!$B$24)</f>
        <v/>
      </c>
    </row>
    <row r="995">
      <c r="A995" t="n">
        <v>99.3</v>
      </c>
      <c r="B995" t="n">
        <v>25</v>
      </c>
      <c r="C995">
        <f>ROUND(SQRT(E995),2)</f>
        <v/>
      </c>
      <c r="D995">
        <f>MIN(MIN(B995,Parameters!$B$2)^2, D994+Parameters!$B$24)</f>
        <v/>
      </c>
      <c r="E995">
        <f>MIN(D995, E996+Parameters!$B$24)</f>
        <v/>
      </c>
    </row>
    <row r="996">
      <c r="A996" t="n">
        <v>99.40000000000001</v>
      </c>
      <c r="B996" t="n">
        <v>25</v>
      </c>
      <c r="C996">
        <f>ROUND(SQRT(E996),2)</f>
        <v/>
      </c>
      <c r="D996">
        <f>MIN(MIN(B996,Parameters!$B$2)^2, D995+Parameters!$B$24)</f>
        <v/>
      </c>
      <c r="E996">
        <f>MIN(D996, E997+Parameters!$B$24)</f>
        <v/>
      </c>
    </row>
    <row r="997">
      <c r="A997" t="n">
        <v>99.5</v>
      </c>
      <c r="B997" t="n">
        <v>25</v>
      </c>
      <c r="C997">
        <f>ROUND(SQRT(E997),2)</f>
        <v/>
      </c>
      <c r="D997">
        <f>MIN(MIN(B997,Parameters!$B$2)^2, D996+Parameters!$B$24)</f>
        <v/>
      </c>
      <c r="E997">
        <f>MIN(D997, E998+Parameters!$B$24)</f>
        <v/>
      </c>
    </row>
    <row r="998">
      <c r="A998" t="n">
        <v>99.59999999999999</v>
      </c>
      <c r="B998" t="n">
        <v>25</v>
      </c>
      <c r="C998">
        <f>ROUND(SQRT(E998),2)</f>
        <v/>
      </c>
      <c r="D998">
        <f>MIN(MIN(B998,Parameters!$B$2)^2, D997+Parameters!$B$24)</f>
        <v/>
      </c>
      <c r="E998">
        <f>MIN(D998, E999+Parameters!$B$24)</f>
        <v/>
      </c>
    </row>
    <row r="999">
      <c r="A999" t="n">
        <v>99.7</v>
      </c>
      <c r="B999" t="n">
        <v>25</v>
      </c>
      <c r="C999">
        <f>ROUND(SQRT(E999),2)</f>
        <v/>
      </c>
      <c r="D999">
        <f>MIN(MIN(B999,Parameters!$B$2)^2, D998+Parameters!$B$24)</f>
        <v/>
      </c>
      <c r="E999">
        <f>MIN(D999, E1000+Parameters!$B$24)</f>
        <v/>
      </c>
    </row>
    <row r="1000">
      <c r="A1000" t="n">
        <v>99.8</v>
      </c>
      <c r="B1000" t="n">
        <v>25</v>
      </c>
      <c r="C1000">
        <f>ROUND(SQRT(E1000),2)</f>
        <v/>
      </c>
      <c r="D1000">
        <f>MIN(MIN(B1000,Parameters!$B$2)^2, D999+Parameters!$B$24)</f>
        <v/>
      </c>
      <c r="E1000">
        <f>MIN(D1000, E1001+Parameters!$B$24)</f>
        <v/>
      </c>
    </row>
    <row r="1001">
      <c r="A1001" t="n">
        <v>99.90000000000001</v>
      </c>
      <c r="B1001" t="n">
        <v>25</v>
      </c>
      <c r="C1001">
        <f>ROUND(SQRT(E1001),2)</f>
        <v/>
      </c>
      <c r="D1001">
        <f>MIN(MIN(B1001,Parameters!$B$2)^2, D1000+Parameters!$B$24)</f>
        <v/>
      </c>
      <c r="E1001">
        <f>MIN(D1001, E1002+Parameters!$B$24)</f>
        <v/>
      </c>
    </row>
    <row r="1002">
      <c r="A1002" t="n">
        <v>100</v>
      </c>
      <c r="B1002" t="n">
        <v>25</v>
      </c>
      <c r="C1002">
        <f>ROUND(SQRT(E1002),2)</f>
        <v/>
      </c>
      <c r="D1002">
        <f>MIN(MIN(B1002,Parameters!$B$2)^2, D1001+Parameters!$B$24)</f>
        <v/>
      </c>
      <c r="E1002">
        <f>MIN(D1002, E1003+Parameters!$B$24)</f>
        <v/>
      </c>
    </row>
    <row r="1003">
      <c r="A1003" t="n">
        <v>100.1</v>
      </c>
      <c r="B1003" t="n">
        <v>25</v>
      </c>
      <c r="C1003">
        <f>ROUND(SQRT(E1003),2)</f>
        <v/>
      </c>
      <c r="D1003">
        <f>MIN(MIN(B1003,Parameters!$B$2)^2, D1002+Parameters!$B$24)</f>
        <v/>
      </c>
      <c r="E1003">
        <f>MIN(D1003, E1004+Parameters!$B$24)</f>
        <v/>
      </c>
    </row>
    <row r="1004">
      <c r="A1004" t="n">
        <v>100.2</v>
      </c>
      <c r="B1004" t="n">
        <v>25</v>
      </c>
      <c r="C1004">
        <f>ROUND(SQRT(E1004),2)</f>
        <v/>
      </c>
      <c r="D1004">
        <f>MIN(MIN(B1004,Parameters!$B$2)^2, D1003+Parameters!$B$24)</f>
        <v/>
      </c>
      <c r="E1004">
        <f>MIN(D1004, E1005+Parameters!$B$24)</f>
        <v/>
      </c>
    </row>
    <row r="1005">
      <c r="A1005" t="n">
        <v>100.3</v>
      </c>
      <c r="B1005" t="n">
        <v>25</v>
      </c>
      <c r="C1005">
        <f>ROUND(SQRT(E1005),2)</f>
        <v/>
      </c>
      <c r="D1005">
        <f>MIN(MIN(B1005,Parameters!$B$2)^2, D1004+Parameters!$B$24)</f>
        <v/>
      </c>
      <c r="E1005">
        <f>MIN(D1005, E1006+Parameters!$B$24)</f>
        <v/>
      </c>
    </row>
    <row r="1006">
      <c r="A1006" t="n">
        <v>100.4</v>
      </c>
      <c r="B1006" t="n">
        <v>25</v>
      </c>
      <c r="C1006">
        <f>ROUND(SQRT(E1006),2)</f>
        <v/>
      </c>
      <c r="D1006">
        <f>MIN(MIN(B1006,Parameters!$B$2)^2, D1005+Parameters!$B$24)</f>
        <v/>
      </c>
      <c r="E1006">
        <f>MIN(D1006, E1007+Parameters!$B$24)</f>
        <v/>
      </c>
    </row>
    <row r="1007">
      <c r="A1007" t="n">
        <v>100.5</v>
      </c>
      <c r="B1007" t="n">
        <v>25</v>
      </c>
      <c r="C1007">
        <f>ROUND(SQRT(E1007),2)</f>
        <v/>
      </c>
      <c r="D1007">
        <f>MIN(MIN(B1007,Parameters!$B$2)^2, D1006+Parameters!$B$24)</f>
        <v/>
      </c>
      <c r="E1007">
        <f>MIN(D1007, E1008+Parameters!$B$24)</f>
        <v/>
      </c>
    </row>
    <row r="1008">
      <c r="A1008" t="n">
        <v>100.6</v>
      </c>
      <c r="B1008" t="n">
        <v>25</v>
      </c>
      <c r="C1008">
        <f>ROUND(SQRT(E1008),2)</f>
        <v/>
      </c>
      <c r="D1008">
        <f>MIN(MIN(B1008,Parameters!$B$2)^2, D1007+Parameters!$B$24)</f>
        <v/>
      </c>
      <c r="E1008">
        <f>MIN(D1008, E1009+Parameters!$B$24)</f>
        <v/>
      </c>
    </row>
    <row r="1009">
      <c r="A1009" t="n">
        <v>100.7</v>
      </c>
      <c r="B1009" t="n">
        <v>25</v>
      </c>
      <c r="C1009">
        <f>ROUND(SQRT(E1009),2)</f>
        <v/>
      </c>
      <c r="D1009">
        <f>MIN(MIN(B1009,Parameters!$B$2)^2, D1008+Parameters!$B$24)</f>
        <v/>
      </c>
      <c r="E1009">
        <f>MIN(D1009, E1010+Parameters!$B$24)</f>
        <v/>
      </c>
    </row>
    <row r="1010">
      <c r="A1010" t="n">
        <v>100.8</v>
      </c>
      <c r="B1010" t="n">
        <v>25</v>
      </c>
      <c r="C1010">
        <f>ROUND(SQRT(E1010),2)</f>
        <v/>
      </c>
      <c r="D1010">
        <f>MIN(MIN(B1010,Parameters!$B$2)^2, D1009+Parameters!$B$24)</f>
        <v/>
      </c>
      <c r="E1010">
        <f>MIN(D1010, E1011+Parameters!$B$24)</f>
        <v/>
      </c>
    </row>
    <row r="1011">
      <c r="A1011" t="n">
        <v>100.9</v>
      </c>
      <c r="B1011" t="n">
        <v>25</v>
      </c>
      <c r="C1011">
        <f>ROUND(SQRT(E1011),2)</f>
        <v/>
      </c>
      <c r="D1011">
        <f>MIN(MIN(B1011,Parameters!$B$2)^2, D1010+Parameters!$B$24)</f>
        <v/>
      </c>
      <c r="E1011">
        <f>MIN(D1011, E1012+Parameters!$B$24)</f>
        <v/>
      </c>
    </row>
    <row r="1012">
      <c r="A1012" t="n">
        <v>101</v>
      </c>
      <c r="B1012" t="n">
        <v>25</v>
      </c>
      <c r="C1012">
        <f>ROUND(SQRT(E1012),2)</f>
        <v/>
      </c>
      <c r="D1012">
        <f>MIN(MIN(B1012,Parameters!$B$2)^2, D1011+Parameters!$B$24)</f>
        <v/>
      </c>
      <c r="E1012">
        <f>MIN(D1012, E1013+Parameters!$B$24)</f>
        <v/>
      </c>
    </row>
    <row r="1013">
      <c r="A1013" t="n">
        <v>101.1</v>
      </c>
      <c r="B1013" t="n">
        <v>25</v>
      </c>
      <c r="C1013">
        <f>ROUND(SQRT(E1013),2)</f>
        <v/>
      </c>
      <c r="D1013">
        <f>MIN(MIN(B1013,Parameters!$B$2)^2, D1012+Parameters!$B$24)</f>
        <v/>
      </c>
      <c r="E1013">
        <f>MIN(D1013, E1014+Parameters!$B$24)</f>
        <v/>
      </c>
    </row>
    <row r="1014">
      <c r="A1014" t="n">
        <v>101.2</v>
      </c>
      <c r="B1014" t="n">
        <v>25</v>
      </c>
      <c r="C1014">
        <f>ROUND(SQRT(E1014),2)</f>
        <v/>
      </c>
      <c r="D1014">
        <f>MIN(MIN(B1014,Parameters!$B$2)^2, D1013+Parameters!$B$24)</f>
        <v/>
      </c>
      <c r="E1014">
        <f>MIN(D1014, E1015+Parameters!$B$24)</f>
        <v/>
      </c>
    </row>
    <row r="1015">
      <c r="A1015" t="n">
        <v>101.3</v>
      </c>
      <c r="B1015" t="n">
        <v>25</v>
      </c>
      <c r="C1015">
        <f>ROUND(SQRT(E1015),2)</f>
        <v/>
      </c>
      <c r="D1015">
        <f>MIN(MIN(B1015,Parameters!$B$2)^2, D1014+Parameters!$B$24)</f>
        <v/>
      </c>
      <c r="E1015">
        <f>MIN(D1015, E1016+Parameters!$B$24)</f>
        <v/>
      </c>
    </row>
    <row r="1016">
      <c r="A1016" t="n">
        <v>101.4</v>
      </c>
      <c r="B1016" t="n">
        <v>25</v>
      </c>
      <c r="C1016">
        <f>ROUND(SQRT(E1016),2)</f>
        <v/>
      </c>
      <c r="D1016">
        <f>MIN(MIN(B1016,Parameters!$B$2)^2, D1015+Parameters!$B$24)</f>
        <v/>
      </c>
      <c r="E1016">
        <f>MIN(D1016, E1017+Parameters!$B$24)</f>
        <v/>
      </c>
    </row>
    <row r="1017">
      <c r="A1017" t="n">
        <v>101.5</v>
      </c>
      <c r="B1017" t="n">
        <v>25</v>
      </c>
      <c r="C1017">
        <f>ROUND(SQRT(E1017),2)</f>
        <v/>
      </c>
      <c r="D1017">
        <f>MIN(MIN(B1017,Parameters!$B$2)^2, D1016+Parameters!$B$24)</f>
        <v/>
      </c>
      <c r="E1017">
        <f>MIN(D1017, E1018+Parameters!$B$24)</f>
        <v/>
      </c>
    </row>
    <row r="1018">
      <c r="A1018" t="n">
        <v>101.6</v>
      </c>
      <c r="B1018" t="n">
        <v>25</v>
      </c>
      <c r="C1018">
        <f>ROUND(SQRT(E1018),2)</f>
        <v/>
      </c>
      <c r="D1018">
        <f>MIN(MIN(B1018,Parameters!$B$2)^2, D1017+Parameters!$B$24)</f>
        <v/>
      </c>
      <c r="E1018">
        <f>MIN(D1018, E1019+Parameters!$B$24)</f>
        <v/>
      </c>
    </row>
    <row r="1019">
      <c r="A1019" t="n">
        <v>101.7</v>
      </c>
      <c r="B1019" t="n">
        <v>25</v>
      </c>
      <c r="C1019">
        <f>ROUND(SQRT(E1019),2)</f>
        <v/>
      </c>
      <c r="D1019">
        <f>MIN(MIN(B1019,Parameters!$B$2)^2, D1018+Parameters!$B$24)</f>
        <v/>
      </c>
      <c r="E1019">
        <f>MIN(D1019, E1020+Parameters!$B$24)</f>
        <v/>
      </c>
    </row>
    <row r="1020">
      <c r="A1020" t="n">
        <v>101.8</v>
      </c>
      <c r="B1020" t="n">
        <v>25</v>
      </c>
      <c r="C1020">
        <f>ROUND(SQRT(E1020),2)</f>
        <v/>
      </c>
      <c r="D1020">
        <f>MIN(MIN(B1020,Parameters!$B$2)^2, D1019+Parameters!$B$24)</f>
        <v/>
      </c>
      <c r="E1020">
        <f>MIN(D1020, E1021+Parameters!$B$24)</f>
        <v/>
      </c>
    </row>
    <row r="1021">
      <c r="A1021" t="n">
        <v>101.9</v>
      </c>
      <c r="B1021" t="n">
        <v>25</v>
      </c>
      <c r="C1021">
        <f>ROUND(SQRT(E1021),2)</f>
        <v/>
      </c>
      <c r="D1021">
        <f>MIN(MIN(B1021,Parameters!$B$2)^2, D1020+Parameters!$B$24)</f>
        <v/>
      </c>
      <c r="E1021">
        <f>MIN(D1021, E1022+Parameters!$B$24)</f>
        <v/>
      </c>
    </row>
    <row r="1022">
      <c r="A1022" t="n">
        <v>102</v>
      </c>
      <c r="B1022" t="n">
        <v>25</v>
      </c>
      <c r="C1022">
        <f>ROUND(SQRT(E1022),2)</f>
        <v/>
      </c>
      <c r="D1022">
        <f>MIN(MIN(B1022,Parameters!$B$2)^2, D1021+Parameters!$B$24)</f>
        <v/>
      </c>
      <c r="E1022">
        <f>MIN(D1022, E1023+Parameters!$B$24)</f>
        <v/>
      </c>
    </row>
    <row r="1023">
      <c r="A1023" t="n">
        <v>102.1</v>
      </c>
      <c r="B1023" t="n">
        <v>25</v>
      </c>
      <c r="C1023">
        <f>ROUND(SQRT(E1023),2)</f>
        <v/>
      </c>
      <c r="D1023">
        <f>MIN(MIN(B1023,Parameters!$B$2)^2, D1022+Parameters!$B$24)</f>
        <v/>
      </c>
      <c r="E1023">
        <f>MIN(D1023, E1024+Parameters!$B$24)</f>
        <v/>
      </c>
    </row>
    <row r="1024">
      <c r="A1024" t="n">
        <v>102.2</v>
      </c>
      <c r="B1024" t="n">
        <v>25</v>
      </c>
      <c r="C1024">
        <f>ROUND(SQRT(E1024),2)</f>
        <v/>
      </c>
      <c r="D1024">
        <f>MIN(MIN(B1024,Parameters!$B$2)^2, D1023+Parameters!$B$24)</f>
        <v/>
      </c>
      <c r="E1024">
        <f>MIN(D1024, E1025+Parameters!$B$24)</f>
        <v/>
      </c>
    </row>
    <row r="1025">
      <c r="A1025" t="n">
        <v>102.3</v>
      </c>
      <c r="B1025" t="n">
        <v>25</v>
      </c>
      <c r="C1025">
        <f>ROUND(SQRT(E1025),2)</f>
        <v/>
      </c>
      <c r="D1025">
        <f>MIN(MIN(B1025,Parameters!$B$2)^2, D1024+Parameters!$B$24)</f>
        <v/>
      </c>
      <c r="E1025">
        <f>MIN(D1025, E1026+Parameters!$B$24)</f>
        <v/>
      </c>
    </row>
    <row r="1026">
      <c r="A1026" t="n">
        <v>102.4</v>
      </c>
      <c r="B1026" t="n">
        <v>25</v>
      </c>
      <c r="C1026">
        <f>ROUND(SQRT(E1026),2)</f>
        <v/>
      </c>
      <c r="D1026">
        <f>MIN(MIN(B1026,Parameters!$B$2)^2, D1025+Parameters!$B$24)</f>
        <v/>
      </c>
      <c r="E1026">
        <f>MIN(D1026, E1027+Parameters!$B$24)</f>
        <v/>
      </c>
    </row>
    <row r="1027">
      <c r="A1027" t="n">
        <v>102.5</v>
      </c>
      <c r="B1027" t="n">
        <v>25</v>
      </c>
      <c r="C1027">
        <f>ROUND(SQRT(E1027),2)</f>
        <v/>
      </c>
      <c r="D1027">
        <f>MIN(MIN(B1027,Parameters!$B$2)^2, D1026+Parameters!$B$24)</f>
        <v/>
      </c>
      <c r="E1027">
        <f>MIN(D1027, E1028+Parameters!$B$24)</f>
        <v/>
      </c>
    </row>
    <row r="1028">
      <c r="A1028" t="n">
        <v>102.6</v>
      </c>
      <c r="B1028" t="n">
        <v>25</v>
      </c>
      <c r="C1028">
        <f>ROUND(SQRT(E1028),2)</f>
        <v/>
      </c>
      <c r="D1028">
        <f>MIN(MIN(B1028,Parameters!$B$2)^2, D1027+Parameters!$B$24)</f>
        <v/>
      </c>
      <c r="E1028">
        <f>MIN(D1028, E1029+Parameters!$B$24)</f>
        <v/>
      </c>
    </row>
    <row r="1029">
      <c r="A1029" t="n">
        <v>102.7</v>
      </c>
      <c r="B1029" t="n">
        <v>25</v>
      </c>
      <c r="C1029">
        <f>ROUND(SQRT(E1029),2)</f>
        <v/>
      </c>
      <c r="D1029">
        <f>MIN(MIN(B1029,Parameters!$B$2)^2, D1028+Parameters!$B$24)</f>
        <v/>
      </c>
      <c r="E1029">
        <f>MIN(D1029, E1030+Parameters!$B$24)</f>
        <v/>
      </c>
    </row>
    <row r="1030">
      <c r="A1030" t="n">
        <v>102.8</v>
      </c>
      <c r="B1030" t="n">
        <v>25</v>
      </c>
      <c r="C1030">
        <f>ROUND(SQRT(E1030),2)</f>
        <v/>
      </c>
      <c r="D1030">
        <f>MIN(MIN(B1030,Parameters!$B$2)^2, D1029+Parameters!$B$24)</f>
        <v/>
      </c>
      <c r="E1030">
        <f>MIN(D1030, E1031+Parameters!$B$24)</f>
        <v/>
      </c>
    </row>
    <row r="1031">
      <c r="A1031" t="n">
        <v>102.9</v>
      </c>
      <c r="B1031" t="n">
        <v>25</v>
      </c>
      <c r="C1031">
        <f>ROUND(SQRT(E1031),2)</f>
        <v/>
      </c>
      <c r="D1031">
        <f>MIN(MIN(B1031,Parameters!$B$2)^2, D1030+Parameters!$B$24)</f>
        <v/>
      </c>
      <c r="E1031">
        <f>MIN(D1031, E1032+Parameters!$B$24)</f>
        <v/>
      </c>
    </row>
    <row r="1032">
      <c r="A1032" t="n">
        <v>103</v>
      </c>
      <c r="B1032" t="n">
        <v>25</v>
      </c>
      <c r="C1032">
        <f>ROUND(SQRT(E1032),2)</f>
        <v/>
      </c>
      <c r="D1032">
        <f>MIN(MIN(B1032,Parameters!$B$2)^2, D1031+Parameters!$B$24)</f>
        <v/>
      </c>
      <c r="E1032">
        <f>MIN(D1032, E1033+Parameters!$B$24)</f>
        <v/>
      </c>
    </row>
    <row r="1033">
      <c r="A1033" t="n">
        <v>103.1</v>
      </c>
      <c r="B1033" t="n">
        <v>25</v>
      </c>
      <c r="C1033">
        <f>ROUND(SQRT(E1033),2)</f>
        <v/>
      </c>
      <c r="D1033">
        <f>MIN(MIN(B1033,Parameters!$B$2)^2, D1032+Parameters!$B$24)</f>
        <v/>
      </c>
      <c r="E1033">
        <f>MIN(D1033, E1034+Parameters!$B$24)</f>
        <v/>
      </c>
    </row>
    <row r="1034">
      <c r="A1034" t="n">
        <v>103.2</v>
      </c>
      <c r="B1034" t="n">
        <v>25</v>
      </c>
      <c r="C1034">
        <f>ROUND(SQRT(E1034),2)</f>
        <v/>
      </c>
      <c r="D1034">
        <f>MIN(MIN(B1034,Parameters!$B$2)^2, D1033+Parameters!$B$24)</f>
        <v/>
      </c>
      <c r="E1034">
        <f>MIN(D1034, E1035+Parameters!$B$24)</f>
        <v/>
      </c>
    </row>
    <row r="1035">
      <c r="A1035" t="n">
        <v>103.3</v>
      </c>
      <c r="B1035" t="n">
        <v>25</v>
      </c>
      <c r="C1035">
        <f>ROUND(SQRT(E1035),2)</f>
        <v/>
      </c>
      <c r="D1035">
        <f>MIN(MIN(B1035,Parameters!$B$2)^2, D1034+Parameters!$B$24)</f>
        <v/>
      </c>
      <c r="E1035">
        <f>MIN(D1035, E1036+Parameters!$B$24)</f>
        <v/>
      </c>
    </row>
    <row r="1036">
      <c r="A1036" t="n">
        <v>103.4</v>
      </c>
      <c r="B1036" t="n">
        <v>25</v>
      </c>
      <c r="C1036">
        <f>ROUND(SQRT(E1036),2)</f>
        <v/>
      </c>
      <c r="D1036">
        <f>MIN(MIN(B1036,Parameters!$B$2)^2, D1035+Parameters!$B$24)</f>
        <v/>
      </c>
      <c r="E1036">
        <f>MIN(D1036, E1037+Parameters!$B$24)</f>
        <v/>
      </c>
    </row>
    <row r="1037">
      <c r="A1037" t="n">
        <v>103.5</v>
      </c>
      <c r="B1037" t="n">
        <v>25</v>
      </c>
      <c r="C1037">
        <f>ROUND(SQRT(E1037),2)</f>
        <v/>
      </c>
      <c r="D1037">
        <f>MIN(MIN(B1037,Parameters!$B$2)^2, D1036+Parameters!$B$24)</f>
        <v/>
      </c>
      <c r="E1037">
        <f>MIN(D1037, E1038+Parameters!$B$24)</f>
        <v/>
      </c>
    </row>
    <row r="1038">
      <c r="A1038" t="n">
        <v>103.6</v>
      </c>
      <c r="B1038" t="n">
        <v>25</v>
      </c>
      <c r="C1038">
        <f>ROUND(SQRT(E1038),2)</f>
        <v/>
      </c>
      <c r="D1038">
        <f>MIN(MIN(B1038,Parameters!$B$2)^2, D1037+Parameters!$B$24)</f>
        <v/>
      </c>
      <c r="E1038">
        <f>MIN(D1038, E1039+Parameters!$B$24)</f>
        <v/>
      </c>
    </row>
    <row r="1039">
      <c r="A1039" t="n">
        <v>103.7</v>
      </c>
      <c r="B1039" t="n">
        <v>25</v>
      </c>
      <c r="C1039">
        <f>ROUND(SQRT(E1039),2)</f>
        <v/>
      </c>
      <c r="D1039">
        <f>MIN(MIN(B1039,Parameters!$B$2)^2, D1038+Parameters!$B$24)</f>
        <v/>
      </c>
      <c r="E1039">
        <f>MIN(D1039, E1040+Parameters!$B$24)</f>
        <v/>
      </c>
    </row>
    <row r="1040">
      <c r="A1040" t="n">
        <v>103.8</v>
      </c>
      <c r="B1040" t="n">
        <v>25</v>
      </c>
      <c r="C1040">
        <f>ROUND(SQRT(E1040),2)</f>
        <v/>
      </c>
      <c r="D1040">
        <f>MIN(MIN(B1040,Parameters!$B$2)^2, D1039+Parameters!$B$24)</f>
        <v/>
      </c>
      <c r="E1040">
        <f>MIN(D1040, E1041+Parameters!$B$24)</f>
        <v/>
      </c>
    </row>
    <row r="1041">
      <c r="A1041" t="n">
        <v>103.9</v>
      </c>
      <c r="B1041" t="n">
        <v>25</v>
      </c>
      <c r="C1041">
        <f>ROUND(SQRT(E1041),2)</f>
        <v/>
      </c>
      <c r="D1041">
        <f>MIN(MIN(B1041,Parameters!$B$2)^2, D1040+Parameters!$B$24)</f>
        <v/>
      </c>
      <c r="E1041">
        <f>MIN(D1041, E1042+Parameters!$B$24)</f>
        <v/>
      </c>
    </row>
    <row r="1042">
      <c r="A1042" t="n">
        <v>104</v>
      </c>
      <c r="B1042" t="n">
        <v>25</v>
      </c>
      <c r="C1042">
        <f>ROUND(SQRT(E1042),2)</f>
        <v/>
      </c>
      <c r="D1042">
        <f>MIN(MIN(B1042,Parameters!$B$2)^2, D1041+Parameters!$B$24)</f>
        <v/>
      </c>
      <c r="E1042">
        <f>MIN(D1042, E1043+Parameters!$B$24)</f>
        <v/>
      </c>
    </row>
    <row r="1043">
      <c r="A1043" t="n">
        <v>104.1</v>
      </c>
      <c r="B1043" t="n">
        <v>25</v>
      </c>
      <c r="C1043">
        <f>ROUND(SQRT(E1043),2)</f>
        <v/>
      </c>
      <c r="D1043">
        <f>MIN(MIN(B1043,Parameters!$B$2)^2, D1042+Parameters!$B$24)</f>
        <v/>
      </c>
      <c r="E1043">
        <f>MIN(D1043, E1044+Parameters!$B$24)</f>
        <v/>
      </c>
    </row>
    <row r="1044">
      <c r="A1044" t="n">
        <v>104.2</v>
      </c>
      <c r="B1044" t="n">
        <v>25</v>
      </c>
      <c r="C1044">
        <f>ROUND(SQRT(E1044),2)</f>
        <v/>
      </c>
      <c r="D1044">
        <f>MIN(MIN(B1044,Parameters!$B$2)^2, D1043+Parameters!$B$24)</f>
        <v/>
      </c>
      <c r="E1044">
        <f>MIN(D1044, E1045+Parameters!$B$24)</f>
        <v/>
      </c>
    </row>
    <row r="1045">
      <c r="A1045" t="n">
        <v>104.3</v>
      </c>
      <c r="B1045" t="n">
        <v>25</v>
      </c>
      <c r="C1045">
        <f>ROUND(SQRT(E1045),2)</f>
        <v/>
      </c>
      <c r="D1045">
        <f>MIN(MIN(B1045,Parameters!$B$2)^2, D1044+Parameters!$B$24)</f>
        <v/>
      </c>
      <c r="E1045">
        <f>MIN(D1045, E1046+Parameters!$B$24)</f>
        <v/>
      </c>
    </row>
    <row r="1046">
      <c r="A1046" t="n">
        <v>104.4</v>
      </c>
      <c r="B1046" t="n">
        <v>25</v>
      </c>
      <c r="C1046">
        <f>ROUND(SQRT(E1046),2)</f>
        <v/>
      </c>
      <c r="D1046">
        <f>MIN(MIN(B1046,Parameters!$B$2)^2, D1045+Parameters!$B$24)</f>
        <v/>
      </c>
      <c r="E1046">
        <f>MIN(D1046, E1047+Parameters!$B$24)</f>
        <v/>
      </c>
    </row>
    <row r="1047">
      <c r="A1047" t="n">
        <v>104.5</v>
      </c>
      <c r="B1047" t="n">
        <v>25</v>
      </c>
      <c r="C1047">
        <f>ROUND(SQRT(E1047),2)</f>
        <v/>
      </c>
      <c r="D1047">
        <f>MIN(MIN(B1047,Parameters!$B$2)^2, D1046+Parameters!$B$24)</f>
        <v/>
      </c>
      <c r="E1047">
        <f>MIN(D1047, E1048+Parameters!$B$24)</f>
        <v/>
      </c>
    </row>
    <row r="1048">
      <c r="A1048" t="n">
        <v>104.6</v>
      </c>
      <c r="B1048" t="n">
        <v>25</v>
      </c>
      <c r="C1048">
        <f>ROUND(SQRT(E1048),2)</f>
        <v/>
      </c>
      <c r="D1048">
        <f>MIN(MIN(B1048,Parameters!$B$2)^2, D1047+Parameters!$B$24)</f>
        <v/>
      </c>
      <c r="E1048">
        <f>MIN(D1048, E1049+Parameters!$B$24)</f>
        <v/>
      </c>
    </row>
    <row r="1049">
      <c r="A1049" t="n">
        <v>104.7</v>
      </c>
      <c r="B1049" t="n">
        <v>25</v>
      </c>
      <c r="C1049">
        <f>ROUND(SQRT(E1049),2)</f>
        <v/>
      </c>
      <c r="D1049">
        <f>MIN(MIN(B1049,Parameters!$B$2)^2, D1048+Parameters!$B$24)</f>
        <v/>
      </c>
      <c r="E1049">
        <f>MIN(D1049, E1050+Parameters!$B$24)</f>
        <v/>
      </c>
    </row>
    <row r="1050">
      <c r="A1050" t="n">
        <v>104.8</v>
      </c>
      <c r="B1050" t="n">
        <v>25</v>
      </c>
      <c r="C1050">
        <f>ROUND(SQRT(E1050),2)</f>
        <v/>
      </c>
      <c r="D1050">
        <f>MIN(MIN(B1050,Parameters!$B$2)^2, D1049+Parameters!$B$24)</f>
        <v/>
      </c>
      <c r="E1050">
        <f>MIN(D1050, E1051+Parameters!$B$24)</f>
        <v/>
      </c>
    </row>
    <row r="1051">
      <c r="A1051" t="n">
        <v>104.9</v>
      </c>
      <c r="B1051" t="n">
        <v>25</v>
      </c>
      <c r="C1051">
        <f>ROUND(SQRT(E1051),2)</f>
        <v/>
      </c>
      <c r="D1051">
        <f>MIN(MIN(B1051,Parameters!$B$2)^2, D1050+Parameters!$B$24)</f>
        <v/>
      </c>
      <c r="E1051">
        <f>MIN(D1051, E1052+Parameters!$B$24)</f>
        <v/>
      </c>
    </row>
    <row r="1052">
      <c r="A1052" t="n">
        <v>105</v>
      </c>
      <c r="B1052" t="n">
        <v>25</v>
      </c>
      <c r="C1052">
        <f>ROUND(SQRT(E1052),2)</f>
        <v/>
      </c>
      <c r="D1052">
        <f>MIN(MIN(B1052,Parameters!$B$2)^2, D1051+Parameters!$B$24)</f>
        <v/>
      </c>
      <c r="E1052">
        <f>MIN(D1052, E1053+Parameters!$B$24)</f>
        <v/>
      </c>
    </row>
    <row r="1053">
      <c r="A1053" t="n">
        <v>105.1</v>
      </c>
      <c r="B1053" t="n">
        <v>25</v>
      </c>
      <c r="C1053">
        <f>ROUND(SQRT(E1053),2)</f>
        <v/>
      </c>
      <c r="D1053">
        <f>MIN(MIN(B1053,Parameters!$B$2)^2, D1052+Parameters!$B$24)</f>
        <v/>
      </c>
      <c r="E1053">
        <f>MIN(D1053, E1054+Parameters!$B$24)</f>
        <v/>
      </c>
    </row>
    <row r="1054">
      <c r="A1054" t="n">
        <v>105.2</v>
      </c>
      <c r="B1054" t="n">
        <v>25</v>
      </c>
      <c r="C1054">
        <f>ROUND(SQRT(E1054),2)</f>
        <v/>
      </c>
      <c r="D1054">
        <f>MIN(MIN(B1054,Parameters!$B$2)^2, D1053+Parameters!$B$24)</f>
        <v/>
      </c>
      <c r="E1054">
        <f>MIN(D1054, E1055+Parameters!$B$24)</f>
        <v/>
      </c>
    </row>
    <row r="1055">
      <c r="A1055" t="n">
        <v>105.3</v>
      </c>
      <c r="B1055" t="n">
        <v>25</v>
      </c>
      <c r="C1055">
        <f>ROUND(SQRT(E1055),2)</f>
        <v/>
      </c>
      <c r="D1055">
        <f>MIN(MIN(B1055,Parameters!$B$2)^2, D1054+Parameters!$B$24)</f>
        <v/>
      </c>
      <c r="E1055">
        <f>MIN(D1055, E1056+Parameters!$B$24)</f>
        <v/>
      </c>
    </row>
    <row r="1056">
      <c r="A1056" t="n">
        <v>105.4</v>
      </c>
      <c r="B1056" t="n">
        <v>25</v>
      </c>
      <c r="C1056">
        <f>ROUND(SQRT(E1056),2)</f>
        <v/>
      </c>
      <c r="D1056">
        <f>MIN(MIN(B1056,Parameters!$B$2)^2, D1055+Parameters!$B$24)</f>
        <v/>
      </c>
      <c r="E1056">
        <f>MIN(D1056, E1057+Parameters!$B$24)</f>
        <v/>
      </c>
    </row>
    <row r="1057">
      <c r="A1057" t="n">
        <v>105.5</v>
      </c>
      <c r="B1057" t="n">
        <v>25</v>
      </c>
      <c r="C1057">
        <f>ROUND(SQRT(E1057),2)</f>
        <v/>
      </c>
      <c r="D1057">
        <f>MIN(MIN(B1057,Parameters!$B$2)^2, D1056+Parameters!$B$24)</f>
        <v/>
      </c>
      <c r="E1057">
        <f>MIN(D1057, E1058+Parameters!$B$24)</f>
        <v/>
      </c>
    </row>
    <row r="1058">
      <c r="A1058" t="n">
        <v>105.6</v>
      </c>
      <c r="B1058" t="n">
        <v>25</v>
      </c>
      <c r="C1058">
        <f>ROUND(SQRT(E1058),2)</f>
        <v/>
      </c>
      <c r="D1058">
        <f>MIN(MIN(B1058,Parameters!$B$2)^2, D1057+Parameters!$B$24)</f>
        <v/>
      </c>
      <c r="E1058">
        <f>MIN(D1058, E1059+Parameters!$B$24)</f>
        <v/>
      </c>
    </row>
    <row r="1059">
      <c r="A1059" t="n">
        <v>105.7</v>
      </c>
      <c r="B1059" t="n">
        <v>25</v>
      </c>
      <c r="C1059">
        <f>ROUND(SQRT(E1059),2)</f>
        <v/>
      </c>
      <c r="D1059">
        <f>MIN(MIN(B1059,Parameters!$B$2)^2, D1058+Parameters!$B$24)</f>
        <v/>
      </c>
      <c r="E1059">
        <f>MIN(D1059, E1060+Parameters!$B$24)</f>
        <v/>
      </c>
    </row>
    <row r="1060">
      <c r="A1060" t="n">
        <v>105.8</v>
      </c>
      <c r="B1060" t="n">
        <v>25</v>
      </c>
      <c r="C1060">
        <f>ROUND(SQRT(E1060),2)</f>
        <v/>
      </c>
      <c r="D1060">
        <f>MIN(MIN(B1060,Parameters!$B$2)^2, D1059+Parameters!$B$24)</f>
        <v/>
      </c>
      <c r="E1060">
        <f>MIN(D1060, E1061+Parameters!$B$24)</f>
        <v/>
      </c>
    </row>
    <row r="1061">
      <c r="A1061" t="n">
        <v>105.9</v>
      </c>
      <c r="B1061" t="n">
        <v>25</v>
      </c>
      <c r="C1061">
        <f>ROUND(SQRT(E1061),2)</f>
        <v/>
      </c>
      <c r="D1061">
        <f>MIN(MIN(B1061,Parameters!$B$2)^2, D1060+Parameters!$B$24)</f>
        <v/>
      </c>
      <c r="E1061">
        <f>MIN(D1061, E1062+Parameters!$B$24)</f>
        <v/>
      </c>
    </row>
    <row r="1062">
      <c r="A1062" t="n">
        <v>106</v>
      </c>
      <c r="B1062" t="n">
        <v>25</v>
      </c>
      <c r="C1062">
        <f>ROUND(SQRT(E1062),2)</f>
        <v/>
      </c>
      <c r="D1062">
        <f>MIN(MIN(B1062,Parameters!$B$2)^2, D1061+Parameters!$B$24)</f>
        <v/>
      </c>
      <c r="E1062">
        <f>MIN(D1062, E1063+Parameters!$B$24)</f>
        <v/>
      </c>
    </row>
    <row r="1063">
      <c r="A1063" t="n">
        <v>106.1</v>
      </c>
      <c r="B1063" t="n">
        <v>25</v>
      </c>
      <c r="C1063">
        <f>ROUND(SQRT(E1063),2)</f>
        <v/>
      </c>
      <c r="D1063">
        <f>MIN(MIN(B1063,Parameters!$B$2)^2, D1062+Parameters!$B$24)</f>
        <v/>
      </c>
      <c r="E1063">
        <f>MIN(D1063, E1064+Parameters!$B$24)</f>
        <v/>
      </c>
    </row>
    <row r="1064">
      <c r="A1064" t="n">
        <v>106.2</v>
      </c>
      <c r="B1064" t="n">
        <v>25</v>
      </c>
      <c r="C1064">
        <f>ROUND(SQRT(E1064),2)</f>
        <v/>
      </c>
      <c r="D1064">
        <f>MIN(MIN(B1064,Parameters!$B$2)^2, D1063+Parameters!$B$24)</f>
        <v/>
      </c>
      <c r="E1064">
        <f>MIN(D1064, E1065+Parameters!$B$24)</f>
        <v/>
      </c>
    </row>
    <row r="1065">
      <c r="A1065" t="n">
        <v>106.3</v>
      </c>
      <c r="B1065" t="n">
        <v>25</v>
      </c>
      <c r="C1065">
        <f>ROUND(SQRT(E1065),2)</f>
        <v/>
      </c>
      <c r="D1065">
        <f>MIN(MIN(B1065,Parameters!$B$2)^2, D1064+Parameters!$B$24)</f>
        <v/>
      </c>
      <c r="E1065">
        <f>MIN(D1065, E1066+Parameters!$B$24)</f>
        <v/>
      </c>
    </row>
    <row r="1066">
      <c r="A1066" t="n">
        <v>106.4</v>
      </c>
      <c r="B1066" t="n">
        <v>25</v>
      </c>
      <c r="C1066">
        <f>ROUND(SQRT(E1066),2)</f>
        <v/>
      </c>
      <c r="D1066">
        <f>MIN(MIN(B1066,Parameters!$B$2)^2, D1065+Parameters!$B$24)</f>
        <v/>
      </c>
      <c r="E1066">
        <f>MIN(D1066, E1067+Parameters!$B$24)</f>
        <v/>
      </c>
    </row>
    <row r="1067">
      <c r="A1067" t="n">
        <v>106.5</v>
      </c>
      <c r="B1067" t="n">
        <v>25</v>
      </c>
      <c r="C1067">
        <f>ROUND(SQRT(E1067),2)</f>
        <v/>
      </c>
      <c r="D1067">
        <f>MIN(MIN(B1067,Parameters!$B$2)^2, D1066+Parameters!$B$24)</f>
        <v/>
      </c>
      <c r="E1067">
        <f>MIN(D1067, E1068+Parameters!$B$24)</f>
        <v/>
      </c>
    </row>
    <row r="1068">
      <c r="A1068" t="n">
        <v>106.6</v>
      </c>
      <c r="B1068" t="n">
        <v>25</v>
      </c>
      <c r="C1068">
        <f>ROUND(SQRT(E1068),2)</f>
        <v/>
      </c>
      <c r="D1068">
        <f>MIN(MIN(B1068,Parameters!$B$2)^2, D1067+Parameters!$B$24)</f>
        <v/>
      </c>
      <c r="E1068">
        <f>MIN(D1068, E1069+Parameters!$B$24)</f>
        <v/>
      </c>
    </row>
    <row r="1069">
      <c r="A1069" t="n">
        <v>106.7</v>
      </c>
      <c r="B1069" t="n">
        <v>25</v>
      </c>
      <c r="C1069">
        <f>ROUND(SQRT(E1069),2)</f>
        <v/>
      </c>
      <c r="D1069">
        <f>MIN(MIN(B1069,Parameters!$B$2)^2, D1068+Parameters!$B$24)</f>
        <v/>
      </c>
      <c r="E1069">
        <f>MIN(D1069, E1070+Parameters!$B$24)</f>
        <v/>
      </c>
    </row>
    <row r="1070">
      <c r="A1070" t="n">
        <v>106.8</v>
      </c>
      <c r="B1070" t="n">
        <v>25</v>
      </c>
      <c r="C1070">
        <f>ROUND(SQRT(E1070),2)</f>
        <v/>
      </c>
      <c r="D1070">
        <f>MIN(MIN(B1070,Parameters!$B$2)^2, D1069+Parameters!$B$24)</f>
        <v/>
      </c>
      <c r="E1070">
        <f>MIN(D1070, E1071+Parameters!$B$24)</f>
        <v/>
      </c>
    </row>
    <row r="1071">
      <c r="A1071" t="n">
        <v>106.9</v>
      </c>
      <c r="B1071" t="n">
        <v>25</v>
      </c>
      <c r="C1071">
        <f>ROUND(SQRT(E1071),2)</f>
        <v/>
      </c>
      <c r="D1071">
        <f>MIN(MIN(B1071,Parameters!$B$2)^2, D1070+Parameters!$B$24)</f>
        <v/>
      </c>
      <c r="E1071">
        <f>MIN(D1071, E1072+Parameters!$B$24)</f>
        <v/>
      </c>
    </row>
    <row r="1072">
      <c r="A1072" t="n">
        <v>107</v>
      </c>
      <c r="B1072" t="n">
        <v>25</v>
      </c>
      <c r="C1072">
        <f>ROUND(SQRT(E1072),2)</f>
        <v/>
      </c>
      <c r="D1072">
        <f>MIN(MIN(B1072,Parameters!$B$2)^2, D1071+Parameters!$B$24)</f>
        <v/>
      </c>
      <c r="E1072">
        <f>MIN(D1072, E1073+Parameters!$B$24)</f>
        <v/>
      </c>
    </row>
    <row r="1073">
      <c r="A1073" t="n">
        <v>107.1</v>
      </c>
      <c r="B1073" t="n">
        <v>25</v>
      </c>
      <c r="C1073">
        <f>ROUND(SQRT(E1073),2)</f>
        <v/>
      </c>
      <c r="D1073">
        <f>MIN(MIN(B1073,Parameters!$B$2)^2, D1072+Parameters!$B$24)</f>
        <v/>
      </c>
      <c r="E1073">
        <f>MIN(D1073, E1074+Parameters!$B$24)</f>
        <v/>
      </c>
    </row>
    <row r="1074">
      <c r="A1074" t="n">
        <v>107.2</v>
      </c>
      <c r="B1074" t="n">
        <v>25</v>
      </c>
      <c r="C1074">
        <f>ROUND(SQRT(E1074),2)</f>
        <v/>
      </c>
      <c r="D1074">
        <f>MIN(MIN(B1074,Parameters!$B$2)^2, D1073+Parameters!$B$24)</f>
        <v/>
      </c>
      <c r="E1074">
        <f>MIN(D1074, E1075+Parameters!$B$24)</f>
        <v/>
      </c>
    </row>
    <row r="1075">
      <c r="A1075" t="n">
        <v>107.3</v>
      </c>
      <c r="B1075" t="n">
        <v>25</v>
      </c>
      <c r="C1075">
        <f>ROUND(SQRT(E1075),2)</f>
        <v/>
      </c>
      <c r="D1075">
        <f>MIN(MIN(B1075,Parameters!$B$2)^2, D1074+Parameters!$B$24)</f>
        <v/>
      </c>
      <c r="E1075">
        <f>MIN(D1075, E1076+Parameters!$B$24)</f>
        <v/>
      </c>
    </row>
    <row r="1076">
      <c r="A1076" t="n">
        <v>107.4</v>
      </c>
      <c r="B1076" t="n">
        <v>25</v>
      </c>
      <c r="C1076">
        <f>ROUND(SQRT(E1076),2)</f>
        <v/>
      </c>
      <c r="D1076">
        <f>MIN(MIN(B1076,Parameters!$B$2)^2, D1075+Parameters!$B$24)</f>
        <v/>
      </c>
      <c r="E1076">
        <f>MIN(D1076, E1077+Parameters!$B$24)</f>
        <v/>
      </c>
    </row>
    <row r="1077">
      <c r="A1077" t="n">
        <v>107.5</v>
      </c>
      <c r="B1077" t="n">
        <v>25</v>
      </c>
      <c r="C1077">
        <f>ROUND(SQRT(E1077),2)</f>
        <v/>
      </c>
      <c r="D1077">
        <f>MIN(MIN(B1077,Parameters!$B$2)^2, D1076+Parameters!$B$24)</f>
        <v/>
      </c>
      <c r="E1077">
        <f>MIN(D1077, E1078+Parameters!$B$24)</f>
        <v/>
      </c>
    </row>
    <row r="1078">
      <c r="A1078" t="n">
        <v>107.6</v>
      </c>
      <c r="B1078" t="n">
        <v>25</v>
      </c>
      <c r="C1078">
        <f>ROUND(SQRT(E1078),2)</f>
        <v/>
      </c>
      <c r="D1078">
        <f>MIN(MIN(B1078,Parameters!$B$2)^2, D1077+Parameters!$B$24)</f>
        <v/>
      </c>
      <c r="E1078">
        <f>MIN(D1078, E1079+Parameters!$B$24)</f>
        <v/>
      </c>
    </row>
    <row r="1079">
      <c r="A1079" t="n">
        <v>107.7</v>
      </c>
      <c r="B1079" t="n">
        <v>25</v>
      </c>
      <c r="C1079">
        <f>ROUND(SQRT(E1079),2)</f>
        <v/>
      </c>
      <c r="D1079">
        <f>MIN(MIN(B1079,Parameters!$B$2)^2, D1078+Parameters!$B$24)</f>
        <v/>
      </c>
      <c r="E1079">
        <f>MIN(D1079, E1080+Parameters!$B$24)</f>
        <v/>
      </c>
    </row>
    <row r="1080">
      <c r="A1080" t="n">
        <v>107.8</v>
      </c>
      <c r="B1080" t="n">
        <v>25</v>
      </c>
      <c r="C1080">
        <f>ROUND(SQRT(E1080),2)</f>
        <v/>
      </c>
      <c r="D1080">
        <f>MIN(MIN(B1080,Parameters!$B$2)^2, D1079+Parameters!$B$24)</f>
        <v/>
      </c>
      <c r="E1080">
        <f>MIN(D1080, E1081+Parameters!$B$24)</f>
        <v/>
      </c>
    </row>
    <row r="1081">
      <c r="A1081" t="n">
        <v>107.9</v>
      </c>
      <c r="B1081" t="n">
        <v>25</v>
      </c>
      <c r="C1081">
        <f>ROUND(SQRT(E1081),2)</f>
        <v/>
      </c>
      <c r="D1081">
        <f>MIN(MIN(B1081,Parameters!$B$2)^2, D1080+Parameters!$B$24)</f>
        <v/>
      </c>
      <c r="E1081">
        <f>MIN(D1081, E1082+Parameters!$B$24)</f>
        <v/>
      </c>
    </row>
    <row r="1082">
      <c r="A1082" t="n">
        <v>108</v>
      </c>
      <c r="B1082" t="n">
        <v>25</v>
      </c>
      <c r="C1082">
        <f>ROUND(SQRT(E1082),2)</f>
        <v/>
      </c>
      <c r="D1082">
        <f>MIN(MIN(B1082,Parameters!$B$2)^2, D1081+Parameters!$B$24)</f>
        <v/>
      </c>
      <c r="E1082">
        <f>MIN(D1082, E1083+Parameters!$B$24)</f>
        <v/>
      </c>
    </row>
    <row r="1083">
      <c r="A1083" t="n">
        <v>108.1</v>
      </c>
      <c r="B1083" t="n">
        <v>25</v>
      </c>
      <c r="C1083">
        <f>ROUND(SQRT(E1083),2)</f>
        <v/>
      </c>
      <c r="D1083">
        <f>MIN(MIN(B1083,Parameters!$B$2)^2, D1082+Parameters!$B$24)</f>
        <v/>
      </c>
      <c r="E1083">
        <f>MIN(D1083, E1084+Parameters!$B$24)</f>
        <v/>
      </c>
    </row>
    <row r="1084">
      <c r="A1084" t="n">
        <v>108.2</v>
      </c>
      <c r="B1084" t="n">
        <v>25</v>
      </c>
      <c r="C1084">
        <f>ROUND(SQRT(E1084),2)</f>
        <v/>
      </c>
      <c r="D1084">
        <f>MIN(MIN(B1084,Parameters!$B$2)^2, D1083+Parameters!$B$24)</f>
        <v/>
      </c>
      <c r="E1084">
        <f>MIN(D1084, E1085+Parameters!$B$24)</f>
        <v/>
      </c>
    </row>
    <row r="1085">
      <c r="A1085" t="n">
        <v>108.3</v>
      </c>
      <c r="B1085" t="n">
        <v>25</v>
      </c>
      <c r="C1085">
        <f>ROUND(SQRT(E1085),2)</f>
        <v/>
      </c>
      <c r="D1085">
        <f>MIN(MIN(B1085,Parameters!$B$2)^2, D1084+Parameters!$B$24)</f>
        <v/>
      </c>
      <c r="E1085">
        <f>MIN(D1085, E1086+Parameters!$B$24)</f>
        <v/>
      </c>
    </row>
    <row r="1086">
      <c r="A1086" t="n">
        <v>108.4</v>
      </c>
      <c r="B1086" t="n">
        <v>25</v>
      </c>
      <c r="C1086">
        <f>ROUND(SQRT(E1086),2)</f>
        <v/>
      </c>
      <c r="D1086">
        <f>MIN(MIN(B1086,Parameters!$B$2)^2, D1085+Parameters!$B$24)</f>
        <v/>
      </c>
      <c r="E1086">
        <f>MIN(D1086, E1087+Parameters!$B$24)</f>
        <v/>
      </c>
    </row>
    <row r="1087">
      <c r="A1087" t="n">
        <v>108.5</v>
      </c>
      <c r="B1087" t="n">
        <v>25</v>
      </c>
      <c r="C1087">
        <f>ROUND(SQRT(E1087),2)</f>
        <v/>
      </c>
      <c r="D1087">
        <f>MIN(MIN(B1087,Parameters!$B$2)^2, D1086+Parameters!$B$24)</f>
        <v/>
      </c>
      <c r="E1087">
        <f>MIN(D1087, E1088+Parameters!$B$24)</f>
        <v/>
      </c>
    </row>
    <row r="1088">
      <c r="A1088" t="n">
        <v>108.6</v>
      </c>
      <c r="B1088" t="n">
        <v>25</v>
      </c>
      <c r="C1088">
        <f>ROUND(SQRT(E1088),2)</f>
        <v/>
      </c>
      <c r="D1088">
        <f>MIN(MIN(B1088,Parameters!$B$2)^2, D1087+Parameters!$B$24)</f>
        <v/>
      </c>
      <c r="E1088">
        <f>MIN(D1088, E1089+Parameters!$B$24)</f>
        <v/>
      </c>
    </row>
    <row r="1089">
      <c r="A1089" t="n">
        <v>108.7</v>
      </c>
      <c r="B1089" t="n">
        <v>25</v>
      </c>
      <c r="C1089">
        <f>ROUND(SQRT(E1089),2)</f>
        <v/>
      </c>
      <c r="D1089">
        <f>MIN(MIN(B1089,Parameters!$B$2)^2, D1088+Parameters!$B$24)</f>
        <v/>
      </c>
      <c r="E1089">
        <f>MIN(D1089, E1090+Parameters!$B$24)</f>
        <v/>
      </c>
    </row>
    <row r="1090">
      <c r="A1090" t="n">
        <v>108.8</v>
      </c>
      <c r="B1090" t="n">
        <v>25</v>
      </c>
      <c r="C1090">
        <f>ROUND(SQRT(E1090),2)</f>
        <v/>
      </c>
      <c r="D1090">
        <f>MIN(MIN(B1090,Parameters!$B$2)^2, D1089+Parameters!$B$24)</f>
        <v/>
      </c>
      <c r="E1090">
        <f>MIN(D1090, E1091+Parameters!$B$24)</f>
        <v/>
      </c>
    </row>
    <row r="1091">
      <c r="A1091" t="n">
        <v>108.9</v>
      </c>
      <c r="B1091" t="n">
        <v>25</v>
      </c>
      <c r="C1091">
        <f>ROUND(SQRT(E1091),2)</f>
        <v/>
      </c>
      <c r="D1091">
        <f>MIN(MIN(B1091,Parameters!$B$2)^2, D1090+Parameters!$B$24)</f>
        <v/>
      </c>
      <c r="E1091">
        <f>MIN(D1091, E1092+Parameters!$B$24)</f>
        <v/>
      </c>
    </row>
    <row r="1092">
      <c r="A1092" t="n">
        <v>109</v>
      </c>
      <c r="B1092" t="n">
        <v>25</v>
      </c>
      <c r="C1092">
        <f>ROUND(SQRT(E1092),2)</f>
        <v/>
      </c>
      <c r="D1092">
        <f>MIN(MIN(B1092,Parameters!$B$2)^2, D1091+Parameters!$B$24)</f>
        <v/>
      </c>
      <c r="E1092">
        <f>MIN(D1092, E1093+Parameters!$B$24)</f>
        <v/>
      </c>
    </row>
    <row r="1093">
      <c r="A1093" t="n">
        <v>109.1</v>
      </c>
      <c r="B1093" t="n">
        <v>25</v>
      </c>
      <c r="C1093">
        <f>ROUND(SQRT(E1093),2)</f>
        <v/>
      </c>
      <c r="D1093">
        <f>MIN(MIN(B1093,Parameters!$B$2)^2, D1092+Parameters!$B$24)</f>
        <v/>
      </c>
      <c r="E1093">
        <f>MIN(D1093, E1094+Parameters!$B$24)</f>
        <v/>
      </c>
    </row>
    <row r="1094">
      <c r="A1094" t="n">
        <v>109.2</v>
      </c>
      <c r="B1094" t="n">
        <v>25</v>
      </c>
      <c r="C1094">
        <f>ROUND(SQRT(E1094),2)</f>
        <v/>
      </c>
      <c r="D1094">
        <f>MIN(MIN(B1094,Parameters!$B$2)^2, D1093+Parameters!$B$24)</f>
        <v/>
      </c>
      <c r="E1094">
        <f>MIN(D1094, E1095+Parameters!$B$24)</f>
        <v/>
      </c>
    </row>
    <row r="1095">
      <c r="A1095" t="n">
        <v>109.3</v>
      </c>
      <c r="B1095" t="n">
        <v>25</v>
      </c>
      <c r="C1095">
        <f>ROUND(SQRT(E1095),2)</f>
        <v/>
      </c>
      <c r="D1095">
        <f>MIN(MIN(B1095,Parameters!$B$2)^2, D1094+Parameters!$B$24)</f>
        <v/>
      </c>
      <c r="E1095">
        <f>MIN(D1095, E1096+Parameters!$B$24)</f>
        <v/>
      </c>
    </row>
    <row r="1096">
      <c r="A1096" t="n">
        <v>109.4</v>
      </c>
      <c r="B1096" t="n">
        <v>25</v>
      </c>
      <c r="C1096">
        <f>ROUND(SQRT(E1096),2)</f>
        <v/>
      </c>
      <c r="D1096">
        <f>MIN(MIN(B1096,Parameters!$B$2)^2, D1095+Parameters!$B$24)</f>
        <v/>
      </c>
      <c r="E1096">
        <f>MIN(D1096, E1097+Parameters!$B$24)</f>
        <v/>
      </c>
    </row>
    <row r="1097">
      <c r="A1097" t="n">
        <v>109.5</v>
      </c>
      <c r="B1097" t="n">
        <v>25</v>
      </c>
      <c r="C1097">
        <f>ROUND(SQRT(E1097),2)</f>
        <v/>
      </c>
      <c r="D1097">
        <f>MIN(MIN(B1097,Parameters!$B$2)^2, D1096+Parameters!$B$24)</f>
        <v/>
      </c>
      <c r="E1097">
        <f>MIN(D1097, E1098+Parameters!$B$24)</f>
        <v/>
      </c>
    </row>
    <row r="1098">
      <c r="A1098" t="n">
        <v>109.6</v>
      </c>
      <c r="B1098" t="n">
        <v>25</v>
      </c>
      <c r="C1098">
        <f>ROUND(SQRT(E1098),2)</f>
        <v/>
      </c>
      <c r="D1098">
        <f>MIN(MIN(B1098,Parameters!$B$2)^2, D1097+Parameters!$B$24)</f>
        <v/>
      </c>
      <c r="E1098">
        <f>MIN(D1098, E1099+Parameters!$B$24)</f>
        <v/>
      </c>
    </row>
    <row r="1099">
      <c r="A1099" t="n">
        <v>109.7</v>
      </c>
      <c r="B1099" t="n">
        <v>25</v>
      </c>
      <c r="C1099">
        <f>ROUND(SQRT(E1099),2)</f>
        <v/>
      </c>
      <c r="D1099">
        <f>MIN(MIN(B1099,Parameters!$B$2)^2, D1098+Parameters!$B$24)</f>
        <v/>
      </c>
      <c r="E1099">
        <f>MIN(D1099, E1100+Parameters!$B$24)</f>
        <v/>
      </c>
    </row>
    <row r="1100">
      <c r="A1100" t="n">
        <v>109.8</v>
      </c>
      <c r="B1100" t="n">
        <v>25</v>
      </c>
      <c r="C1100">
        <f>ROUND(SQRT(E1100),2)</f>
        <v/>
      </c>
      <c r="D1100">
        <f>MIN(MIN(B1100,Parameters!$B$2)^2, D1099+Parameters!$B$24)</f>
        <v/>
      </c>
      <c r="E1100">
        <f>MIN(D1100, E1101+Parameters!$B$24)</f>
        <v/>
      </c>
    </row>
    <row r="1101">
      <c r="A1101" t="n">
        <v>109.9</v>
      </c>
      <c r="B1101" t="n">
        <v>25</v>
      </c>
      <c r="C1101">
        <f>ROUND(SQRT(E1101),2)</f>
        <v/>
      </c>
      <c r="D1101">
        <f>MIN(MIN(B1101,Parameters!$B$2)^2, D1100+Parameters!$B$24)</f>
        <v/>
      </c>
      <c r="E1101">
        <f>MIN(D1101, E1102+Parameters!$B$24)</f>
        <v/>
      </c>
    </row>
    <row r="1102">
      <c r="A1102" t="n">
        <v>110</v>
      </c>
      <c r="B1102" t="n">
        <v>25</v>
      </c>
      <c r="C1102">
        <f>ROUND(SQRT(E1102),2)</f>
        <v/>
      </c>
      <c r="D1102">
        <f>MIN(MIN(B1102,Parameters!$B$2)^2, D1101+Parameters!$B$24)</f>
        <v/>
      </c>
      <c r="E1102">
        <f>MIN(D1102, E1103+Parameters!$B$24)</f>
        <v/>
      </c>
    </row>
    <row r="1103">
      <c r="A1103" t="n">
        <v>110.1</v>
      </c>
      <c r="B1103" t="n">
        <v>25</v>
      </c>
      <c r="C1103">
        <f>ROUND(SQRT(E1103),2)</f>
        <v/>
      </c>
      <c r="D1103">
        <f>MIN(MIN(B1103,Parameters!$B$2)^2, D1102+Parameters!$B$24)</f>
        <v/>
      </c>
      <c r="E1103">
        <f>MIN(D1103, E1104+Parameters!$B$24)</f>
        <v/>
      </c>
    </row>
    <row r="1104">
      <c r="A1104" t="n">
        <v>110.2</v>
      </c>
      <c r="B1104" t="n">
        <v>25</v>
      </c>
      <c r="C1104">
        <f>ROUND(SQRT(E1104),2)</f>
        <v/>
      </c>
      <c r="D1104">
        <f>MIN(MIN(B1104,Parameters!$B$2)^2, D1103+Parameters!$B$24)</f>
        <v/>
      </c>
      <c r="E1104">
        <f>MIN(D1104, E1105+Parameters!$B$24)</f>
        <v/>
      </c>
    </row>
    <row r="1105">
      <c r="A1105" t="n">
        <v>110.3</v>
      </c>
      <c r="B1105" t="n">
        <v>25</v>
      </c>
      <c r="C1105">
        <f>ROUND(SQRT(E1105),2)</f>
        <v/>
      </c>
      <c r="D1105">
        <f>MIN(MIN(B1105,Parameters!$B$2)^2, D1104+Parameters!$B$24)</f>
        <v/>
      </c>
      <c r="E1105">
        <f>MIN(D1105, E1106+Parameters!$B$24)</f>
        <v/>
      </c>
    </row>
    <row r="1106">
      <c r="A1106" t="n">
        <v>110.4</v>
      </c>
      <c r="B1106" t="n">
        <v>25</v>
      </c>
      <c r="C1106">
        <f>ROUND(SQRT(E1106),2)</f>
        <v/>
      </c>
      <c r="D1106">
        <f>MIN(MIN(B1106,Parameters!$B$2)^2, D1105+Parameters!$B$24)</f>
        <v/>
      </c>
      <c r="E1106">
        <f>MIN(D1106, E1107+Parameters!$B$24)</f>
        <v/>
      </c>
    </row>
    <row r="1107">
      <c r="A1107" t="n">
        <v>110.5</v>
      </c>
      <c r="B1107" t="n">
        <v>25</v>
      </c>
      <c r="C1107">
        <f>ROUND(SQRT(E1107),2)</f>
        <v/>
      </c>
      <c r="D1107">
        <f>MIN(MIN(B1107,Parameters!$B$2)^2, D1106+Parameters!$B$24)</f>
        <v/>
      </c>
      <c r="E1107">
        <f>MIN(D1107, E1108+Parameters!$B$24)</f>
        <v/>
      </c>
    </row>
    <row r="1108">
      <c r="A1108" t="n">
        <v>110.6</v>
      </c>
      <c r="B1108" t="n">
        <v>25</v>
      </c>
      <c r="C1108">
        <f>ROUND(SQRT(E1108),2)</f>
        <v/>
      </c>
      <c r="D1108">
        <f>MIN(MIN(B1108,Parameters!$B$2)^2, D1107+Parameters!$B$24)</f>
        <v/>
      </c>
      <c r="E1108">
        <f>MIN(D1108, E1109+Parameters!$B$24)</f>
        <v/>
      </c>
    </row>
    <row r="1109">
      <c r="A1109" t="n">
        <v>110.7</v>
      </c>
      <c r="B1109" t="n">
        <v>25</v>
      </c>
      <c r="C1109">
        <f>ROUND(SQRT(E1109),2)</f>
        <v/>
      </c>
      <c r="D1109">
        <f>MIN(MIN(B1109,Parameters!$B$2)^2, D1108+Parameters!$B$24)</f>
        <v/>
      </c>
      <c r="E1109">
        <f>MIN(D1109, E1110+Parameters!$B$24)</f>
        <v/>
      </c>
    </row>
    <row r="1110">
      <c r="A1110" t="n">
        <v>110.8</v>
      </c>
      <c r="B1110" t="n">
        <v>25</v>
      </c>
      <c r="C1110">
        <f>ROUND(SQRT(E1110),2)</f>
        <v/>
      </c>
      <c r="D1110">
        <f>MIN(MIN(B1110,Parameters!$B$2)^2, D1109+Parameters!$B$24)</f>
        <v/>
      </c>
      <c r="E1110">
        <f>MIN(D1110, E1111+Parameters!$B$24)</f>
        <v/>
      </c>
    </row>
    <row r="1111">
      <c r="A1111" t="n">
        <v>110.9</v>
      </c>
      <c r="B1111" t="n">
        <v>25</v>
      </c>
      <c r="C1111">
        <f>ROUND(SQRT(E1111),2)</f>
        <v/>
      </c>
      <c r="D1111">
        <f>MIN(MIN(B1111,Parameters!$B$2)^2, D1110+Parameters!$B$24)</f>
        <v/>
      </c>
      <c r="E1111">
        <f>MIN(D1111, E1112+Parameters!$B$24)</f>
        <v/>
      </c>
    </row>
    <row r="1112">
      <c r="A1112" t="n">
        <v>111</v>
      </c>
      <c r="B1112" t="n">
        <v>25</v>
      </c>
      <c r="C1112">
        <f>ROUND(SQRT(E1112),2)</f>
        <v/>
      </c>
      <c r="D1112">
        <f>MIN(MIN(B1112,Parameters!$B$2)^2, D1111+Parameters!$B$24)</f>
        <v/>
      </c>
      <c r="E1112">
        <f>MIN(D1112, E1113+Parameters!$B$24)</f>
        <v/>
      </c>
    </row>
    <row r="1113">
      <c r="A1113" t="n">
        <v>111.1</v>
      </c>
      <c r="B1113" t="n">
        <v>25</v>
      </c>
      <c r="C1113">
        <f>ROUND(SQRT(E1113),2)</f>
        <v/>
      </c>
      <c r="D1113">
        <f>MIN(MIN(B1113,Parameters!$B$2)^2, D1112+Parameters!$B$24)</f>
        <v/>
      </c>
      <c r="E1113">
        <f>MIN(D1113, E1114+Parameters!$B$24)</f>
        <v/>
      </c>
    </row>
    <row r="1114">
      <c r="A1114" t="n">
        <v>111.2</v>
      </c>
      <c r="B1114" t="n">
        <v>25</v>
      </c>
      <c r="C1114">
        <f>ROUND(SQRT(E1114),2)</f>
        <v/>
      </c>
      <c r="D1114">
        <f>MIN(MIN(B1114,Parameters!$B$2)^2, D1113+Parameters!$B$24)</f>
        <v/>
      </c>
      <c r="E1114">
        <f>MIN(D1114, E1115+Parameters!$B$24)</f>
        <v/>
      </c>
    </row>
    <row r="1115">
      <c r="A1115" t="n">
        <v>111.3</v>
      </c>
      <c r="B1115" t="n">
        <v>25</v>
      </c>
      <c r="C1115">
        <f>ROUND(SQRT(E1115),2)</f>
        <v/>
      </c>
      <c r="D1115">
        <f>MIN(MIN(B1115,Parameters!$B$2)^2, D1114+Parameters!$B$24)</f>
        <v/>
      </c>
      <c r="E1115">
        <f>MIN(D1115, E1116+Parameters!$B$24)</f>
        <v/>
      </c>
    </row>
    <row r="1116">
      <c r="A1116" t="n">
        <v>111.4</v>
      </c>
      <c r="B1116" t="n">
        <v>25</v>
      </c>
      <c r="C1116">
        <f>ROUND(SQRT(E1116),2)</f>
        <v/>
      </c>
      <c r="D1116">
        <f>MIN(MIN(B1116,Parameters!$B$2)^2, D1115+Parameters!$B$24)</f>
        <v/>
      </c>
      <c r="E1116">
        <f>MIN(D1116, E1117+Parameters!$B$24)</f>
        <v/>
      </c>
    </row>
    <row r="1117">
      <c r="A1117" t="n">
        <v>111.5</v>
      </c>
      <c r="B1117" t="n">
        <v>25</v>
      </c>
      <c r="C1117">
        <f>ROUND(SQRT(E1117),2)</f>
        <v/>
      </c>
      <c r="D1117">
        <f>MIN(MIN(B1117,Parameters!$B$2)^2, D1116+Parameters!$B$24)</f>
        <v/>
      </c>
      <c r="E1117">
        <f>MIN(D1117, E1118+Parameters!$B$24)</f>
        <v/>
      </c>
    </row>
    <row r="1118">
      <c r="A1118" t="n">
        <v>111.6</v>
      </c>
      <c r="B1118" t="n">
        <v>25</v>
      </c>
      <c r="C1118">
        <f>ROUND(SQRT(E1118),2)</f>
        <v/>
      </c>
      <c r="D1118">
        <f>MIN(MIN(B1118,Parameters!$B$2)^2, D1117+Parameters!$B$24)</f>
        <v/>
      </c>
      <c r="E1118">
        <f>MIN(D1118, E1119+Parameters!$B$24)</f>
        <v/>
      </c>
    </row>
    <row r="1119">
      <c r="A1119" t="n">
        <v>111.7</v>
      </c>
      <c r="B1119" t="n">
        <v>25</v>
      </c>
      <c r="C1119">
        <f>ROUND(SQRT(E1119),2)</f>
        <v/>
      </c>
      <c r="D1119">
        <f>MIN(MIN(B1119,Parameters!$B$2)^2, D1118+Parameters!$B$24)</f>
        <v/>
      </c>
      <c r="E1119">
        <f>MIN(D1119, E1120+Parameters!$B$24)</f>
        <v/>
      </c>
    </row>
    <row r="1120">
      <c r="A1120" t="n">
        <v>111.8</v>
      </c>
      <c r="B1120" t="n">
        <v>25</v>
      </c>
      <c r="C1120">
        <f>ROUND(SQRT(E1120),2)</f>
        <v/>
      </c>
      <c r="D1120">
        <f>MIN(MIN(B1120,Parameters!$B$2)^2, D1119+Parameters!$B$24)</f>
        <v/>
      </c>
      <c r="E1120">
        <f>MIN(D1120, E1121+Parameters!$B$24)</f>
        <v/>
      </c>
    </row>
    <row r="1121">
      <c r="A1121" t="n">
        <v>111.9</v>
      </c>
      <c r="B1121" t="n">
        <v>25</v>
      </c>
      <c r="C1121">
        <f>ROUND(SQRT(E1121),2)</f>
        <v/>
      </c>
      <c r="D1121">
        <f>MIN(MIN(B1121,Parameters!$B$2)^2, D1120+Parameters!$B$24)</f>
        <v/>
      </c>
      <c r="E1121">
        <f>MIN(D1121, E1122+Parameters!$B$24)</f>
        <v/>
      </c>
    </row>
    <row r="1122">
      <c r="A1122" t="n">
        <v>112</v>
      </c>
      <c r="B1122" t="n">
        <v>25</v>
      </c>
      <c r="C1122">
        <f>ROUND(SQRT(E1122),2)</f>
        <v/>
      </c>
      <c r="D1122">
        <f>MIN(MIN(B1122,Parameters!$B$2)^2, D1121+Parameters!$B$24)</f>
        <v/>
      </c>
      <c r="E1122">
        <f>MIN(D1122, E1123+Parameters!$B$24)</f>
        <v/>
      </c>
    </row>
    <row r="1123">
      <c r="A1123" t="n">
        <v>112.1</v>
      </c>
      <c r="B1123" t="n">
        <v>10</v>
      </c>
      <c r="C1123">
        <f>ROUND(SQRT(E1123),2)</f>
        <v/>
      </c>
      <c r="D1123">
        <f>MIN(MIN(B1123,Parameters!$B$2)^2, D1122+Parameters!$B$24)</f>
        <v/>
      </c>
      <c r="E1123">
        <f>MIN(D1123, E1124+Parameters!$B$24)</f>
        <v/>
      </c>
    </row>
    <row r="1124">
      <c r="A1124" t="n">
        <v>112.2</v>
      </c>
      <c r="B1124" t="n">
        <v>10</v>
      </c>
      <c r="C1124">
        <f>ROUND(SQRT(E1124),2)</f>
        <v/>
      </c>
      <c r="D1124">
        <f>MIN(MIN(B1124,Parameters!$B$2)^2, D1123+Parameters!$B$24)</f>
        <v/>
      </c>
      <c r="E1124">
        <f>MIN(D1124, E1125+Parameters!$B$24)</f>
        <v/>
      </c>
    </row>
    <row r="1125">
      <c r="A1125" t="n">
        <v>112.3</v>
      </c>
      <c r="B1125" t="n">
        <v>10</v>
      </c>
      <c r="C1125">
        <f>ROUND(SQRT(E1125),2)</f>
        <v/>
      </c>
      <c r="D1125">
        <f>MIN(MIN(B1125,Parameters!$B$2)^2, D1124+Parameters!$B$24)</f>
        <v/>
      </c>
      <c r="E1125">
        <f>MIN(D1125, E1126+Parameters!$B$24)</f>
        <v/>
      </c>
    </row>
    <row r="1126">
      <c r="A1126" t="n">
        <v>112.4</v>
      </c>
      <c r="B1126" t="n">
        <v>10</v>
      </c>
      <c r="C1126">
        <f>ROUND(SQRT(E1126),2)</f>
        <v/>
      </c>
      <c r="D1126">
        <f>MIN(MIN(B1126,Parameters!$B$2)^2, D1125+Parameters!$B$24)</f>
        <v/>
      </c>
      <c r="E1126">
        <f>MIN(D1126, E1127+Parameters!$B$24)</f>
        <v/>
      </c>
    </row>
    <row r="1127">
      <c r="A1127" t="n">
        <v>112.5</v>
      </c>
      <c r="B1127" t="n">
        <v>10</v>
      </c>
      <c r="C1127">
        <f>ROUND(SQRT(E1127),2)</f>
        <v/>
      </c>
      <c r="D1127">
        <f>MIN(MIN(B1127,Parameters!$B$2)^2, D1126+Parameters!$B$24)</f>
        <v/>
      </c>
      <c r="E1127">
        <f>MIN(D1127, E1128+Parameters!$B$24)</f>
        <v/>
      </c>
    </row>
    <row r="1128">
      <c r="A1128" t="n">
        <v>112.6</v>
      </c>
      <c r="B1128" t="n">
        <v>10</v>
      </c>
      <c r="C1128">
        <f>ROUND(SQRT(E1128),2)</f>
        <v/>
      </c>
      <c r="D1128">
        <f>MIN(MIN(B1128,Parameters!$B$2)^2, D1127+Parameters!$B$24)</f>
        <v/>
      </c>
      <c r="E1128">
        <f>MIN(D1128, E1129+Parameters!$B$24)</f>
        <v/>
      </c>
    </row>
    <row r="1129">
      <c r="A1129" t="n">
        <v>112.7</v>
      </c>
      <c r="B1129" t="n">
        <v>10</v>
      </c>
      <c r="C1129">
        <f>ROUND(SQRT(E1129),2)</f>
        <v/>
      </c>
      <c r="D1129">
        <f>MIN(MIN(B1129,Parameters!$B$2)^2, D1128+Parameters!$B$24)</f>
        <v/>
      </c>
      <c r="E1129">
        <f>MIN(D1129, E1130+Parameters!$B$24)</f>
        <v/>
      </c>
    </row>
    <row r="1130">
      <c r="A1130" t="n">
        <v>112.8</v>
      </c>
      <c r="B1130" t="n">
        <v>10</v>
      </c>
      <c r="C1130">
        <f>ROUND(SQRT(E1130),2)</f>
        <v/>
      </c>
      <c r="D1130">
        <f>MIN(MIN(B1130,Parameters!$B$2)^2, D1129+Parameters!$B$24)</f>
        <v/>
      </c>
      <c r="E1130">
        <f>MIN(D1130, E1131+Parameters!$B$24)</f>
        <v/>
      </c>
    </row>
    <row r="1131">
      <c r="A1131" t="n">
        <v>112.9</v>
      </c>
      <c r="B1131" t="n">
        <v>10</v>
      </c>
      <c r="C1131">
        <f>ROUND(SQRT(E1131),2)</f>
        <v/>
      </c>
      <c r="D1131">
        <f>MIN(MIN(B1131,Parameters!$B$2)^2, D1130+Parameters!$B$24)</f>
        <v/>
      </c>
      <c r="E1131">
        <f>MIN(D1131, E1132+Parameters!$B$24)</f>
        <v/>
      </c>
    </row>
    <row r="1132">
      <c r="A1132" t="n">
        <v>113</v>
      </c>
      <c r="B1132" t="n">
        <v>10</v>
      </c>
      <c r="C1132">
        <f>ROUND(SQRT(E1132),2)</f>
        <v/>
      </c>
      <c r="D1132">
        <f>MIN(MIN(B1132,Parameters!$B$2)^2, D1131+Parameters!$B$24)</f>
        <v/>
      </c>
      <c r="E1132">
        <f>MIN(D1132, E1133+Parameters!$B$24)</f>
        <v/>
      </c>
    </row>
    <row r="1133">
      <c r="A1133" t="n">
        <v>113.1</v>
      </c>
      <c r="B1133" t="n">
        <v>10</v>
      </c>
      <c r="C1133">
        <f>ROUND(SQRT(E1133),2)</f>
        <v/>
      </c>
      <c r="D1133">
        <f>MIN(MIN(B1133,Parameters!$B$2)^2, D1132+Parameters!$B$24)</f>
        <v/>
      </c>
      <c r="E1133">
        <f>MIN(D1133, E1134+Parameters!$B$24)</f>
        <v/>
      </c>
    </row>
    <row r="1134">
      <c r="A1134" t="n">
        <v>113.2</v>
      </c>
      <c r="B1134" t="n">
        <v>10</v>
      </c>
      <c r="C1134">
        <f>ROUND(SQRT(E1134),2)</f>
        <v/>
      </c>
      <c r="D1134">
        <f>MIN(MIN(B1134,Parameters!$B$2)^2, D1133+Parameters!$B$24)</f>
        <v/>
      </c>
      <c r="E1134">
        <f>MIN(D1134, E1135+Parameters!$B$24)</f>
        <v/>
      </c>
    </row>
    <row r="1135">
      <c r="A1135" t="n">
        <v>113.3</v>
      </c>
      <c r="B1135" t="n">
        <v>10</v>
      </c>
      <c r="C1135">
        <f>ROUND(SQRT(E1135),2)</f>
        <v/>
      </c>
      <c r="D1135">
        <f>MIN(MIN(B1135,Parameters!$B$2)^2, D1134+Parameters!$B$24)</f>
        <v/>
      </c>
      <c r="E1135">
        <f>MIN(D1135, E1136+Parameters!$B$24)</f>
        <v/>
      </c>
    </row>
    <row r="1136">
      <c r="A1136" t="n">
        <v>113.4</v>
      </c>
      <c r="B1136" t="n">
        <v>10</v>
      </c>
      <c r="C1136">
        <f>ROUND(SQRT(E1136),2)</f>
        <v/>
      </c>
      <c r="D1136">
        <f>MIN(MIN(B1136,Parameters!$B$2)^2, D1135+Parameters!$B$24)</f>
        <v/>
      </c>
      <c r="E1136">
        <f>MIN(D1136, E1137+Parameters!$B$24)</f>
        <v/>
      </c>
    </row>
    <row r="1137">
      <c r="A1137" t="n">
        <v>113.5</v>
      </c>
      <c r="B1137" t="n">
        <v>10</v>
      </c>
      <c r="C1137">
        <f>ROUND(SQRT(E1137),2)</f>
        <v/>
      </c>
      <c r="D1137">
        <f>MIN(MIN(B1137,Parameters!$B$2)^2, D1136+Parameters!$B$24)</f>
        <v/>
      </c>
      <c r="E1137">
        <f>MIN(D1137, E1138+Parameters!$B$24)</f>
        <v/>
      </c>
    </row>
    <row r="1138">
      <c r="A1138" t="n">
        <v>113.6</v>
      </c>
      <c r="B1138" t="n">
        <v>10</v>
      </c>
      <c r="C1138">
        <f>ROUND(SQRT(E1138),2)</f>
        <v/>
      </c>
      <c r="D1138">
        <f>MIN(MIN(B1138,Parameters!$B$2)^2, D1137+Parameters!$B$24)</f>
        <v/>
      </c>
      <c r="E1138">
        <f>MIN(D1138, E1139+Parameters!$B$24)</f>
        <v/>
      </c>
    </row>
    <row r="1139">
      <c r="A1139" t="n">
        <v>113.7</v>
      </c>
      <c r="B1139" t="n">
        <v>10</v>
      </c>
      <c r="C1139">
        <f>ROUND(SQRT(E1139),2)</f>
        <v/>
      </c>
      <c r="D1139">
        <f>MIN(MIN(B1139,Parameters!$B$2)^2, D1138+Parameters!$B$24)</f>
        <v/>
      </c>
      <c r="E1139">
        <f>MIN(D1139, E1140+Parameters!$B$24)</f>
        <v/>
      </c>
    </row>
    <row r="1140">
      <c r="A1140" t="n">
        <v>113.8</v>
      </c>
      <c r="B1140" t="n">
        <v>10</v>
      </c>
      <c r="C1140">
        <f>ROUND(SQRT(E1140),2)</f>
        <v/>
      </c>
      <c r="D1140">
        <f>MIN(MIN(B1140,Parameters!$B$2)^2, D1139+Parameters!$B$24)</f>
        <v/>
      </c>
      <c r="E1140">
        <f>MIN(D1140, E1141+Parameters!$B$24)</f>
        <v/>
      </c>
    </row>
    <row r="1141">
      <c r="A1141" t="n">
        <v>113.9</v>
      </c>
      <c r="B1141" t="n">
        <v>10</v>
      </c>
      <c r="C1141">
        <f>ROUND(SQRT(E1141),2)</f>
        <v/>
      </c>
      <c r="D1141">
        <f>MIN(MIN(B1141,Parameters!$B$2)^2, D1140+Parameters!$B$24)</f>
        <v/>
      </c>
      <c r="E1141">
        <f>MIN(D1141, E1142+Parameters!$B$24)</f>
        <v/>
      </c>
    </row>
    <row r="1142">
      <c r="A1142" t="n">
        <v>114</v>
      </c>
      <c r="B1142" t="n">
        <v>10</v>
      </c>
      <c r="C1142">
        <f>ROUND(SQRT(E1142),2)</f>
        <v/>
      </c>
      <c r="D1142">
        <f>MIN(MIN(B1142,Parameters!$B$2)^2, D1141+Parameters!$B$24)</f>
        <v/>
      </c>
      <c r="E1142">
        <f>MIN(D1142, E1143+Parameters!$B$24)</f>
        <v/>
      </c>
    </row>
    <row r="1143">
      <c r="A1143" t="n">
        <v>114.1</v>
      </c>
      <c r="B1143" t="n">
        <v>10</v>
      </c>
      <c r="C1143">
        <f>ROUND(SQRT(E1143),2)</f>
        <v/>
      </c>
      <c r="D1143">
        <f>MIN(MIN(B1143,Parameters!$B$2)^2, D1142+Parameters!$B$24)</f>
        <v/>
      </c>
      <c r="E1143">
        <f>MIN(D1143, E1144+Parameters!$B$24)</f>
        <v/>
      </c>
    </row>
    <row r="1144">
      <c r="A1144" t="n">
        <v>114.2</v>
      </c>
      <c r="B1144" t="n">
        <v>25</v>
      </c>
      <c r="C1144">
        <f>ROUND(SQRT(E1144),2)</f>
        <v/>
      </c>
      <c r="D1144">
        <f>MIN(MIN(B1144,Parameters!$B$2)^2, D1143+Parameters!$B$24)</f>
        <v/>
      </c>
      <c r="E1144">
        <f>MIN(D1144, E1145+Parameters!$B$24)</f>
        <v/>
      </c>
    </row>
    <row r="1145">
      <c r="A1145" t="n">
        <v>114.3</v>
      </c>
      <c r="B1145" t="n">
        <v>25</v>
      </c>
      <c r="C1145">
        <f>ROUND(SQRT(E1145),2)</f>
        <v/>
      </c>
      <c r="D1145">
        <f>MIN(MIN(B1145,Parameters!$B$2)^2, D1144+Parameters!$B$24)</f>
        <v/>
      </c>
      <c r="E1145">
        <f>MIN(D1145, E1146+Parameters!$B$24)</f>
        <v/>
      </c>
    </row>
    <row r="1146">
      <c r="A1146" t="n">
        <v>114.4</v>
      </c>
      <c r="B1146" t="n">
        <v>25</v>
      </c>
      <c r="C1146">
        <f>ROUND(SQRT(E1146),2)</f>
        <v/>
      </c>
      <c r="D1146">
        <f>MIN(MIN(B1146,Parameters!$B$2)^2, D1145+Parameters!$B$24)</f>
        <v/>
      </c>
      <c r="E1146">
        <f>MIN(D1146, E1147+Parameters!$B$24)</f>
        <v/>
      </c>
    </row>
    <row r="1147">
      <c r="A1147" t="n">
        <v>114.5</v>
      </c>
      <c r="B1147" t="n">
        <v>25</v>
      </c>
      <c r="C1147">
        <f>ROUND(SQRT(E1147),2)</f>
        <v/>
      </c>
      <c r="D1147">
        <f>MIN(MIN(B1147,Parameters!$B$2)^2, D1146+Parameters!$B$24)</f>
        <v/>
      </c>
      <c r="E1147">
        <f>MIN(D1147, E1148+Parameters!$B$24)</f>
        <v/>
      </c>
    </row>
    <row r="1148">
      <c r="A1148" t="n">
        <v>114.6</v>
      </c>
      <c r="B1148" t="n">
        <v>25</v>
      </c>
      <c r="C1148">
        <f>ROUND(SQRT(E1148),2)</f>
        <v/>
      </c>
      <c r="D1148">
        <f>MIN(MIN(B1148,Parameters!$B$2)^2, D1147+Parameters!$B$24)</f>
        <v/>
      </c>
      <c r="E1148">
        <f>MIN(D1148, E1149+Parameters!$B$24)</f>
        <v/>
      </c>
    </row>
    <row r="1149">
      <c r="A1149" t="n">
        <v>114.7</v>
      </c>
      <c r="B1149" t="n">
        <v>25</v>
      </c>
      <c r="C1149">
        <f>ROUND(SQRT(E1149),2)</f>
        <v/>
      </c>
      <c r="D1149">
        <f>MIN(MIN(B1149,Parameters!$B$2)^2, D1148+Parameters!$B$24)</f>
        <v/>
      </c>
      <c r="E1149">
        <f>MIN(D1149, E1150+Parameters!$B$24)</f>
        <v/>
      </c>
    </row>
    <row r="1150">
      <c r="A1150" t="n">
        <v>114.8</v>
      </c>
      <c r="B1150" t="n">
        <v>25</v>
      </c>
      <c r="C1150">
        <f>ROUND(SQRT(E1150),2)</f>
        <v/>
      </c>
      <c r="D1150">
        <f>MIN(MIN(B1150,Parameters!$B$2)^2, D1149+Parameters!$B$24)</f>
        <v/>
      </c>
      <c r="E1150">
        <f>MIN(D1150, E1151+Parameters!$B$24)</f>
        <v/>
      </c>
    </row>
    <row r="1151">
      <c r="A1151" t="n">
        <v>114.9</v>
      </c>
      <c r="B1151" t="n">
        <v>25</v>
      </c>
      <c r="C1151">
        <f>ROUND(SQRT(E1151),2)</f>
        <v/>
      </c>
      <c r="D1151">
        <f>MIN(MIN(B1151,Parameters!$B$2)^2, D1150+Parameters!$B$24)</f>
        <v/>
      </c>
      <c r="E1151">
        <f>MIN(D1151, E1152+Parameters!$B$24)</f>
        <v/>
      </c>
    </row>
    <row r="1152">
      <c r="A1152" t="n">
        <v>115</v>
      </c>
      <c r="B1152" t="n">
        <v>25</v>
      </c>
      <c r="C1152">
        <f>ROUND(SQRT(E1152),2)</f>
        <v/>
      </c>
      <c r="D1152">
        <f>MIN(MIN(B1152,Parameters!$B$2)^2, D1151+Parameters!$B$24)</f>
        <v/>
      </c>
      <c r="E1152">
        <f>MIN(D1152, E1153+Parameters!$B$24)</f>
        <v/>
      </c>
    </row>
    <row r="1153">
      <c r="A1153" t="n">
        <v>115.1</v>
      </c>
      <c r="B1153" t="n">
        <v>25</v>
      </c>
      <c r="C1153">
        <f>ROUND(SQRT(E1153),2)</f>
        <v/>
      </c>
      <c r="D1153">
        <f>MIN(MIN(B1153,Parameters!$B$2)^2, D1152+Parameters!$B$24)</f>
        <v/>
      </c>
      <c r="E1153">
        <f>MIN(D1153, E1154+Parameters!$B$24)</f>
        <v/>
      </c>
    </row>
    <row r="1154">
      <c r="A1154" t="n">
        <v>115.2</v>
      </c>
      <c r="B1154" t="n">
        <v>25</v>
      </c>
      <c r="C1154">
        <f>ROUND(SQRT(E1154),2)</f>
        <v/>
      </c>
      <c r="D1154">
        <f>MIN(MIN(B1154,Parameters!$B$2)^2, D1153+Parameters!$B$24)</f>
        <v/>
      </c>
      <c r="E1154">
        <f>MIN(D1154, E1155+Parameters!$B$24)</f>
        <v/>
      </c>
    </row>
    <row r="1155">
      <c r="A1155" t="n">
        <v>115.3</v>
      </c>
      <c r="B1155" t="n">
        <v>25</v>
      </c>
      <c r="C1155">
        <f>ROUND(SQRT(E1155),2)</f>
        <v/>
      </c>
      <c r="D1155">
        <f>MIN(MIN(B1155,Parameters!$B$2)^2, D1154+Parameters!$B$24)</f>
        <v/>
      </c>
      <c r="E1155">
        <f>MIN(D1155, E1156+Parameters!$B$24)</f>
        <v/>
      </c>
    </row>
    <row r="1156">
      <c r="A1156" t="n">
        <v>115.4</v>
      </c>
      <c r="B1156" t="n">
        <v>25</v>
      </c>
      <c r="C1156">
        <f>ROUND(SQRT(E1156),2)</f>
        <v/>
      </c>
      <c r="D1156">
        <f>MIN(MIN(B1156,Parameters!$B$2)^2, D1155+Parameters!$B$24)</f>
        <v/>
      </c>
      <c r="E1156">
        <f>MIN(D1156, E1157+Parameters!$B$24)</f>
        <v/>
      </c>
    </row>
    <row r="1157">
      <c r="A1157" t="n">
        <v>115.5</v>
      </c>
      <c r="B1157" t="n">
        <v>25</v>
      </c>
      <c r="C1157">
        <f>ROUND(SQRT(E1157),2)</f>
        <v/>
      </c>
      <c r="D1157">
        <f>MIN(MIN(B1157,Parameters!$B$2)^2, D1156+Parameters!$B$24)</f>
        <v/>
      </c>
      <c r="E1157">
        <f>MIN(D1157, E1158+Parameters!$B$24)</f>
        <v/>
      </c>
    </row>
    <row r="1158">
      <c r="A1158" t="n">
        <v>115.6</v>
      </c>
      <c r="B1158" t="n">
        <v>25</v>
      </c>
      <c r="C1158">
        <f>ROUND(SQRT(E1158),2)</f>
        <v/>
      </c>
      <c r="D1158">
        <f>MIN(MIN(B1158,Parameters!$B$2)^2, D1157+Parameters!$B$24)</f>
        <v/>
      </c>
      <c r="E1158">
        <f>MIN(D1158, E1159+Parameters!$B$24)</f>
        <v/>
      </c>
    </row>
    <row r="1159">
      <c r="A1159" t="n">
        <v>115.7</v>
      </c>
      <c r="B1159" t="n">
        <v>25</v>
      </c>
      <c r="C1159">
        <f>ROUND(SQRT(E1159),2)</f>
        <v/>
      </c>
      <c r="D1159">
        <f>MIN(MIN(B1159,Parameters!$B$2)^2, D1158+Parameters!$B$24)</f>
        <v/>
      </c>
      <c r="E1159">
        <f>MIN(D1159, E1160+Parameters!$B$24)</f>
        <v/>
      </c>
    </row>
    <row r="1160">
      <c r="A1160" t="n">
        <v>115.8</v>
      </c>
      <c r="B1160" t="n">
        <v>25</v>
      </c>
      <c r="C1160">
        <f>ROUND(SQRT(E1160),2)</f>
        <v/>
      </c>
      <c r="D1160">
        <f>MIN(MIN(B1160,Parameters!$B$2)^2, D1159+Parameters!$B$24)</f>
        <v/>
      </c>
      <c r="E1160">
        <f>MIN(D1160, E1161+Parameters!$B$24)</f>
        <v/>
      </c>
    </row>
    <row r="1161">
      <c r="A1161" t="n">
        <v>115.9</v>
      </c>
      <c r="B1161" t="n">
        <v>25</v>
      </c>
      <c r="C1161">
        <f>ROUND(SQRT(E1161),2)</f>
        <v/>
      </c>
      <c r="D1161">
        <f>MIN(MIN(B1161,Parameters!$B$2)^2, D1160+Parameters!$B$24)</f>
        <v/>
      </c>
      <c r="E1161">
        <f>MIN(D1161, E1162+Parameters!$B$24)</f>
        <v/>
      </c>
    </row>
    <row r="1162">
      <c r="A1162" t="n">
        <v>116</v>
      </c>
      <c r="B1162" t="n">
        <v>25</v>
      </c>
      <c r="C1162">
        <f>ROUND(SQRT(E1162),2)</f>
        <v/>
      </c>
      <c r="D1162">
        <f>MIN(MIN(B1162,Parameters!$B$2)^2, D1161+Parameters!$B$24)</f>
        <v/>
      </c>
      <c r="E1162">
        <f>MIN(D1162, E1163+Parameters!$B$24)</f>
        <v/>
      </c>
    </row>
    <row r="1163">
      <c r="A1163" t="n">
        <v>116.1</v>
      </c>
      <c r="B1163" t="n">
        <v>25</v>
      </c>
      <c r="C1163">
        <f>ROUND(SQRT(E1163),2)</f>
        <v/>
      </c>
      <c r="D1163">
        <f>MIN(MIN(B1163,Parameters!$B$2)^2, D1162+Parameters!$B$24)</f>
        <v/>
      </c>
      <c r="E1163">
        <f>MIN(D1163, E1164+Parameters!$B$24)</f>
        <v/>
      </c>
    </row>
    <row r="1164">
      <c r="A1164" t="n">
        <v>116.2</v>
      </c>
      <c r="B1164" t="n">
        <v>25</v>
      </c>
      <c r="C1164">
        <f>ROUND(SQRT(E1164),2)</f>
        <v/>
      </c>
      <c r="D1164">
        <f>MIN(MIN(B1164,Parameters!$B$2)^2, D1163+Parameters!$B$24)</f>
        <v/>
      </c>
      <c r="E1164">
        <f>MIN(D1164, E1165+Parameters!$B$24)</f>
        <v/>
      </c>
    </row>
    <row r="1165">
      <c r="A1165" t="n">
        <v>116.3</v>
      </c>
      <c r="B1165" t="n">
        <v>25</v>
      </c>
      <c r="C1165">
        <f>ROUND(SQRT(E1165),2)</f>
        <v/>
      </c>
      <c r="D1165">
        <f>MIN(MIN(B1165,Parameters!$B$2)^2, D1164+Parameters!$B$24)</f>
        <v/>
      </c>
      <c r="E1165">
        <f>MIN(D1165, E1166+Parameters!$B$24)</f>
        <v/>
      </c>
    </row>
    <row r="1166">
      <c r="A1166" t="n">
        <v>116.4</v>
      </c>
      <c r="B1166" t="n">
        <v>25</v>
      </c>
      <c r="C1166">
        <f>ROUND(SQRT(E1166),2)</f>
        <v/>
      </c>
      <c r="D1166">
        <f>MIN(MIN(B1166,Parameters!$B$2)^2, D1165+Parameters!$B$24)</f>
        <v/>
      </c>
      <c r="E1166">
        <f>MIN(D1166, E1167+Parameters!$B$24)</f>
        <v/>
      </c>
    </row>
    <row r="1167">
      <c r="A1167" t="n">
        <v>116.5</v>
      </c>
      <c r="B1167" t="n">
        <v>25</v>
      </c>
      <c r="C1167">
        <f>ROUND(SQRT(E1167),2)</f>
        <v/>
      </c>
      <c r="D1167">
        <f>MIN(MIN(B1167,Parameters!$B$2)^2, D1166+Parameters!$B$24)</f>
        <v/>
      </c>
      <c r="E1167">
        <f>MIN(D1167, E1168+Parameters!$B$24)</f>
        <v/>
      </c>
    </row>
    <row r="1168">
      <c r="A1168" t="n">
        <v>116.6</v>
      </c>
      <c r="B1168" t="n">
        <v>25</v>
      </c>
      <c r="C1168">
        <f>ROUND(SQRT(E1168),2)</f>
        <v/>
      </c>
      <c r="D1168">
        <f>MIN(MIN(B1168,Parameters!$B$2)^2, D1167+Parameters!$B$24)</f>
        <v/>
      </c>
      <c r="E1168">
        <f>MIN(D1168, E1169+Parameters!$B$24)</f>
        <v/>
      </c>
    </row>
    <row r="1169">
      <c r="A1169" t="n">
        <v>116.7</v>
      </c>
      <c r="B1169" t="n">
        <v>25</v>
      </c>
      <c r="C1169">
        <f>ROUND(SQRT(E1169),2)</f>
        <v/>
      </c>
      <c r="D1169">
        <f>MIN(MIN(B1169,Parameters!$B$2)^2, D1168+Parameters!$B$24)</f>
        <v/>
      </c>
      <c r="E1169">
        <f>MIN(D1169, E1170+Parameters!$B$24)</f>
        <v/>
      </c>
    </row>
    <row r="1170">
      <c r="A1170" t="n">
        <v>116.8</v>
      </c>
      <c r="B1170" t="n">
        <v>25</v>
      </c>
      <c r="C1170">
        <f>ROUND(SQRT(E1170),2)</f>
        <v/>
      </c>
      <c r="D1170">
        <f>MIN(MIN(B1170,Parameters!$B$2)^2, D1169+Parameters!$B$24)</f>
        <v/>
      </c>
      <c r="E1170">
        <f>MIN(D1170, E1171+Parameters!$B$24)</f>
        <v/>
      </c>
    </row>
    <row r="1171">
      <c r="A1171" t="n">
        <v>116.9</v>
      </c>
      <c r="B1171" t="n">
        <v>25</v>
      </c>
      <c r="C1171">
        <f>ROUND(SQRT(E1171),2)</f>
        <v/>
      </c>
      <c r="D1171">
        <f>MIN(MIN(B1171,Parameters!$B$2)^2, D1170+Parameters!$B$24)</f>
        <v/>
      </c>
      <c r="E1171">
        <f>MIN(D1171, E1172+Parameters!$B$24)</f>
        <v/>
      </c>
    </row>
    <row r="1172">
      <c r="A1172" t="n">
        <v>117</v>
      </c>
      <c r="B1172" t="n">
        <v>25</v>
      </c>
      <c r="C1172">
        <f>ROUND(SQRT(E1172),2)</f>
        <v/>
      </c>
      <c r="D1172">
        <f>MIN(MIN(B1172,Parameters!$B$2)^2, D1171+Parameters!$B$24)</f>
        <v/>
      </c>
      <c r="E1172">
        <f>MIN(D1172, E1173+Parameters!$B$24)</f>
        <v/>
      </c>
    </row>
    <row r="1173">
      <c r="A1173" t="n">
        <v>117.1</v>
      </c>
      <c r="B1173" t="n">
        <v>25</v>
      </c>
      <c r="C1173">
        <f>ROUND(SQRT(E1173),2)</f>
        <v/>
      </c>
      <c r="D1173">
        <f>MIN(MIN(B1173,Parameters!$B$2)^2, D1172+Parameters!$B$24)</f>
        <v/>
      </c>
      <c r="E1173">
        <f>MIN(D1173, E1174+Parameters!$B$24)</f>
        <v/>
      </c>
    </row>
    <row r="1174">
      <c r="A1174" t="n">
        <v>117.2</v>
      </c>
      <c r="B1174" t="n">
        <v>25</v>
      </c>
      <c r="C1174">
        <f>ROUND(SQRT(E1174),2)</f>
        <v/>
      </c>
      <c r="D1174">
        <f>MIN(MIN(B1174,Parameters!$B$2)^2, D1173+Parameters!$B$24)</f>
        <v/>
      </c>
      <c r="E1174">
        <f>MIN(D1174, E1175+Parameters!$B$24)</f>
        <v/>
      </c>
    </row>
    <row r="1175">
      <c r="A1175" t="n">
        <v>117.3</v>
      </c>
      <c r="B1175" t="n">
        <v>25</v>
      </c>
      <c r="C1175">
        <f>ROUND(SQRT(E1175),2)</f>
        <v/>
      </c>
      <c r="D1175">
        <f>MIN(MIN(B1175,Parameters!$B$2)^2, D1174+Parameters!$B$24)</f>
        <v/>
      </c>
      <c r="E1175">
        <f>MIN(D1175, E1176+Parameters!$B$24)</f>
        <v/>
      </c>
    </row>
    <row r="1176">
      <c r="A1176" t="n">
        <v>117.4</v>
      </c>
      <c r="B1176" t="n">
        <v>25</v>
      </c>
      <c r="C1176">
        <f>ROUND(SQRT(E1176),2)</f>
        <v/>
      </c>
      <c r="D1176">
        <f>MIN(MIN(B1176,Parameters!$B$2)^2, D1175+Parameters!$B$24)</f>
        <v/>
      </c>
      <c r="E1176">
        <f>MIN(D1176, E1177+Parameters!$B$24)</f>
        <v/>
      </c>
    </row>
    <row r="1177">
      <c r="A1177" t="n">
        <v>117.5</v>
      </c>
      <c r="B1177" t="n">
        <v>25</v>
      </c>
      <c r="C1177">
        <f>ROUND(SQRT(E1177),2)</f>
        <v/>
      </c>
      <c r="D1177">
        <f>MIN(MIN(B1177,Parameters!$B$2)^2, D1176+Parameters!$B$24)</f>
        <v/>
      </c>
      <c r="E1177">
        <f>MIN(D1177, E1178+Parameters!$B$24)</f>
        <v/>
      </c>
    </row>
    <row r="1178">
      <c r="A1178" t="n">
        <v>117.6</v>
      </c>
      <c r="B1178" t="n">
        <v>25</v>
      </c>
      <c r="C1178">
        <f>ROUND(SQRT(E1178),2)</f>
        <v/>
      </c>
      <c r="D1178">
        <f>MIN(MIN(B1178,Parameters!$B$2)^2, D1177+Parameters!$B$24)</f>
        <v/>
      </c>
      <c r="E1178">
        <f>MIN(D1178, E1179+Parameters!$B$24)</f>
        <v/>
      </c>
    </row>
    <row r="1179">
      <c r="A1179" t="n">
        <v>117.7</v>
      </c>
      <c r="B1179" t="n">
        <v>25</v>
      </c>
      <c r="C1179">
        <f>ROUND(SQRT(E1179),2)</f>
        <v/>
      </c>
      <c r="D1179">
        <f>MIN(MIN(B1179,Parameters!$B$2)^2, D1178+Parameters!$B$24)</f>
        <v/>
      </c>
      <c r="E1179">
        <f>MIN(D1179, E1180+Parameters!$B$24)</f>
        <v/>
      </c>
    </row>
    <row r="1180">
      <c r="A1180" t="n">
        <v>117.8</v>
      </c>
      <c r="B1180" t="n">
        <v>25</v>
      </c>
      <c r="C1180">
        <f>ROUND(SQRT(E1180),2)</f>
        <v/>
      </c>
      <c r="D1180">
        <f>MIN(MIN(B1180,Parameters!$B$2)^2, D1179+Parameters!$B$24)</f>
        <v/>
      </c>
      <c r="E1180">
        <f>MIN(D1180, E1181+Parameters!$B$24)</f>
        <v/>
      </c>
    </row>
    <row r="1181">
      <c r="A1181" t="n">
        <v>117.9</v>
      </c>
      <c r="B1181" t="n">
        <v>25</v>
      </c>
      <c r="C1181">
        <f>ROUND(SQRT(E1181),2)</f>
        <v/>
      </c>
      <c r="D1181">
        <f>MIN(MIN(B1181,Parameters!$B$2)^2, D1180+Parameters!$B$24)</f>
        <v/>
      </c>
      <c r="E1181">
        <f>MIN(D1181, E1182+Parameters!$B$24)</f>
        <v/>
      </c>
    </row>
    <row r="1182">
      <c r="A1182" t="n">
        <v>118</v>
      </c>
      <c r="B1182" t="n">
        <v>25</v>
      </c>
      <c r="C1182">
        <f>ROUND(SQRT(E1182),2)</f>
        <v/>
      </c>
      <c r="D1182">
        <f>MIN(MIN(B1182,Parameters!$B$2)^2, D1181+Parameters!$B$24)</f>
        <v/>
      </c>
      <c r="E1182">
        <f>MIN(D1182, E1183+Parameters!$B$24)</f>
        <v/>
      </c>
    </row>
    <row r="1183">
      <c r="A1183" t="n">
        <v>118.1</v>
      </c>
      <c r="B1183" t="n">
        <v>25</v>
      </c>
      <c r="C1183">
        <f>ROUND(SQRT(E1183),2)</f>
        <v/>
      </c>
      <c r="D1183">
        <f>MIN(MIN(B1183,Parameters!$B$2)^2, D1182+Parameters!$B$24)</f>
        <v/>
      </c>
      <c r="E1183">
        <f>MIN(D1183, E1184+Parameters!$B$24)</f>
        <v/>
      </c>
    </row>
    <row r="1184">
      <c r="A1184" t="n">
        <v>118.2</v>
      </c>
      <c r="B1184" t="n">
        <v>25</v>
      </c>
      <c r="C1184">
        <f>ROUND(SQRT(E1184),2)</f>
        <v/>
      </c>
      <c r="D1184">
        <f>MIN(MIN(B1184,Parameters!$B$2)^2, D1183+Parameters!$B$24)</f>
        <v/>
      </c>
      <c r="E1184">
        <f>MIN(D1184, E1185+Parameters!$B$24)</f>
        <v/>
      </c>
    </row>
    <row r="1185">
      <c r="A1185" t="n">
        <v>118.3</v>
      </c>
      <c r="B1185" t="n">
        <v>25</v>
      </c>
      <c r="C1185">
        <f>ROUND(SQRT(E1185),2)</f>
        <v/>
      </c>
      <c r="D1185">
        <f>MIN(MIN(B1185,Parameters!$B$2)^2, D1184+Parameters!$B$24)</f>
        <v/>
      </c>
      <c r="E1185">
        <f>MIN(D1185, E1186+Parameters!$B$24)</f>
        <v/>
      </c>
    </row>
    <row r="1186">
      <c r="A1186" t="n">
        <v>118.4</v>
      </c>
      <c r="B1186" t="n">
        <v>25</v>
      </c>
      <c r="C1186">
        <f>ROUND(SQRT(E1186),2)</f>
        <v/>
      </c>
      <c r="D1186">
        <f>MIN(MIN(B1186,Parameters!$B$2)^2, D1185+Parameters!$B$24)</f>
        <v/>
      </c>
      <c r="E1186">
        <f>MIN(D1186, E1187+Parameters!$B$24)</f>
        <v/>
      </c>
    </row>
    <row r="1187">
      <c r="A1187" t="n">
        <v>118.5</v>
      </c>
      <c r="B1187" t="n">
        <v>25</v>
      </c>
      <c r="C1187">
        <f>ROUND(SQRT(E1187),2)</f>
        <v/>
      </c>
      <c r="D1187">
        <f>MIN(MIN(B1187,Parameters!$B$2)^2, D1186+Parameters!$B$24)</f>
        <v/>
      </c>
      <c r="E1187">
        <f>MIN(D1187, E1188+Parameters!$B$24)</f>
        <v/>
      </c>
    </row>
    <row r="1188">
      <c r="A1188" t="n">
        <v>118.6</v>
      </c>
      <c r="B1188" t="n">
        <v>25</v>
      </c>
      <c r="C1188">
        <f>ROUND(SQRT(E1188),2)</f>
        <v/>
      </c>
      <c r="D1188">
        <f>MIN(MIN(B1188,Parameters!$B$2)^2, D1187+Parameters!$B$24)</f>
        <v/>
      </c>
      <c r="E1188">
        <f>MIN(D1188, E1189+Parameters!$B$24)</f>
        <v/>
      </c>
    </row>
    <row r="1189">
      <c r="A1189" t="n">
        <v>118.7</v>
      </c>
      <c r="B1189" t="n">
        <v>25</v>
      </c>
      <c r="C1189">
        <f>ROUND(SQRT(E1189),2)</f>
        <v/>
      </c>
      <c r="D1189">
        <f>MIN(MIN(B1189,Parameters!$B$2)^2, D1188+Parameters!$B$24)</f>
        <v/>
      </c>
      <c r="E1189">
        <f>MIN(D1189, E1190+Parameters!$B$24)</f>
        <v/>
      </c>
    </row>
    <row r="1190">
      <c r="A1190" t="n">
        <v>118.8</v>
      </c>
      <c r="B1190" t="n">
        <v>25</v>
      </c>
      <c r="C1190">
        <f>ROUND(SQRT(E1190),2)</f>
        <v/>
      </c>
      <c r="D1190">
        <f>MIN(MIN(B1190,Parameters!$B$2)^2, D1189+Parameters!$B$24)</f>
        <v/>
      </c>
      <c r="E1190">
        <f>MIN(D1190, E1191+Parameters!$B$24)</f>
        <v/>
      </c>
    </row>
    <row r="1191">
      <c r="A1191" t="n">
        <v>118.9</v>
      </c>
      <c r="B1191" t="n">
        <v>25</v>
      </c>
      <c r="C1191">
        <f>ROUND(SQRT(E1191),2)</f>
        <v/>
      </c>
      <c r="D1191">
        <f>MIN(MIN(B1191,Parameters!$B$2)^2, D1190+Parameters!$B$24)</f>
        <v/>
      </c>
      <c r="E1191">
        <f>MIN(D1191, E1192+Parameters!$B$24)</f>
        <v/>
      </c>
    </row>
    <row r="1192">
      <c r="A1192" t="n">
        <v>119</v>
      </c>
      <c r="B1192" t="n">
        <v>25</v>
      </c>
      <c r="C1192">
        <f>ROUND(SQRT(E1192),2)</f>
        <v/>
      </c>
      <c r="D1192">
        <f>MIN(MIN(B1192,Parameters!$B$2)^2, D1191+Parameters!$B$24)</f>
        <v/>
      </c>
      <c r="E1192">
        <f>MIN(D1192, E1193+Parameters!$B$24)</f>
        <v/>
      </c>
    </row>
    <row r="1193">
      <c r="A1193" t="n">
        <v>119.1</v>
      </c>
      <c r="B1193" t="n">
        <v>25</v>
      </c>
      <c r="C1193">
        <f>ROUND(SQRT(E1193),2)</f>
        <v/>
      </c>
      <c r="D1193">
        <f>MIN(MIN(B1193,Parameters!$B$2)^2, D1192+Parameters!$B$24)</f>
        <v/>
      </c>
      <c r="E1193">
        <f>MIN(D1193, E1194+Parameters!$B$24)</f>
        <v/>
      </c>
    </row>
    <row r="1194">
      <c r="A1194" t="n">
        <v>119.2</v>
      </c>
      <c r="B1194" t="n">
        <v>25</v>
      </c>
      <c r="C1194">
        <f>ROUND(SQRT(E1194),2)</f>
        <v/>
      </c>
      <c r="D1194">
        <f>MIN(MIN(B1194,Parameters!$B$2)^2, D1193+Parameters!$B$24)</f>
        <v/>
      </c>
      <c r="E1194">
        <f>MIN(D1194, E1195+Parameters!$B$24)</f>
        <v/>
      </c>
    </row>
    <row r="1195">
      <c r="A1195" t="n">
        <v>119.3</v>
      </c>
      <c r="B1195" t="n">
        <v>25</v>
      </c>
      <c r="C1195">
        <f>ROUND(SQRT(E1195),2)</f>
        <v/>
      </c>
      <c r="D1195">
        <f>MIN(MIN(B1195,Parameters!$B$2)^2, D1194+Parameters!$B$24)</f>
        <v/>
      </c>
      <c r="E1195">
        <f>MIN(D1195, E1196+Parameters!$B$24)</f>
        <v/>
      </c>
    </row>
    <row r="1196">
      <c r="A1196" t="n">
        <v>119.4</v>
      </c>
      <c r="B1196" t="n">
        <v>25</v>
      </c>
      <c r="C1196">
        <f>ROUND(SQRT(E1196),2)</f>
        <v/>
      </c>
      <c r="D1196">
        <f>MIN(MIN(B1196,Parameters!$B$2)^2, D1195+Parameters!$B$24)</f>
        <v/>
      </c>
      <c r="E1196">
        <f>MIN(D1196, E1197+Parameters!$B$24)</f>
        <v/>
      </c>
    </row>
    <row r="1197">
      <c r="A1197" t="n">
        <v>119.5</v>
      </c>
      <c r="B1197" t="n">
        <v>25</v>
      </c>
      <c r="C1197">
        <f>ROUND(SQRT(E1197),2)</f>
        <v/>
      </c>
      <c r="D1197">
        <f>MIN(MIN(B1197,Parameters!$B$2)^2, D1196+Parameters!$B$24)</f>
        <v/>
      </c>
      <c r="E1197">
        <f>MIN(D1197, E1198+Parameters!$B$24)</f>
        <v/>
      </c>
    </row>
    <row r="1198">
      <c r="A1198" t="n">
        <v>119.6</v>
      </c>
      <c r="B1198" t="n">
        <v>25</v>
      </c>
      <c r="C1198">
        <f>ROUND(SQRT(E1198),2)</f>
        <v/>
      </c>
      <c r="D1198">
        <f>MIN(MIN(B1198,Parameters!$B$2)^2, D1197+Parameters!$B$24)</f>
        <v/>
      </c>
      <c r="E1198">
        <f>MIN(D1198, E1199+Parameters!$B$24)</f>
        <v/>
      </c>
    </row>
    <row r="1199">
      <c r="A1199" t="n">
        <v>119.7</v>
      </c>
      <c r="B1199" t="n">
        <v>25</v>
      </c>
      <c r="C1199">
        <f>ROUND(SQRT(E1199),2)</f>
        <v/>
      </c>
      <c r="D1199">
        <f>MIN(MIN(B1199,Parameters!$B$2)^2, D1198+Parameters!$B$24)</f>
        <v/>
      </c>
      <c r="E1199">
        <f>MIN(D1199, E1200+Parameters!$B$24)</f>
        <v/>
      </c>
    </row>
    <row r="1200">
      <c r="A1200" t="n">
        <v>119.8</v>
      </c>
      <c r="B1200" t="n">
        <v>25</v>
      </c>
      <c r="C1200">
        <f>ROUND(SQRT(E1200),2)</f>
        <v/>
      </c>
      <c r="D1200">
        <f>MIN(MIN(B1200,Parameters!$B$2)^2, D1199+Parameters!$B$24)</f>
        <v/>
      </c>
      <c r="E1200">
        <f>MIN(D1200, E1201+Parameters!$B$24)</f>
        <v/>
      </c>
    </row>
    <row r="1201">
      <c r="A1201" t="n">
        <v>119.9</v>
      </c>
      <c r="B1201" t="n">
        <v>25</v>
      </c>
      <c r="C1201">
        <f>ROUND(SQRT(E1201),2)</f>
        <v/>
      </c>
      <c r="D1201">
        <f>MIN(MIN(B1201,Parameters!$B$2)^2, D1200+Parameters!$B$24)</f>
        <v/>
      </c>
      <c r="E1201">
        <f>MIN(D1201, E1202+Parameters!$B$24)</f>
        <v/>
      </c>
    </row>
    <row r="1202">
      <c r="A1202" t="n">
        <v>120</v>
      </c>
      <c r="B1202" t="n">
        <v>25</v>
      </c>
      <c r="C1202">
        <f>ROUND(SQRT(E1202),2)</f>
        <v/>
      </c>
      <c r="D1202">
        <f>MIN(MIN(B1202,Parameters!$B$2)^2, D1201+Parameters!$B$24)</f>
        <v/>
      </c>
      <c r="E1202">
        <f>MIN(D1202, E1203+Parameters!$B$24)</f>
        <v/>
      </c>
    </row>
    <row r="1203">
      <c r="A1203" t="n">
        <v>120.1</v>
      </c>
      <c r="B1203" t="n">
        <v>25</v>
      </c>
      <c r="C1203">
        <f>ROUND(SQRT(E1203),2)</f>
        <v/>
      </c>
      <c r="D1203">
        <f>MIN(MIN(B1203,Parameters!$B$2)^2, D1202+Parameters!$B$24)</f>
        <v/>
      </c>
      <c r="E1203">
        <f>MIN(D1203, E1204+Parameters!$B$24)</f>
        <v/>
      </c>
    </row>
    <row r="1204">
      <c r="A1204" t="n">
        <v>120.2</v>
      </c>
      <c r="B1204" t="n">
        <v>25</v>
      </c>
      <c r="C1204">
        <f>ROUND(SQRT(E1204),2)</f>
        <v/>
      </c>
      <c r="D1204">
        <f>MIN(MIN(B1204,Parameters!$B$2)^2, D1203+Parameters!$B$24)</f>
        <v/>
      </c>
      <c r="E1204">
        <f>MIN(D1204, E1205+Parameters!$B$24)</f>
        <v/>
      </c>
    </row>
    <row r="1205">
      <c r="A1205" t="n">
        <v>120.3</v>
      </c>
      <c r="B1205" t="n">
        <v>25</v>
      </c>
      <c r="C1205">
        <f>ROUND(SQRT(E1205),2)</f>
        <v/>
      </c>
      <c r="D1205">
        <f>MIN(MIN(B1205,Parameters!$B$2)^2, D1204+Parameters!$B$24)</f>
        <v/>
      </c>
      <c r="E1205">
        <f>MIN(D1205, E1206+Parameters!$B$24)</f>
        <v/>
      </c>
    </row>
    <row r="1206">
      <c r="A1206" t="n">
        <v>120.4</v>
      </c>
      <c r="B1206" t="n">
        <v>25</v>
      </c>
      <c r="C1206">
        <f>ROUND(SQRT(E1206),2)</f>
        <v/>
      </c>
      <c r="D1206">
        <f>MIN(MIN(B1206,Parameters!$B$2)^2, D1205+Parameters!$B$24)</f>
        <v/>
      </c>
      <c r="E1206">
        <f>MIN(D1206, E1207+Parameters!$B$24)</f>
        <v/>
      </c>
    </row>
    <row r="1207">
      <c r="A1207" t="n">
        <v>120.5</v>
      </c>
      <c r="B1207" t="n">
        <v>25</v>
      </c>
      <c r="C1207">
        <f>ROUND(SQRT(E1207),2)</f>
        <v/>
      </c>
      <c r="D1207">
        <f>MIN(MIN(B1207,Parameters!$B$2)^2, D1206+Parameters!$B$24)</f>
        <v/>
      </c>
      <c r="E1207">
        <f>MIN(D1207, E1208+Parameters!$B$24)</f>
        <v/>
      </c>
    </row>
    <row r="1208">
      <c r="A1208" t="n">
        <v>120.6</v>
      </c>
      <c r="B1208" t="n">
        <v>25</v>
      </c>
      <c r="C1208">
        <f>ROUND(SQRT(E1208),2)</f>
        <v/>
      </c>
      <c r="D1208">
        <f>MIN(MIN(B1208,Parameters!$B$2)^2, D1207+Parameters!$B$24)</f>
        <v/>
      </c>
      <c r="E1208">
        <f>MIN(D1208, E1209+Parameters!$B$24)</f>
        <v/>
      </c>
    </row>
    <row r="1209">
      <c r="A1209" t="n">
        <v>120.7</v>
      </c>
      <c r="B1209" t="n">
        <v>25</v>
      </c>
      <c r="C1209">
        <f>ROUND(SQRT(E1209),2)</f>
        <v/>
      </c>
      <c r="D1209">
        <f>MIN(MIN(B1209,Parameters!$B$2)^2, D1208+Parameters!$B$24)</f>
        <v/>
      </c>
      <c r="E1209">
        <f>MIN(D1209, E1210+Parameters!$B$24)</f>
        <v/>
      </c>
    </row>
    <row r="1210">
      <c r="A1210" t="n">
        <v>120.8</v>
      </c>
      <c r="B1210" t="n">
        <v>25</v>
      </c>
      <c r="C1210">
        <f>ROUND(SQRT(E1210),2)</f>
        <v/>
      </c>
      <c r="D1210">
        <f>MIN(MIN(B1210,Parameters!$B$2)^2, D1209+Parameters!$B$24)</f>
        <v/>
      </c>
      <c r="E1210">
        <f>MIN(D1210, E1211+Parameters!$B$24)</f>
        <v/>
      </c>
    </row>
    <row r="1211">
      <c r="A1211" t="n">
        <v>120.9</v>
      </c>
      <c r="B1211" t="n">
        <v>25</v>
      </c>
      <c r="C1211">
        <f>ROUND(SQRT(E1211),2)</f>
        <v/>
      </c>
      <c r="D1211">
        <f>MIN(MIN(B1211,Parameters!$B$2)^2, D1210+Parameters!$B$24)</f>
        <v/>
      </c>
      <c r="E1211">
        <f>MIN(D1211, E1212+Parameters!$B$24)</f>
        <v/>
      </c>
    </row>
    <row r="1212">
      <c r="A1212" t="n">
        <v>121</v>
      </c>
      <c r="B1212" t="n">
        <v>25</v>
      </c>
      <c r="C1212">
        <f>ROUND(SQRT(E1212),2)</f>
        <v/>
      </c>
      <c r="D1212">
        <f>MIN(MIN(B1212,Parameters!$B$2)^2, D1211+Parameters!$B$24)</f>
        <v/>
      </c>
      <c r="E1212">
        <f>MIN(D1212, E1213+Parameters!$B$24)</f>
        <v/>
      </c>
    </row>
    <row r="1213">
      <c r="A1213" t="n">
        <v>121.1</v>
      </c>
      <c r="B1213" t="n">
        <v>25</v>
      </c>
      <c r="C1213">
        <f>ROUND(SQRT(E1213),2)</f>
        <v/>
      </c>
      <c r="D1213">
        <f>MIN(MIN(B1213,Parameters!$B$2)^2, D1212+Parameters!$B$24)</f>
        <v/>
      </c>
      <c r="E1213">
        <f>MIN(D1213, E1214+Parameters!$B$24)</f>
        <v/>
      </c>
    </row>
    <row r="1214">
      <c r="A1214" t="n">
        <v>121.2</v>
      </c>
      <c r="B1214" t="n">
        <v>25</v>
      </c>
      <c r="C1214">
        <f>ROUND(SQRT(E1214),2)</f>
        <v/>
      </c>
      <c r="D1214">
        <f>MIN(MIN(B1214,Parameters!$B$2)^2, D1213+Parameters!$B$24)</f>
        <v/>
      </c>
      <c r="E1214">
        <f>MIN(D1214, E1215+Parameters!$B$24)</f>
        <v/>
      </c>
    </row>
    <row r="1215">
      <c r="A1215" t="n">
        <v>121.3</v>
      </c>
      <c r="B1215" t="n">
        <v>25</v>
      </c>
      <c r="C1215">
        <f>ROUND(SQRT(E1215),2)</f>
        <v/>
      </c>
      <c r="D1215">
        <f>MIN(MIN(B1215,Parameters!$B$2)^2, D1214+Parameters!$B$24)</f>
        <v/>
      </c>
      <c r="E1215">
        <f>MIN(D1215, E1216+Parameters!$B$24)</f>
        <v/>
      </c>
    </row>
    <row r="1216">
      <c r="A1216" t="n">
        <v>121.4</v>
      </c>
      <c r="B1216" t="n">
        <v>25</v>
      </c>
      <c r="C1216">
        <f>ROUND(SQRT(E1216),2)</f>
        <v/>
      </c>
      <c r="D1216">
        <f>MIN(MIN(B1216,Parameters!$B$2)^2, D1215+Parameters!$B$24)</f>
        <v/>
      </c>
      <c r="E1216">
        <f>MIN(D1216, E1217+Parameters!$B$24)</f>
        <v/>
      </c>
    </row>
    <row r="1217">
      <c r="A1217" t="n">
        <v>121.5</v>
      </c>
      <c r="B1217" t="n">
        <v>25</v>
      </c>
      <c r="C1217">
        <f>ROUND(SQRT(E1217),2)</f>
        <v/>
      </c>
      <c r="D1217">
        <f>MIN(MIN(B1217,Parameters!$B$2)^2, D1216+Parameters!$B$24)</f>
        <v/>
      </c>
      <c r="E1217">
        <f>MIN(D1217, E1218+Parameters!$B$24)</f>
        <v/>
      </c>
    </row>
    <row r="1218">
      <c r="A1218" t="n">
        <v>121.6</v>
      </c>
      <c r="B1218" t="n">
        <v>25</v>
      </c>
      <c r="C1218">
        <f>ROUND(SQRT(E1218),2)</f>
        <v/>
      </c>
      <c r="D1218">
        <f>MIN(MIN(B1218,Parameters!$B$2)^2, D1217+Parameters!$B$24)</f>
        <v/>
      </c>
      <c r="E1218">
        <f>MIN(D1218, E1219+Parameters!$B$24)</f>
        <v/>
      </c>
    </row>
    <row r="1219">
      <c r="A1219" t="n">
        <v>121.7</v>
      </c>
      <c r="B1219" t="n">
        <v>25</v>
      </c>
      <c r="C1219">
        <f>ROUND(SQRT(E1219),2)</f>
        <v/>
      </c>
      <c r="D1219">
        <f>MIN(MIN(B1219,Parameters!$B$2)^2, D1218+Parameters!$B$24)</f>
        <v/>
      </c>
      <c r="E1219">
        <f>MIN(D1219, E1220+Parameters!$B$24)</f>
        <v/>
      </c>
    </row>
    <row r="1220">
      <c r="A1220" t="n">
        <v>121.8</v>
      </c>
      <c r="B1220" t="n">
        <v>25</v>
      </c>
      <c r="C1220">
        <f>ROUND(SQRT(E1220),2)</f>
        <v/>
      </c>
      <c r="D1220">
        <f>MIN(MIN(B1220,Parameters!$B$2)^2, D1219+Parameters!$B$24)</f>
        <v/>
      </c>
      <c r="E1220">
        <f>MIN(D1220, E1221+Parameters!$B$24)</f>
        <v/>
      </c>
    </row>
    <row r="1221">
      <c r="A1221" t="n">
        <v>121.9</v>
      </c>
      <c r="B1221" t="n">
        <v>25</v>
      </c>
      <c r="C1221">
        <f>ROUND(SQRT(E1221),2)</f>
        <v/>
      </c>
      <c r="D1221">
        <f>MIN(MIN(B1221,Parameters!$B$2)^2, D1220+Parameters!$B$24)</f>
        <v/>
      </c>
      <c r="E1221">
        <f>MIN(D1221, E1222+Parameters!$B$24)</f>
        <v/>
      </c>
    </row>
    <row r="1222">
      <c r="A1222" t="n">
        <v>122</v>
      </c>
      <c r="B1222" t="n">
        <v>25</v>
      </c>
      <c r="C1222">
        <f>ROUND(SQRT(E1222),2)</f>
        <v/>
      </c>
      <c r="D1222">
        <f>MIN(MIN(B1222,Parameters!$B$2)^2, D1221+Parameters!$B$24)</f>
        <v/>
      </c>
      <c r="E1222">
        <f>MIN(D1222, E1223+Parameters!$B$24)</f>
        <v/>
      </c>
    </row>
    <row r="1223">
      <c r="A1223" t="n">
        <v>122.1</v>
      </c>
      <c r="B1223" t="n">
        <v>25</v>
      </c>
      <c r="C1223">
        <f>ROUND(SQRT(E1223),2)</f>
        <v/>
      </c>
      <c r="D1223">
        <f>MIN(MIN(B1223,Parameters!$B$2)^2, D1222+Parameters!$B$24)</f>
        <v/>
      </c>
      <c r="E1223">
        <f>MIN(D1223, E1224+Parameters!$B$24)</f>
        <v/>
      </c>
    </row>
    <row r="1224">
      <c r="A1224" t="n">
        <v>122.2</v>
      </c>
      <c r="B1224" t="n">
        <v>25</v>
      </c>
      <c r="C1224">
        <f>ROUND(SQRT(E1224),2)</f>
        <v/>
      </c>
      <c r="D1224">
        <f>MIN(MIN(B1224,Parameters!$B$2)^2, D1223+Parameters!$B$24)</f>
        <v/>
      </c>
      <c r="E1224">
        <f>MIN(D1224, E1225+Parameters!$B$24)</f>
        <v/>
      </c>
    </row>
    <row r="1225">
      <c r="A1225" t="n">
        <v>122.3</v>
      </c>
      <c r="B1225" t="n">
        <v>25</v>
      </c>
      <c r="C1225">
        <f>ROUND(SQRT(E1225),2)</f>
        <v/>
      </c>
      <c r="D1225">
        <f>MIN(MIN(B1225,Parameters!$B$2)^2, D1224+Parameters!$B$24)</f>
        <v/>
      </c>
      <c r="E1225">
        <f>MIN(D1225, E1226+Parameters!$B$24)</f>
        <v/>
      </c>
    </row>
    <row r="1226">
      <c r="A1226" t="n">
        <v>122.4</v>
      </c>
      <c r="B1226" t="n">
        <v>25</v>
      </c>
      <c r="C1226">
        <f>ROUND(SQRT(E1226),2)</f>
        <v/>
      </c>
      <c r="D1226">
        <f>MIN(MIN(B1226,Parameters!$B$2)^2, D1225+Parameters!$B$24)</f>
        <v/>
      </c>
      <c r="E1226">
        <f>MIN(D1226, E1227+Parameters!$B$24)</f>
        <v/>
      </c>
    </row>
    <row r="1227">
      <c r="A1227" t="n">
        <v>122.5</v>
      </c>
      <c r="B1227" t="n">
        <v>25</v>
      </c>
      <c r="C1227">
        <f>ROUND(SQRT(E1227),2)</f>
        <v/>
      </c>
      <c r="D1227">
        <f>MIN(MIN(B1227,Parameters!$B$2)^2, D1226+Parameters!$B$24)</f>
        <v/>
      </c>
      <c r="E1227">
        <f>MIN(D1227, E1228+Parameters!$B$24)</f>
        <v/>
      </c>
    </row>
    <row r="1228">
      <c r="A1228" t="n">
        <v>122.6</v>
      </c>
      <c r="B1228" t="n">
        <v>25</v>
      </c>
      <c r="C1228">
        <f>ROUND(SQRT(E1228),2)</f>
        <v/>
      </c>
      <c r="D1228">
        <f>MIN(MIN(B1228,Parameters!$B$2)^2, D1227+Parameters!$B$24)</f>
        <v/>
      </c>
      <c r="E1228">
        <f>MIN(D1228, E1229+Parameters!$B$24)</f>
        <v/>
      </c>
    </row>
    <row r="1229">
      <c r="A1229" t="n">
        <v>122.7</v>
      </c>
      <c r="B1229" t="n">
        <v>25</v>
      </c>
      <c r="C1229">
        <f>ROUND(SQRT(E1229),2)</f>
        <v/>
      </c>
      <c r="D1229">
        <f>MIN(MIN(B1229,Parameters!$B$2)^2, D1228+Parameters!$B$24)</f>
        <v/>
      </c>
      <c r="E1229">
        <f>MIN(D1229, E1230+Parameters!$B$24)</f>
        <v/>
      </c>
    </row>
    <row r="1230">
      <c r="A1230" t="n">
        <v>122.8</v>
      </c>
      <c r="B1230" t="n">
        <v>25</v>
      </c>
      <c r="C1230">
        <f>ROUND(SQRT(E1230),2)</f>
        <v/>
      </c>
      <c r="D1230">
        <f>MIN(MIN(B1230,Parameters!$B$2)^2, D1229+Parameters!$B$24)</f>
        <v/>
      </c>
      <c r="E1230">
        <f>MIN(D1230, E1231+Parameters!$B$24)</f>
        <v/>
      </c>
    </row>
    <row r="1231">
      <c r="A1231" t="n">
        <v>122.9</v>
      </c>
      <c r="B1231" t="n">
        <v>25</v>
      </c>
      <c r="C1231">
        <f>ROUND(SQRT(E1231),2)</f>
        <v/>
      </c>
      <c r="D1231">
        <f>MIN(MIN(B1231,Parameters!$B$2)^2, D1230+Parameters!$B$24)</f>
        <v/>
      </c>
      <c r="E1231">
        <f>MIN(D1231, E1232+Parameters!$B$24)</f>
        <v/>
      </c>
    </row>
    <row r="1232">
      <c r="A1232" t="n">
        <v>123</v>
      </c>
      <c r="B1232" t="n">
        <v>25</v>
      </c>
      <c r="C1232">
        <f>ROUND(SQRT(E1232),2)</f>
        <v/>
      </c>
      <c r="D1232">
        <f>MIN(MIN(B1232,Parameters!$B$2)^2, D1231+Parameters!$B$24)</f>
        <v/>
      </c>
      <c r="E1232">
        <f>MIN(D1232, E1233+Parameters!$B$24)</f>
        <v/>
      </c>
    </row>
    <row r="1233">
      <c r="A1233" t="n">
        <v>123.1</v>
      </c>
      <c r="B1233" t="n">
        <v>25</v>
      </c>
      <c r="C1233">
        <f>ROUND(SQRT(E1233),2)</f>
        <v/>
      </c>
      <c r="D1233">
        <f>MIN(MIN(B1233,Parameters!$B$2)^2, D1232+Parameters!$B$24)</f>
        <v/>
      </c>
      <c r="E1233">
        <f>MIN(D1233, E1234+Parameters!$B$24)</f>
        <v/>
      </c>
    </row>
    <row r="1234">
      <c r="A1234" t="n">
        <v>123.2</v>
      </c>
      <c r="B1234" t="n">
        <v>25</v>
      </c>
      <c r="C1234">
        <f>ROUND(SQRT(E1234),2)</f>
        <v/>
      </c>
      <c r="D1234">
        <f>MIN(MIN(B1234,Parameters!$B$2)^2, D1233+Parameters!$B$24)</f>
        <v/>
      </c>
      <c r="E1234">
        <f>MIN(D1234, E1235+Parameters!$B$24)</f>
        <v/>
      </c>
    </row>
    <row r="1235">
      <c r="A1235" t="n">
        <v>123.3</v>
      </c>
      <c r="B1235" t="n">
        <v>25</v>
      </c>
      <c r="C1235">
        <f>ROUND(SQRT(E1235),2)</f>
        <v/>
      </c>
      <c r="D1235">
        <f>MIN(MIN(B1235,Parameters!$B$2)^2, D1234+Parameters!$B$24)</f>
        <v/>
      </c>
      <c r="E1235">
        <f>MIN(D1235, E1236+Parameters!$B$24)</f>
        <v/>
      </c>
    </row>
    <row r="1236">
      <c r="A1236" t="n">
        <v>123.4</v>
      </c>
      <c r="B1236" t="n">
        <v>25</v>
      </c>
      <c r="C1236">
        <f>ROUND(SQRT(E1236),2)</f>
        <v/>
      </c>
      <c r="D1236">
        <f>MIN(MIN(B1236,Parameters!$B$2)^2, D1235+Parameters!$B$24)</f>
        <v/>
      </c>
      <c r="E1236">
        <f>MIN(D1236, E1237+Parameters!$B$24)</f>
        <v/>
      </c>
    </row>
    <row r="1237">
      <c r="A1237" t="n">
        <v>123.5</v>
      </c>
      <c r="B1237" t="n">
        <v>25</v>
      </c>
      <c r="C1237">
        <f>ROUND(SQRT(E1237),2)</f>
        <v/>
      </c>
      <c r="D1237">
        <f>MIN(MIN(B1237,Parameters!$B$2)^2, D1236+Parameters!$B$24)</f>
        <v/>
      </c>
      <c r="E1237">
        <f>MIN(D1237, E1238+Parameters!$B$24)</f>
        <v/>
      </c>
    </row>
    <row r="1238">
      <c r="A1238" t="n">
        <v>123.6</v>
      </c>
      <c r="B1238" t="n">
        <v>25</v>
      </c>
      <c r="C1238">
        <f>ROUND(SQRT(E1238),2)</f>
        <v/>
      </c>
      <c r="D1238">
        <f>MIN(MIN(B1238,Parameters!$B$2)^2, D1237+Parameters!$B$24)</f>
        <v/>
      </c>
      <c r="E1238">
        <f>MIN(D1238, E1239+Parameters!$B$24)</f>
        <v/>
      </c>
    </row>
    <row r="1239">
      <c r="A1239" t="n">
        <v>123.7</v>
      </c>
      <c r="B1239" t="n">
        <v>25</v>
      </c>
      <c r="C1239">
        <f>ROUND(SQRT(E1239),2)</f>
        <v/>
      </c>
      <c r="D1239">
        <f>MIN(MIN(B1239,Parameters!$B$2)^2, D1238+Parameters!$B$24)</f>
        <v/>
      </c>
      <c r="E1239">
        <f>MIN(D1239, E1240+Parameters!$B$24)</f>
        <v/>
      </c>
    </row>
    <row r="1240">
      <c r="A1240" t="n">
        <v>123.8</v>
      </c>
      <c r="B1240" t="n">
        <v>25</v>
      </c>
      <c r="C1240">
        <f>ROUND(SQRT(E1240),2)</f>
        <v/>
      </c>
      <c r="D1240">
        <f>MIN(MIN(B1240,Parameters!$B$2)^2, D1239+Parameters!$B$24)</f>
        <v/>
      </c>
      <c r="E1240">
        <f>MIN(D1240, E1241+Parameters!$B$24)</f>
        <v/>
      </c>
    </row>
    <row r="1241">
      <c r="A1241" t="n">
        <v>123.9</v>
      </c>
      <c r="B1241" t="n">
        <v>25</v>
      </c>
      <c r="C1241">
        <f>ROUND(SQRT(E1241),2)</f>
        <v/>
      </c>
      <c r="D1241">
        <f>MIN(MIN(B1241,Parameters!$B$2)^2, D1240+Parameters!$B$24)</f>
        <v/>
      </c>
      <c r="E1241">
        <f>MIN(D1241, E1242+Parameters!$B$24)</f>
        <v/>
      </c>
    </row>
    <row r="1242">
      <c r="A1242" t="n">
        <v>124</v>
      </c>
      <c r="B1242" t="n">
        <v>25</v>
      </c>
      <c r="C1242">
        <f>ROUND(SQRT(E1242),2)</f>
        <v/>
      </c>
      <c r="D1242">
        <f>MIN(MIN(B1242,Parameters!$B$2)^2, D1241+Parameters!$B$24)</f>
        <v/>
      </c>
      <c r="E1242">
        <f>MIN(D1242, E1243+Parameters!$B$24)</f>
        <v/>
      </c>
    </row>
    <row r="1243">
      <c r="A1243" t="n">
        <v>124.1</v>
      </c>
      <c r="B1243" t="n">
        <v>25</v>
      </c>
      <c r="C1243">
        <f>ROUND(SQRT(E1243),2)</f>
        <v/>
      </c>
      <c r="D1243">
        <f>MIN(MIN(B1243,Parameters!$B$2)^2, D1242+Parameters!$B$24)</f>
        <v/>
      </c>
      <c r="E1243">
        <f>MIN(D1243, E1244+Parameters!$B$24)</f>
        <v/>
      </c>
    </row>
    <row r="1244">
      <c r="A1244" t="n">
        <v>124.2</v>
      </c>
      <c r="B1244" t="n">
        <v>25</v>
      </c>
      <c r="C1244">
        <f>ROUND(SQRT(E1244),2)</f>
        <v/>
      </c>
      <c r="D1244">
        <f>MIN(MIN(B1244,Parameters!$B$2)^2, D1243+Parameters!$B$24)</f>
        <v/>
      </c>
      <c r="E1244">
        <f>MIN(D1244, E1245+Parameters!$B$24)</f>
        <v/>
      </c>
    </row>
    <row r="1245">
      <c r="A1245" t="n">
        <v>124.3</v>
      </c>
      <c r="B1245" t="n">
        <v>25</v>
      </c>
      <c r="C1245">
        <f>ROUND(SQRT(E1245),2)</f>
        <v/>
      </c>
      <c r="D1245">
        <f>MIN(MIN(B1245,Parameters!$B$2)^2, D1244+Parameters!$B$24)</f>
        <v/>
      </c>
      <c r="E1245">
        <f>MIN(D1245, E1246+Parameters!$B$24)</f>
        <v/>
      </c>
    </row>
    <row r="1246">
      <c r="A1246" t="n">
        <v>124.4</v>
      </c>
      <c r="B1246" t="n">
        <v>25</v>
      </c>
      <c r="C1246">
        <f>ROUND(SQRT(E1246),2)</f>
        <v/>
      </c>
      <c r="D1246">
        <f>MIN(MIN(B1246,Parameters!$B$2)^2, D1245+Parameters!$B$24)</f>
        <v/>
      </c>
      <c r="E1246">
        <f>MIN(D1246, E1247+Parameters!$B$24)</f>
        <v/>
      </c>
    </row>
    <row r="1247">
      <c r="A1247" t="n">
        <v>124.5</v>
      </c>
      <c r="B1247" t="n">
        <v>25</v>
      </c>
      <c r="C1247">
        <f>ROUND(SQRT(E1247),2)</f>
        <v/>
      </c>
      <c r="D1247">
        <f>MIN(MIN(B1247,Parameters!$B$2)^2, D1246+Parameters!$B$24)</f>
        <v/>
      </c>
      <c r="E1247">
        <f>MIN(D1247, E1248+Parameters!$B$24)</f>
        <v/>
      </c>
    </row>
    <row r="1248">
      <c r="A1248" t="n">
        <v>124.6</v>
      </c>
      <c r="B1248" t="n">
        <v>25</v>
      </c>
      <c r="C1248">
        <f>ROUND(SQRT(E1248),2)</f>
        <v/>
      </c>
      <c r="D1248">
        <f>MIN(MIN(B1248,Parameters!$B$2)^2, D1247+Parameters!$B$24)</f>
        <v/>
      </c>
      <c r="E1248">
        <f>MIN(D1248, E1249+Parameters!$B$24)</f>
        <v/>
      </c>
    </row>
    <row r="1249">
      <c r="A1249" t="n">
        <v>124.7</v>
      </c>
      <c r="B1249" t="n">
        <v>25</v>
      </c>
      <c r="C1249">
        <f>ROUND(SQRT(E1249),2)</f>
        <v/>
      </c>
      <c r="D1249">
        <f>MIN(MIN(B1249,Parameters!$B$2)^2, D1248+Parameters!$B$24)</f>
        <v/>
      </c>
      <c r="E1249">
        <f>MIN(D1249, E1250+Parameters!$B$24)</f>
        <v/>
      </c>
    </row>
    <row r="1250">
      <c r="A1250" t="n">
        <v>124.8</v>
      </c>
      <c r="B1250" t="n">
        <v>25</v>
      </c>
      <c r="C1250">
        <f>ROUND(SQRT(E1250),2)</f>
        <v/>
      </c>
      <c r="D1250">
        <f>MIN(MIN(B1250,Parameters!$B$2)^2, D1249+Parameters!$B$24)</f>
        <v/>
      </c>
      <c r="E1250">
        <f>MIN(D1250, E1251+Parameters!$B$24)</f>
        <v/>
      </c>
    </row>
    <row r="1251">
      <c r="A1251" t="n">
        <v>124.9</v>
      </c>
      <c r="B1251" t="n">
        <v>25</v>
      </c>
      <c r="C1251">
        <f>ROUND(SQRT(E1251),2)</f>
        <v/>
      </c>
      <c r="D1251">
        <f>MIN(MIN(B1251,Parameters!$B$2)^2, D1250+Parameters!$B$24)</f>
        <v/>
      </c>
      <c r="E1251">
        <f>MIN(D1251, E1252+Parameters!$B$24)</f>
        <v/>
      </c>
    </row>
    <row r="1252">
      <c r="A1252" t="n">
        <v>125</v>
      </c>
      <c r="B1252" t="n">
        <v>25</v>
      </c>
      <c r="C1252">
        <f>ROUND(SQRT(E1252),2)</f>
        <v/>
      </c>
      <c r="D1252">
        <f>MIN(MIN(B1252,Parameters!$B$2)^2, D1251+Parameters!$B$24)</f>
        <v/>
      </c>
      <c r="E1252">
        <f>MIN(D1252, E1253+Parameters!$B$24)</f>
        <v/>
      </c>
    </row>
    <row r="1253">
      <c r="A1253" t="n">
        <v>125.1</v>
      </c>
      <c r="B1253" t="n">
        <v>25</v>
      </c>
      <c r="C1253">
        <f>ROUND(SQRT(E1253),2)</f>
        <v/>
      </c>
      <c r="D1253">
        <f>MIN(MIN(B1253,Parameters!$B$2)^2, D1252+Parameters!$B$24)</f>
        <v/>
      </c>
      <c r="E1253">
        <f>MIN(D1253, E1254+Parameters!$B$24)</f>
        <v/>
      </c>
    </row>
    <row r="1254">
      <c r="A1254" t="n">
        <v>125.2</v>
      </c>
      <c r="B1254" t="n">
        <v>25</v>
      </c>
      <c r="C1254">
        <f>ROUND(SQRT(E1254),2)</f>
        <v/>
      </c>
      <c r="D1254">
        <f>MIN(MIN(B1254,Parameters!$B$2)^2, D1253+Parameters!$B$24)</f>
        <v/>
      </c>
      <c r="E1254">
        <f>MIN(D1254, E1255+Parameters!$B$24)</f>
        <v/>
      </c>
    </row>
    <row r="1255">
      <c r="A1255" t="n">
        <v>125.3</v>
      </c>
      <c r="B1255" t="n">
        <v>25</v>
      </c>
      <c r="C1255">
        <f>ROUND(SQRT(E1255),2)</f>
        <v/>
      </c>
      <c r="D1255">
        <f>MIN(MIN(B1255,Parameters!$B$2)^2, D1254+Parameters!$B$24)</f>
        <v/>
      </c>
      <c r="E1255">
        <f>MIN(D1255, E1256+Parameters!$B$24)</f>
        <v/>
      </c>
    </row>
    <row r="1256">
      <c r="A1256" t="n">
        <v>125.4</v>
      </c>
      <c r="B1256" t="n">
        <v>25</v>
      </c>
      <c r="C1256">
        <f>ROUND(SQRT(E1256),2)</f>
        <v/>
      </c>
      <c r="D1256">
        <f>MIN(MIN(B1256,Parameters!$B$2)^2, D1255+Parameters!$B$24)</f>
        <v/>
      </c>
      <c r="E1256">
        <f>MIN(D1256, E1257+Parameters!$B$24)</f>
        <v/>
      </c>
    </row>
    <row r="1257">
      <c r="A1257" t="n">
        <v>125.5</v>
      </c>
      <c r="B1257" t="n">
        <v>25</v>
      </c>
      <c r="C1257">
        <f>ROUND(SQRT(E1257),2)</f>
        <v/>
      </c>
      <c r="D1257">
        <f>MIN(MIN(B1257,Parameters!$B$2)^2, D1256+Parameters!$B$24)</f>
        <v/>
      </c>
      <c r="E1257">
        <f>MIN(D1257, E1258+Parameters!$B$24)</f>
        <v/>
      </c>
    </row>
    <row r="1258">
      <c r="A1258" t="n">
        <v>125.6</v>
      </c>
      <c r="B1258" t="n">
        <v>25</v>
      </c>
      <c r="C1258">
        <f>ROUND(SQRT(E1258),2)</f>
        <v/>
      </c>
      <c r="D1258">
        <f>MIN(MIN(B1258,Parameters!$B$2)^2, D1257+Parameters!$B$24)</f>
        <v/>
      </c>
      <c r="E1258">
        <f>MIN(D1258, E1259+Parameters!$B$24)</f>
        <v/>
      </c>
    </row>
    <row r="1259">
      <c r="A1259" t="n">
        <v>125.7</v>
      </c>
      <c r="B1259" t="n">
        <v>25</v>
      </c>
      <c r="C1259">
        <f>ROUND(SQRT(E1259),2)</f>
        <v/>
      </c>
      <c r="D1259">
        <f>MIN(MIN(B1259,Parameters!$B$2)^2, D1258+Parameters!$B$24)</f>
        <v/>
      </c>
      <c r="E1259">
        <f>MIN(D1259, E1260+Parameters!$B$24)</f>
        <v/>
      </c>
    </row>
    <row r="1260">
      <c r="A1260" t="n">
        <v>125.8</v>
      </c>
      <c r="B1260" t="n">
        <v>25</v>
      </c>
      <c r="C1260">
        <f>ROUND(SQRT(E1260),2)</f>
        <v/>
      </c>
      <c r="D1260">
        <f>MIN(MIN(B1260,Parameters!$B$2)^2, D1259+Parameters!$B$24)</f>
        <v/>
      </c>
      <c r="E1260">
        <f>MIN(D1260, E1261+Parameters!$B$24)</f>
        <v/>
      </c>
    </row>
    <row r="1261">
      <c r="A1261" t="n">
        <v>125.9</v>
      </c>
      <c r="B1261" t="n">
        <v>25</v>
      </c>
      <c r="C1261">
        <f>ROUND(SQRT(E1261),2)</f>
        <v/>
      </c>
      <c r="D1261">
        <f>MIN(MIN(B1261,Parameters!$B$2)^2, D1260+Parameters!$B$24)</f>
        <v/>
      </c>
      <c r="E1261">
        <f>MIN(D1261, E1262+Parameters!$B$24)</f>
        <v/>
      </c>
    </row>
    <row r="1262">
      <c r="A1262" t="n">
        <v>126</v>
      </c>
      <c r="B1262" t="n">
        <v>25</v>
      </c>
      <c r="C1262">
        <f>ROUND(SQRT(E1262),2)</f>
        <v/>
      </c>
      <c r="D1262">
        <f>MIN(MIN(B1262,Parameters!$B$2)^2, D1261+Parameters!$B$24)</f>
        <v/>
      </c>
      <c r="E1262">
        <f>MIN(D1262, E1263+Parameters!$B$24)</f>
        <v/>
      </c>
    </row>
    <row r="1263">
      <c r="A1263" t="n">
        <v>126.1</v>
      </c>
      <c r="B1263" t="n">
        <v>25</v>
      </c>
      <c r="C1263">
        <f>ROUND(SQRT(E1263),2)</f>
        <v/>
      </c>
      <c r="D1263">
        <f>MIN(MIN(B1263,Parameters!$B$2)^2, D1262+Parameters!$B$24)</f>
        <v/>
      </c>
      <c r="E1263">
        <f>MIN(D1263, E1264+Parameters!$B$24)</f>
        <v/>
      </c>
    </row>
    <row r="1264">
      <c r="A1264" t="n">
        <v>126.2</v>
      </c>
      <c r="B1264" t="n">
        <v>25</v>
      </c>
      <c r="C1264">
        <f>ROUND(SQRT(E1264),2)</f>
        <v/>
      </c>
      <c r="D1264">
        <f>MIN(MIN(B1264,Parameters!$B$2)^2, D1263+Parameters!$B$24)</f>
        <v/>
      </c>
      <c r="E1264">
        <f>MIN(D1264, E1265+Parameters!$B$24)</f>
        <v/>
      </c>
    </row>
    <row r="1265">
      <c r="A1265" t="n">
        <v>126.3</v>
      </c>
      <c r="B1265" t="n">
        <v>25</v>
      </c>
      <c r="C1265">
        <f>ROUND(SQRT(E1265),2)</f>
        <v/>
      </c>
      <c r="D1265">
        <f>MIN(MIN(B1265,Parameters!$B$2)^2, D1264+Parameters!$B$24)</f>
        <v/>
      </c>
      <c r="E1265">
        <f>MIN(D1265, E1266+Parameters!$B$24)</f>
        <v/>
      </c>
    </row>
    <row r="1266">
      <c r="A1266" t="n">
        <v>126.4</v>
      </c>
      <c r="B1266" t="n">
        <v>25</v>
      </c>
      <c r="C1266">
        <f>ROUND(SQRT(E1266),2)</f>
        <v/>
      </c>
      <c r="D1266">
        <f>MIN(MIN(B1266,Parameters!$B$2)^2, D1265+Parameters!$B$24)</f>
        <v/>
      </c>
      <c r="E1266">
        <f>MIN(D1266, E1267+Parameters!$B$24)</f>
        <v/>
      </c>
    </row>
    <row r="1267">
      <c r="A1267" t="n">
        <v>126.5</v>
      </c>
      <c r="B1267" t="n">
        <v>25</v>
      </c>
      <c r="C1267">
        <f>ROUND(SQRT(E1267),2)</f>
        <v/>
      </c>
      <c r="D1267">
        <f>MIN(MIN(B1267,Parameters!$B$2)^2, D1266+Parameters!$B$24)</f>
        <v/>
      </c>
      <c r="E1267">
        <f>MIN(D1267, E1268+Parameters!$B$24)</f>
        <v/>
      </c>
    </row>
    <row r="1268">
      <c r="A1268" t="n">
        <v>126.6</v>
      </c>
      <c r="B1268" t="n">
        <v>25</v>
      </c>
      <c r="C1268">
        <f>ROUND(SQRT(E1268),2)</f>
        <v/>
      </c>
      <c r="D1268">
        <f>MIN(MIN(B1268,Parameters!$B$2)^2, D1267+Parameters!$B$24)</f>
        <v/>
      </c>
      <c r="E1268">
        <f>MIN(D1268, E1269+Parameters!$B$24)</f>
        <v/>
      </c>
    </row>
    <row r="1269">
      <c r="A1269" t="n">
        <v>126.7</v>
      </c>
      <c r="B1269" t="n">
        <v>25</v>
      </c>
      <c r="C1269">
        <f>ROUND(SQRT(E1269),2)</f>
        <v/>
      </c>
      <c r="D1269">
        <f>MIN(MIN(B1269,Parameters!$B$2)^2, D1268+Parameters!$B$24)</f>
        <v/>
      </c>
      <c r="E1269">
        <f>MIN(D1269, E1270+Parameters!$B$24)</f>
        <v/>
      </c>
    </row>
    <row r="1270">
      <c r="A1270" t="n">
        <v>126.8</v>
      </c>
      <c r="B1270" t="n">
        <v>25</v>
      </c>
      <c r="C1270">
        <f>ROUND(SQRT(E1270),2)</f>
        <v/>
      </c>
      <c r="D1270">
        <f>MIN(MIN(B1270,Parameters!$B$2)^2, D1269+Parameters!$B$24)</f>
        <v/>
      </c>
      <c r="E1270">
        <f>MIN(D1270, E1271+Parameters!$B$24)</f>
        <v/>
      </c>
    </row>
    <row r="1271">
      <c r="A1271" t="n">
        <v>126.9</v>
      </c>
      <c r="B1271" t="n">
        <v>25</v>
      </c>
      <c r="C1271">
        <f>ROUND(SQRT(E1271),2)</f>
        <v/>
      </c>
      <c r="D1271">
        <f>MIN(MIN(B1271,Parameters!$B$2)^2, D1270+Parameters!$B$24)</f>
        <v/>
      </c>
      <c r="E1271">
        <f>MIN(D1271, E1272+Parameters!$B$24)</f>
        <v/>
      </c>
    </row>
    <row r="1272">
      <c r="A1272" t="n">
        <v>127</v>
      </c>
      <c r="B1272" t="n">
        <v>25</v>
      </c>
      <c r="C1272">
        <f>ROUND(SQRT(E1272),2)</f>
        <v/>
      </c>
      <c r="D1272">
        <f>MIN(MIN(B1272,Parameters!$B$2)^2, D1271+Parameters!$B$24)</f>
        <v/>
      </c>
      <c r="E1272">
        <f>MIN(D1272, E1273+Parameters!$B$24)</f>
        <v/>
      </c>
    </row>
    <row r="1273">
      <c r="A1273" t="n">
        <v>127.1</v>
      </c>
      <c r="B1273" t="n">
        <v>25</v>
      </c>
      <c r="C1273">
        <f>ROUND(SQRT(E1273),2)</f>
        <v/>
      </c>
      <c r="D1273">
        <f>MIN(MIN(B1273,Parameters!$B$2)^2, D1272+Parameters!$B$24)</f>
        <v/>
      </c>
      <c r="E1273">
        <f>MIN(D1273, E1274+Parameters!$B$24)</f>
        <v/>
      </c>
    </row>
    <row r="1274">
      <c r="A1274" t="n">
        <v>127.2</v>
      </c>
      <c r="B1274" t="n">
        <v>25</v>
      </c>
      <c r="C1274">
        <f>ROUND(SQRT(E1274),2)</f>
        <v/>
      </c>
      <c r="D1274">
        <f>MIN(MIN(B1274,Parameters!$B$2)^2, D1273+Parameters!$B$24)</f>
        <v/>
      </c>
      <c r="E1274">
        <f>MIN(D1274, E1275+Parameters!$B$24)</f>
        <v/>
      </c>
    </row>
    <row r="1275">
      <c r="A1275" t="n">
        <v>127.3</v>
      </c>
      <c r="B1275" t="n">
        <v>25</v>
      </c>
      <c r="C1275">
        <f>ROUND(SQRT(E1275),2)</f>
        <v/>
      </c>
      <c r="D1275">
        <f>MIN(MIN(B1275,Parameters!$B$2)^2, D1274+Parameters!$B$24)</f>
        <v/>
      </c>
      <c r="E1275">
        <f>MIN(D1275, E1276+Parameters!$B$24)</f>
        <v/>
      </c>
    </row>
    <row r="1276">
      <c r="A1276" t="n">
        <v>127.4</v>
      </c>
      <c r="B1276" t="n">
        <v>25</v>
      </c>
      <c r="C1276">
        <f>ROUND(SQRT(E1276),2)</f>
        <v/>
      </c>
      <c r="D1276">
        <f>MIN(MIN(B1276,Parameters!$B$2)^2, D1275+Parameters!$B$24)</f>
        <v/>
      </c>
      <c r="E1276">
        <f>MIN(D1276, E1277+Parameters!$B$24)</f>
        <v/>
      </c>
    </row>
    <row r="1277">
      <c r="A1277" t="n">
        <v>127.5</v>
      </c>
      <c r="B1277" t="n">
        <v>25</v>
      </c>
      <c r="C1277">
        <f>ROUND(SQRT(E1277),2)</f>
        <v/>
      </c>
      <c r="D1277">
        <f>MIN(MIN(B1277,Parameters!$B$2)^2, D1276+Parameters!$B$24)</f>
        <v/>
      </c>
      <c r="E1277">
        <f>MIN(D1277, E1278+Parameters!$B$24)</f>
        <v/>
      </c>
    </row>
    <row r="1278">
      <c r="A1278" t="n">
        <v>127.6</v>
      </c>
      <c r="B1278" t="n">
        <v>25</v>
      </c>
      <c r="C1278">
        <f>ROUND(SQRT(E1278),2)</f>
        <v/>
      </c>
      <c r="D1278">
        <f>MIN(MIN(B1278,Parameters!$B$2)^2, D1277+Parameters!$B$24)</f>
        <v/>
      </c>
      <c r="E1278">
        <f>MIN(D1278, E1279+Parameters!$B$24)</f>
        <v/>
      </c>
    </row>
    <row r="1279">
      <c r="A1279" t="n">
        <v>127.7</v>
      </c>
      <c r="B1279" t="n">
        <v>25</v>
      </c>
      <c r="C1279">
        <f>ROUND(SQRT(E1279),2)</f>
        <v/>
      </c>
      <c r="D1279">
        <f>MIN(MIN(B1279,Parameters!$B$2)^2, D1278+Parameters!$B$24)</f>
        <v/>
      </c>
      <c r="E1279">
        <f>MIN(D1279, E1280+Parameters!$B$24)</f>
        <v/>
      </c>
    </row>
    <row r="1280">
      <c r="A1280" t="n">
        <v>127.8</v>
      </c>
      <c r="B1280" t="n">
        <v>25</v>
      </c>
      <c r="C1280">
        <f>ROUND(SQRT(E1280),2)</f>
        <v/>
      </c>
      <c r="D1280">
        <f>MIN(MIN(B1280,Parameters!$B$2)^2, D1279+Parameters!$B$24)</f>
        <v/>
      </c>
      <c r="E1280">
        <f>MIN(D1280, E1281+Parameters!$B$24)</f>
        <v/>
      </c>
    </row>
    <row r="1281">
      <c r="A1281" t="n">
        <v>127.9</v>
      </c>
      <c r="B1281" t="n">
        <v>25</v>
      </c>
      <c r="C1281">
        <f>ROUND(SQRT(E1281),2)</f>
        <v/>
      </c>
      <c r="D1281">
        <f>MIN(MIN(B1281,Parameters!$B$2)^2, D1280+Parameters!$B$24)</f>
        <v/>
      </c>
      <c r="E1281">
        <f>MIN(D1281, E1282+Parameters!$B$24)</f>
        <v/>
      </c>
    </row>
    <row r="1282">
      <c r="A1282" t="n">
        <v>128</v>
      </c>
      <c r="B1282" t="n">
        <v>25</v>
      </c>
      <c r="C1282">
        <f>ROUND(SQRT(E1282),2)</f>
        <v/>
      </c>
      <c r="D1282">
        <f>MIN(MIN(B1282,Parameters!$B$2)^2, D1281+Parameters!$B$24)</f>
        <v/>
      </c>
      <c r="E1282">
        <f>MIN(D1282, E1283+Parameters!$B$24)</f>
        <v/>
      </c>
    </row>
    <row r="1283">
      <c r="A1283" t="n">
        <v>128.1</v>
      </c>
      <c r="B1283" t="n">
        <v>25</v>
      </c>
      <c r="C1283">
        <f>ROUND(SQRT(E1283),2)</f>
        <v/>
      </c>
      <c r="D1283">
        <f>MIN(MIN(B1283,Parameters!$B$2)^2, D1282+Parameters!$B$24)</f>
        <v/>
      </c>
      <c r="E1283">
        <f>MIN(D1283, E1284+Parameters!$B$24)</f>
        <v/>
      </c>
    </row>
    <row r="1284">
      <c r="A1284" t="n">
        <v>128.2</v>
      </c>
      <c r="B1284" t="n">
        <v>25</v>
      </c>
      <c r="C1284">
        <f>ROUND(SQRT(E1284),2)</f>
        <v/>
      </c>
      <c r="D1284">
        <f>MIN(MIN(B1284,Parameters!$B$2)^2, D1283+Parameters!$B$24)</f>
        <v/>
      </c>
      <c r="E1284">
        <f>MIN(D1284, E1285+Parameters!$B$24)</f>
        <v/>
      </c>
    </row>
    <row r="1285">
      <c r="A1285" t="n">
        <v>128.3</v>
      </c>
      <c r="B1285" t="n">
        <v>25</v>
      </c>
      <c r="C1285">
        <f>ROUND(SQRT(E1285),2)</f>
        <v/>
      </c>
      <c r="D1285">
        <f>MIN(MIN(B1285,Parameters!$B$2)^2, D1284+Parameters!$B$24)</f>
        <v/>
      </c>
      <c r="E1285">
        <f>MIN(D1285, E1286+Parameters!$B$24)</f>
        <v/>
      </c>
    </row>
    <row r="1286">
      <c r="A1286" t="n">
        <v>128.4</v>
      </c>
      <c r="B1286" t="n">
        <v>25</v>
      </c>
      <c r="C1286">
        <f>ROUND(SQRT(E1286),2)</f>
        <v/>
      </c>
      <c r="D1286">
        <f>MIN(MIN(B1286,Parameters!$B$2)^2, D1285+Parameters!$B$24)</f>
        <v/>
      </c>
      <c r="E1286">
        <f>MIN(D1286, E1287+Parameters!$B$24)</f>
        <v/>
      </c>
    </row>
    <row r="1287">
      <c r="A1287" t="n">
        <v>128.5</v>
      </c>
      <c r="B1287" t="n">
        <v>25</v>
      </c>
      <c r="C1287">
        <f>ROUND(SQRT(E1287),2)</f>
        <v/>
      </c>
      <c r="D1287">
        <f>MIN(MIN(B1287,Parameters!$B$2)^2, D1286+Parameters!$B$24)</f>
        <v/>
      </c>
      <c r="E1287">
        <f>MIN(D1287, E1288+Parameters!$B$24)</f>
        <v/>
      </c>
    </row>
    <row r="1288">
      <c r="A1288" t="n">
        <v>128.6</v>
      </c>
      <c r="B1288" t="n">
        <v>25</v>
      </c>
      <c r="C1288">
        <f>ROUND(SQRT(E1288),2)</f>
        <v/>
      </c>
      <c r="D1288">
        <f>MIN(MIN(B1288,Parameters!$B$2)^2, D1287+Parameters!$B$24)</f>
        <v/>
      </c>
      <c r="E1288">
        <f>MIN(D1288, E1289+Parameters!$B$24)</f>
        <v/>
      </c>
    </row>
    <row r="1289">
      <c r="A1289" t="n">
        <v>128.7</v>
      </c>
      <c r="B1289" t="n">
        <v>25</v>
      </c>
      <c r="C1289">
        <f>ROUND(SQRT(E1289),2)</f>
        <v/>
      </c>
      <c r="D1289">
        <f>MIN(MIN(B1289,Parameters!$B$2)^2, D1288+Parameters!$B$24)</f>
        <v/>
      </c>
      <c r="E1289">
        <f>MIN(D1289, E1290+Parameters!$B$24)</f>
        <v/>
      </c>
    </row>
    <row r="1290">
      <c r="A1290" t="n">
        <v>128.8</v>
      </c>
      <c r="B1290" t="n">
        <v>25</v>
      </c>
      <c r="C1290">
        <f>ROUND(SQRT(E1290),2)</f>
        <v/>
      </c>
      <c r="D1290">
        <f>MIN(MIN(B1290,Parameters!$B$2)^2, D1289+Parameters!$B$24)</f>
        <v/>
      </c>
      <c r="E1290">
        <f>MIN(D1290, E1291+Parameters!$B$24)</f>
        <v/>
      </c>
    </row>
    <row r="1291">
      <c r="A1291" t="n">
        <v>128.9</v>
      </c>
      <c r="B1291" t="n">
        <v>25</v>
      </c>
      <c r="C1291">
        <f>ROUND(SQRT(E1291),2)</f>
        <v/>
      </c>
      <c r="D1291">
        <f>MIN(MIN(B1291,Parameters!$B$2)^2, D1290+Parameters!$B$24)</f>
        <v/>
      </c>
      <c r="E1291">
        <f>MIN(D1291, E1292+Parameters!$B$24)</f>
        <v/>
      </c>
    </row>
    <row r="1292">
      <c r="A1292" t="n">
        <v>129</v>
      </c>
      <c r="B1292" t="n">
        <v>25</v>
      </c>
      <c r="C1292">
        <f>ROUND(SQRT(E1292),2)</f>
        <v/>
      </c>
      <c r="D1292">
        <f>MIN(MIN(B1292,Parameters!$B$2)^2, D1291+Parameters!$B$24)</f>
        <v/>
      </c>
      <c r="E1292">
        <f>MIN(D1292, E1293+Parameters!$B$24)</f>
        <v/>
      </c>
    </row>
    <row r="1293">
      <c r="A1293" t="n">
        <v>129.1</v>
      </c>
      <c r="B1293" t="n">
        <v>25</v>
      </c>
      <c r="C1293">
        <f>ROUND(SQRT(E1293),2)</f>
        <v/>
      </c>
      <c r="D1293">
        <f>MIN(MIN(B1293,Parameters!$B$2)^2, D1292+Parameters!$B$24)</f>
        <v/>
      </c>
      <c r="E1293">
        <f>MIN(D1293, E1294+Parameters!$B$24)</f>
        <v/>
      </c>
    </row>
    <row r="1294">
      <c r="A1294" t="n">
        <v>129.2</v>
      </c>
      <c r="B1294" t="n">
        <v>25</v>
      </c>
      <c r="C1294">
        <f>ROUND(SQRT(E1294),2)</f>
        <v/>
      </c>
      <c r="D1294">
        <f>MIN(MIN(B1294,Parameters!$B$2)^2, D1293+Parameters!$B$24)</f>
        <v/>
      </c>
      <c r="E1294">
        <f>MIN(D1294, E1295+Parameters!$B$24)</f>
        <v/>
      </c>
    </row>
    <row r="1295">
      <c r="A1295" t="n">
        <v>129.3</v>
      </c>
      <c r="B1295" t="n">
        <v>25</v>
      </c>
      <c r="C1295">
        <f>ROUND(SQRT(E1295),2)</f>
        <v/>
      </c>
      <c r="D1295">
        <f>MIN(MIN(B1295,Parameters!$B$2)^2, D1294+Parameters!$B$24)</f>
        <v/>
      </c>
      <c r="E1295">
        <f>MIN(D1295, E1296+Parameters!$B$24)</f>
        <v/>
      </c>
    </row>
    <row r="1296">
      <c r="A1296" t="n">
        <v>129.4</v>
      </c>
      <c r="B1296" t="n">
        <v>25</v>
      </c>
      <c r="C1296">
        <f>ROUND(SQRT(E1296),2)</f>
        <v/>
      </c>
      <c r="D1296">
        <f>MIN(MIN(B1296,Parameters!$B$2)^2, D1295+Parameters!$B$24)</f>
        <v/>
      </c>
      <c r="E1296">
        <f>MIN(D1296, E1297+Parameters!$B$24)</f>
        <v/>
      </c>
    </row>
    <row r="1297">
      <c r="A1297" t="n">
        <v>129.5</v>
      </c>
      <c r="B1297" t="n">
        <v>25</v>
      </c>
      <c r="C1297">
        <f>ROUND(SQRT(E1297),2)</f>
        <v/>
      </c>
      <c r="D1297">
        <f>MIN(MIN(B1297,Parameters!$B$2)^2, D1296+Parameters!$B$24)</f>
        <v/>
      </c>
      <c r="E1297">
        <f>MIN(D1297, E1298+Parameters!$B$24)</f>
        <v/>
      </c>
    </row>
    <row r="1298">
      <c r="A1298" t="n">
        <v>129.6</v>
      </c>
      <c r="B1298" t="n">
        <v>25</v>
      </c>
      <c r="C1298">
        <f>ROUND(SQRT(E1298),2)</f>
        <v/>
      </c>
      <c r="D1298">
        <f>MIN(MIN(B1298,Parameters!$B$2)^2, D1297+Parameters!$B$24)</f>
        <v/>
      </c>
      <c r="E1298">
        <f>MIN(D1298, E1299+Parameters!$B$24)</f>
        <v/>
      </c>
    </row>
    <row r="1299">
      <c r="A1299" t="n">
        <v>129.7</v>
      </c>
      <c r="B1299" t="n">
        <v>25</v>
      </c>
      <c r="C1299">
        <f>ROUND(SQRT(E1299),2)</f>
        <v/>
      </c>
      <c r="D1299">
        <f>MIN(MIN(B1299,Parameters!$B$2)^2, D1298+Parameters!$B$24)</f>
        <v/>
      </c>
      <c r="E1299">
        <f>MIN(D1299, E1300+Parameters!$B$24)</f>
        <v/>
      </c>
    </row>
    <row r="1300">
      <c r="A1300" t="n">
        <v>129.8</v>
      </c>
      <c r="B1300" t="n">
        <v>25</v>
      </c>
      <c r="C1300">
        <f>ROUND(SQRT(E1300),2)</f>
        <v/>
      </c>
      <c r="D1300">
        <f>MIN(MIN(B1300,Parameters!$B$2)^2, D1299+Parameters!$B$24)</f>
        <v/>
      </c>
      <c r="E1300">
        <f>MIN(D1300, E1301+Parameters!$B$24)</f>
        <v/>
      </c>
    </row>
    <row r="1301">
      <c r="A1301" t="n">
        <v>129.9</v>
      </c>
      <c r="B1301" t="n">
        <v>25</v>
      </c>
      <c r="C1301">
        <f>ROUND(SQRT(E1301),2)</f>
        <v/>
      </c>
      <c r="D1301">
        <f>MIN(MIN(B1301,Parameters!$B$2)^2, D1300+Parameters!$B$24)</f>
        <v/>
      </c>
      <c r="E1301">
        <f>MIN(D1301, E1302+Parameters!$B$24)</f>
        <v/>
      </c>
    </row>
    <row r="1302">
      <c r="A1302" t="n">
        <v>130</v>
      </c>
      <c r="B1302" t="n">
        <v>25</v>
      </c>
      <c r="C1302">
        <f>ROUND(SQRT(E1302),2)</f>
        <v/>
      </c>
      <c r="D1302">
        <f>MIN(MIN(B1302,Parameters!$B$2)^2, D1301+Parameters!$B$24)</f>
        <v/>
      </c>
      <c r="E1302">
        <f>MIN(D1302, E1303+Parameters!$B$24)</f>
        <v/>
      </c>
    </row>
    <row r="1303">
      <c r="A1303" t="n">
        <v>130.1</v>
      </c>
      <c r="B1303" t="n">
        <v>25</v>
      </c>
      <c r="C1303">
        <f>ROUND(SQRT(E1303),2)</f>
        <v/>
      </c>
      <c r="D1303">
        <f>MIN(MIN(B1303,Parameters!$B$2)^2, D1302+Parameters!$B$24)</f>
        <v/>
      </c>
      <c r="E1303">
        <f>MIN(D1303, E1304+Parameters!$B$24)</f>
        <v/>
      </c>
    </row>
    <row r="1304">
      <c r="A1304" t="n">
        <v>130.2</v>
      </c>
      <c r="B1304" t="n">
        <v>25</v>
      </c>
      <c r="C1304">
        <f>ROUND(SQRT(E1304),2)</f>
        <v/>
      </c>
      <c r="D1304">
        <f>MIN(MIN(B1304,Parameters!$B$2)^2, D1303+Parameters!$B$24)</f>
        <v/>
      </c>
      <c r="E1304">
        <f>MIN(D1304, E1305+Parameters!$B$24)</f>
        <v/>
      </c>
    </row>
    <row r="1305">
      <c r="A1305" t="n">
        <v>130.3</v>
      </c>
      <c r="B1305" t="n">
        <v>25</v>
      </c>
      <c r="C1305">
        <f>ROUND(SQRT(E1305),2)</f>
        <v/>
      </c>
      <c r="D1305">
        <f>MIN(MIN(B1305,Parameters!$B$2)^2, D1304+Parameters!$B$24)</f>
        <v/>
      </c>
      <c r="E1305">
        <f>MIN(D1305, E1306+Parameters!$B$24)</f>
        <v/>
      </c>
    </row>
    <row r="1306">
      <c r="A1306" t="n">
        <v>130.4</v>
      </c>
      <c r="B1306" t="n">
        <v>25</v>
      </c>
      <c r="C1306">
        <f>ROUND(SQRT(E1306),2)</f>
        <v/>
      </c>
      <c r="D1306">
        <f>MIN(MIN(B1306,Parameters!$B$2)^2, D1305+Parameters!$B$24)</f>
        <v/>
      </c>
      <c r="E1306">
        <f>MIN(D1306, E1307+Parameters!$B$24)</f>
        <v/>
      </c>
    </row>
    <row r="1307">
      <c r="A1307" t="n">
        <v>130.5</v>
      </c>
      <c r="B1307" t="n">
        <v>25</v>
      </c>
      <c r="C1307">
        <f>ROUND(SQRT(E1307),2)</f>
        <v/>
      </c>
      <c r="D1307">
        <f>MIN(MIN(B1307,Parameters!$B$2)^2, D1306+Parameters!$B$24)</f>
        <v/>
      </c>
      <c r="E1307">
        <f>MIN(D1307, E1308+Parameters!$B$24)</f>
        <v/>
      </c>
    </row>
    <row r="1308">
      <c r="A1308" t="n">
        <v>130.6</v>
      </c>
      <c r="B1308" t="n">
        <v>25</v>
      </c>
      <c r="C1308">
        <f>ROUND(SQRT(E1308),2)</f>
        <v/>
      </c>
      <c r="D1308">
        <f>MIN(MIN(B1308,Parameters!$B$2)^2, D1307+Parameters!$B$24)</f>
        <v/>
      </c>
      <c r="E1308">
        <f>MIN(D1308, E1309+Parameters!$B$24)</f>
        <v/>
      </c>
    </row>
    <row r="1309">
      <c r="A1309" t="n">
        <v>130.7</v>
      </c>
      <c r="B1309" t="n">
        <v>25</v>
      </c>
      <c r="C1309">
        <f>ROUND(SQRT(E1309),2)</f>
        <v/>
      </c>
      <c r="D1309">
        <f>MIN(MIN(B1309,Parameters!$B$2)^2, D1308+Parameters!$B$24)</f>
        <v/>
      </c>
      <c r="E1309">
        <f>MIN(D1309, E1310+Parameters!$B$24)</f>
        <v/>
      </c>
    </row>
    <row r="1310">
      <c r="A1310" t="n">
        <v>130.8</v>
      </c>
      <c r="B1310" t="n">
        <v>25</v>
      </c>
      <c r="C1310">
        <f>ROUND(SQRT(E1310),2)</f>
        <v/>
      </c>
      <c r="D1310">
        <f>MIN(MIN(B1310,Parameters!$B$2)^2, D1309+Parameters!$B$24)</f>
        <v/>
      </c>
      <c r="E1310">
        <f>MIN(D1310, E1311+Parameters!$B$24)</f>
        <v/>
      </c>
    </row>
    <row r="1311">
      <c r="A1311" t="n">
        <v>130.9</v>
      </c>
      <c r="B1311" t="n">
        <v>25</v>
      </c>
      <c r="C1311">
        <f>ROUND(SQRT(E1311),2)</f>
        <v/>
      </c>
      <c r="D1311">
        <f>MIN(MIN(B1311,Parameters!$B$2)^2, D1310+Parameters!$B$24)</f>
        <v/>
      </c>
      <c r="E1311">
        <f>MIN(D1311, E1312+Parameters!$B$24)</f>
        <v/>
      </c>
    </row>
    <row r="1312">
      <c r="A1312" t="n">
        <v>131</v>
      </c>
      <c r="B1312" t="n">
        <v>25</v>
      </c>
      <c r="C1312">
        <f>ROUND(SQRT(E1312),2)</f>
        <v/>
      </c>
      <c r="D1312">
        <f>MIN(MIN(B1312,Parameters!$B$2)^2, D1311+Parameters!$B$24)</f>
        <v/>
      </c>
      <c r="E1312">
        <f>MIN(D1312, E1313+Parameters!$B$24)</f>
        <v/>
      </c>
    </row>
    <row r="1313">
      <c r="A1313" t="n">
        <v>131.1</v>
      </c>
      <c r="B1313" t="n">
        <v>25</v>
      </c>
      <c r="C1313">
        <f>ROUND(SQRT(E1313),2)</f>
        <v/>
      </c>
      <c r="D1313">
        <f>MIN(MIN(B1313,Parameters!$B$2)^2, D1312+Parameters!$B$24)</f>
        <v/>
      </c>
      <c r="E1313">
        <f>MIN(D1313, E1314+Parameters!$B$24)</f>
        <v/>
      </c>
    </row>
    <row r="1314">
      <c r="A1314" t="n">
        <v>131.2</v>
      </c>
      <c r="B1314" t="n">
        <v>25</v>
      </c>
      <c r="C1314">
        <f>ROUND(SQRT(E1314),2)</f>
        <v/>
      </c>
      <c r="D1314">
        <f>MIN(MIN(B1314,Parameters!$B$2)^2, D1313+Parameters!$B$24)</f>
        <v/>
      </c>
      <c r="E1314">
        <f>MIN(D1314, E1315+Parameters!$B$24)</f>
        <v/>
      </c>
    </row>
    <row r="1315">
      <c r="A1315" t="n">
        <v>131.3</v>
      </c>
      <c r="B1315" t="n">
        <v>25</v>
      </c>
      <c r="C1315">
        <f>ROUND(SQRT(E1315),2)</f>
        <v/>
      </c>
      <c r="D1315">
        <f>MIN(MIN(B1315,Parameters!$B$2)^2, D1314+Parameters!$B$24)</f>
        <v/>
      </c>
      <c r="E1315">
        <f>MIN(D1315, E1316+Parameters!$B$24)</f>
        <v/>
      </c>
    </row>
    <row r="1316">
      <c r="A1316" t="n">
        <v>131.4</v>
      </c>
      <c r="B1316" t="n">
        <v>25</v>
      </c>
      <c r="C1316">
        <f>ROUND(SQRT(E1316),2)</f>
        <v/>
      </c>
      <c r="D1316">
        <f>MIN(MIN(B1316,Parameters!$B$2)^2, D1315+Parameters!$B$24)</f>
        <v/>
      </c>
      <c r="E1316">
        <f>MIN(D1316, E1317+Parameters!$B$24)</f>
        <v/>
      </c>
    </row>
    <row r="1317">
      <c r="A1317" t="n">
        <v>131.5</v>
      </c>
      <c r="B1317" t="n">
        <v>25</v>
      </c>
      <c r="C1317">
        <f>ROUND(SQRT(E1317),2)</f>
        <v/>
      </c>
      <c r="D1317">
        <f>MIN(MIN(B1317,Parameters!$B$2)^2, D1316+Parameters!$B$24)</f>
        <v/>
      </c>
      <c r="E1317">
        <f>MIN(D1317, E1318+Parameters!$B$24)</f>
        <v/>
      </c>
    </row>
    <row r="1318">
      <c r="A1318" t="n">
        <v>131.6</v>
      </c>
      <c r="B1318" t="n">
        <v>25</v>
      </c>
      <c r="C1318">
        <f>ROUND(SQRT(E1318),2)</f>
        <v/>
      </c>
      <c r="D1318">
        <f>MIN(MIN(B1318,Parameters!$B$2)^2, D1317+Parameters!$B$24)</f>
        <v/>
      </c>
      <c r="E1318">
        <f>MIN(D1318, E1319+Parameters!$B$24)</f>
        <v/>
      </c>
    </row>
    <row r="1319">
      <c r="A1319" t="n">
        <v>131.7</v>
      </c>
      <c r="B1319" t="n">
        <v>25</v>
      </c>
      <c r="C1319">
        <f>ROUND(SQRT(E1319),2)</f>
        <v/>
      </c>
      <c r="D1319">
        <f>MIN(MIN(B1319,Parameters!$B$2)^2, D1318+Parameters!$B$24)</f>
        <v/>
      </c>
      <c r="E1319">
        <f>MIN(D1319, E1320+Parameters!$B$24)</f>
        <v/>
      </c>
    </row>
    <row r="1320">
      <c r="A1320" t="n">
        <v>131.8</v>
      </c>
      <c r="B1320" t="n">
        <v>25</v>
      </c>
      <c r="C1320">
        <f>ROUND(SQRT(E1320),2)</f>
        <v/>
      </c>
      <c r="D1320">
        <f>MIN(MIN(B1320,Parameters!$B$2)^2, D1319+Parameters!$B$24)</f>
        <v/>
      </c>
      <c r="E1320">
        <f>MIN(D1320, E1321+Parameters!$B$24)</f>
        <v/>
      </c>
    </row>
    <row r="1321">
      <c r="A1321" t="n">
        <v>131.9</v>
      </c>
      <c r="B1321" t="n">
        <v>25</v>
      </c>
      <c r="C1321">
        <f>ROUND(SQRT(E1321),2)</f>
        <v/>
      </c>
      <c r="D1321">
        <f>MIN(MIN(B1321,Parameters!$B$2)^2, D1320+Parameters!$B$24)</f>
        <v/>
      </c>
      <c r="E1321">
        <f>MIN(D1321, E1322+Parameters!$B$24)</f>
        <v/>
      </c>
    </row>
    <row r="1322">
      <c r="A1322" t="n">
        <v>132</v>
      </c>
      <c r="B1322" t="n">
        <v>25</v>
      </c>
      <c r="C1322">
        <f>ROUND(SQRT(E1322),2)</f>
        <v/>
      </c>
      <c r="D1322">
        <f>MIN(MIN(B1322,Parameters!$B$2)^2, D1321+Parameters!$B$24)</f>
        <v/>
      </c>
      <c r="E1322">
        <f>MIN(D1322, E1323+Parameters!$B$24)</f>
        <v/>
      </c>
    </row>
    <row r="1323">
      <c r="A1323" t="n">
        <v>132.1</v>
      </c>
      <c r="B1323" t="n">
        <v>25</v>
      </c>
      <c r="C1323">
        <f>ROUND(SQRT(E1323),2)</f>
        <v/>
      </c>
      <c r="D1323">
        <f>MIN(MIN(B1323,Parameters!$B$2)^2, D1322+Parameters!$B$24)</f>
        <v/>
      </c>
      <c r="E1323">
        <f>MIN(D1323, E1324+Parameters!$B$24)</f>
        <v/>
      </c>
    </row>
    <row r="1324">
      <c r="A1324" t="n">
        <v>132.2</v>
      </c>
      <c r="B1324" t="n">
        <v>25</v>
      </c>
      <c r="C1324">
        <f>ROUND(SQRT(E1324),2)</f>
        <v/>
      </c>
      <c r="D1324">
        <f>MIN(MIN(B1324,Parameters!$B$2)^2, D1323+Parameters!$B$24)</f>
        <v/>
      </c>
      <c r="E1324">
        <f>MIN(D1324, E1325+Parameters!$B$24)</f>
        <v/>
      </c>
    </row>
    <row r="1325">
      <c r="A1325" t="n">
        <v>132.3</v>
      </c>
      <c r="B1325" t="n">
        <v>25</v>
      </c>
      <c r="C1325">
        <f>ROUND(SQRT(E1325),2)</f>
        <v/>
      </c>
      <c r="D1325">
        <f>MIN(MIN(B1325,Parameters!$B$2)^2, D1324+Parameters!$B$24)</f>
        <v/>
      </c>
      <c r="E1325">
        <f>MIN(D1325, E1326+Parameters!$B$24)</f>
        <v/>
      </c>
    </row>
    <row r="1326">
      <c r="A1326" t="n">
        <v>132.4</v>
      </c>
      <c r="B1326" t="n">
        <v>25</v>
      </c>
      <c r="C1326">
        <f>ROUND(SQRT(E1326),2)</f>
        <v/>
      </c>
      <c r="D1326">
        <f>MIN(MIN(B1326,Parameters!$B$2)^2, D1325+Parameters!$B$24)</f>
        <v/>
      </c>
      <c r="E1326">
        <f>MIN(D1326, E1327+Parameters!$B$24)</f>
        <v/>
      </c>
    </row>
    <row r="1327">
      <c r="A1327" t="n">
        <v>132.5</v>
      </c>
      <c r="B1327" t="n">
        <v>25</v>
      </c>
      <c r="C1327">
        <f>ROUND(SQRT(E1327),2)</f>
        <v/>
      </c>
      <c r="D1327">
        <f>MIN(MIN(B1327,Parameters!$B$2)^2, D1326+Parameters!$B$24)</f>
        <v/>
      </c>
      <c r="E1327">
        <f>MIN(D1327, E1328+Parameters!$B$24)</f>
        <v/>
      </c>
    </row>
    <row r="1328">
      <c r="A1328" t="n">
        <v>132.6</v>
      </c>
      <c r="B1328" t="n">
        <v>25</v>
      </c>
      <c r="C1328">
        <f>ROUND(SQRT(E1328),2)</f>
        <v/>
      </c>
      <c r="D1328">
        <f>MIN(MIN(B1328,Parameters!$B$2)^2, D1327+Parameters!$B$24)</f>
        <v/>
      </c>
      <c r="E1328">
        <f>MIN(D1328, E1329+Parameters!$B$24)</f>
        <v/>
      </c>
    </row>
    <row r="1329">
      <c r="A1329" t="n">
        <v>132.7</v>
      </c>
      <c r="B1329" t="n">
        <v>25</v>
      </c>
      <c r="C1329">
        <f>ROUND(SQRT(E1329),2)</f>
        <v/>
      </c>
      <c r="D1329">
        <f>MIN(MIN(B1329,Parameters!$B$2)^2, D1328+Parameters!$B$24)</f>
        <v/>
      </c>
      <c r="E1329">
        <f>MIN(D1329, E1330+Parameters!$B$24)</f>
        <v/>
      </c>
    </row>
    <row r="1330">
      <c r="A1330" t="n">
        <v>132.8</v>
      </c>
      <c r="B1330" t="n">
        <v>25</v>
      </c>
      <c r="C1330">
        <f>ROUND(SQRT(E1330),2)</f>
        <v/>
      </c>
      <c r="D1330">
        <f>MIN(MIN(B1330,Parameters!$B$2)^2, D1329+Parameters!$B$24)</f>
        <v/>
      </c>
      <c r="E1330">
        <f>MIN(D1330, E1331+Parameters!$B$24)</f>
        <v/>
      </c>
    </row>
    <row r="1331">
      <c r="A1331" t="n">
        <v>132.9</v>
      </c>
      <c r="B1331" t="n">
        <v>25</v>
      </c>
      <c r="C1331">
        <f>ROUND(SQRT(E1331),2)</f>
        <v/>
      </c>
      <c r="D1331">
        <f>MIN(MIN(B1331,Parameters!$B$2)^2, D1330+Parameters!$B$24)</f>
        <v/>
      </c>
      <c r="E1331">
        <f>MIN(D1331, E1332+Parameters!$B$24)</f>
        <v/>
      </c>
    </row>
    <row r="1332">
      <c r="A1332" t="n">
        <v>133</v>
      </c>
      <c r="B1332" t="n">
        <v>25</v>
      </c>
      <c r="C1332">
        <f>ROUND(SQRT(E1332),2)</f>
        <v/>
      </c>
      <c r="D1332">
        <f>MIN(MIN(B1332,Parameters!$B$2)^2, D1331+Parameters!$B$24)</f>
        <v/>
      </c>
      <c r="E1332">
        <f>MIN(D1332, E1333+Parameters!$B$24)</f>
        <v/>
      </c>
    </row>
    <row r="1333">
      <c r="A1333" t="n">
        <v>133.1</v>
      </c>
      <c r="B1333" t="n">
        <v>25</v>
      </c>
      <c r="C1333">
        <f>ROUND(SQRT(E1333),2)</f>
        <v/>
      </c>
      <c r="D1333">
        <f>MIN(MIN(B1333,Parameters!$B$2)^2, D1332+Parameters!$B$24)</f>
        <v/>
      </c>
      <c r="E1333">
        <f>MIN(D1333, E1334+Parameters!$B$24)</f>
        <v/>
      </c>
    </row>
    <row r="1334">
      <c r="A1334" t="n">
        <v>133.2</v>
      </c>
      <c r="B1334" t="n">
        <v>25</v>
      </c>
      <c r="C1334">
        <f>ROUND(SQRT(E1334),2)</f>
        <v/>
      </c>
      <c r="D1334">
        <f>MIN(MIN(B1334,Parameters!$B$2)^2, D1333+Parameters!$B$24)</f>
        <v/>
      </c>
      <c r="E1334">
        <f>MIN(D1334, E1335+Parameters!$B$24)</f>
        <v/>
      </c>
    </row>
    <row r="1335">
      <c r="A1335" t="n">
        <v>133.3</v>
      </c>
      <c r="B1335" t="n">
        <v>25</v>
      </c>
      <c r="C1335">
        <f>ROUND(SQRT(E1335),2)</f>
        <v/>
      </c>
      <c r="D1335">
        <f>MIN(MIN(B1335,Parameters!$B$2)^2, D1334+Parameters!$B$24)</f>
        <v/>
      </c>
      <c r="E1335">
        <f>MIN(D1335, E1336+Parameters!$B$24)</f>
        <v/>
      </c>
    </row>
    <row r="1336">
      <c r="A1336" t="n">
        <v>133.4</v>
      </c>
      <c r="B1336" t="n">
        <v>25</v>
      </c>
      <c r="C1336">
        <f>ROUND(SQRT(E1336),2)</f>
        <v/>
      </c>
      <c r="D1336">
        <f>MIN(MIN(B1336,Parameters!$B$2)^2, D1335+Parameters!$B$24)</f>
        <v/>
      </c>
      <c r="E1336">
        <f>MIN(D1336, E1337+Parameters!$B$24)</f>
        <v/>
      </c>
    </row>
    <row r="1337">
      <c r="A1337" t="n">
        <v>133.5</v>
      </c>
      <c r="B1337" t="n">
        <v>25</v>
      </c>
      <c r="C1337">
        <f>ROUND(SQRT(E1337),2)</f>
        <v/>
      </c>
      <c r="D1337">
        <f>MIN(MIN(B1337,Parameters!$B$2)^2, D1336+Parameters!$B$24)</f>
        <v/>
      </c>
      <c r="E1337">
        <f>MIN(D1337, E1338+Parameters!$B$24)</f>
        <v/>
      </c>
    </row>
    <row r="1338">
      <c r="A1338" t="n">
        <v>133.6</v>
      </c>
      <c r="B1338" t="n">
        <v>25</v>
      </c>
      <c r="C1338">
        <f>ROUND(SQRT(E1338),2)</f>
        <v/>
      </c>
      <c r="D1338">
        <f>MIN(MIN(B1338,Parameters!$B$2)^2, D1337+Parameters!$B$24)</f>
        <v/>
      </c>
      <c r="E1338">
        <f>MIN(D1338, E1339+Parameters!$B$24)</f>
        <v/>
      </c>
    </row>
    <row r="1339">
      <c r="A1339" t="n">
        <v>133.7</v>
      </c>
      <c r="B1339" t="n">
        <v>25</v>
      </c>
      <c r="C1339">
        <f>ROUND(SQRT(E1339),2)</f>
        <v/>
      </c>
      <c r="D1339">
        <f>MIN(MIN(B1339,Parameters!$B$2)^2, D1338+Parameters!$B$24)</f>
        <v/>
      </c>
      <c r="E1339">
        <f>MIN(D1339, E1340+Parameters!$B$24)</f>
        <v/>
      </c>
    </row>
    <row r="1340">
      <c r="A1340" t="n">
        <v>133.8</v>
      </c>
      <c r="B1340" t="n">
        <v>25</v>
      </c>
      <c r="C1340">
        <f>ROUND(SQRT(E1340),2)</f>
        <v/>
      </c>
      <c r="D1340">
        <f>MIN(MIN(B1340,Parameters!$B$2)^2, D1339+Parameters!$B$24)</f>
        <v/>
      </c>
      <c r="E1340">
        <f>MIN(D1340, E1341+Parameters!$B$24)</f>
        <v/>
      </c>
    </row>
    <row r="1341">
      <c r="A1341" t="n">
        <v>133.9</v>
      </c>
      <c r="B1341" t="n">
        <v>25</v>
      </c>
      <c r="C1341">
        <f>ROUND(SQRT(E1341),2)</f>
        <v/>
      </c>
      <c r="D1341">
        <f>MIN(MIN(B1341,Parameters!$B$2)^2, D1340+Parameters!$B$24)</f>
        <v/>
      </c>
      <c r="E1341">
        <f>MIN(D1341, E1342+Parameters!$B$24)</f>
        <v/>
      </c>
    </row>
    <row r="1342">
      <c r="A1342" t="n">
        <v>134</v>
      </c>
      <c r="B1342" t="n">
        <v>25</v>
      </c>
      <c r="C1342">
        <f>ROUND(SQRT(E1342),2)</f>
        <v/>
      </c>
      <c r="D1342">
        <f>MIN(MIN(B1342,Parameters!$B$2)^2, D1341+Parameters!$B$24)</f>
        <v/>
      </c>
      <c r="E1342">
        <f>MIN(D1342, E1343+Parameters!$B$24)</f>
        <v/>
      </c>
    </row>
    <row r="1343">
      <c r="A1343" t="n">
        <v>134.1</v>
      </c>
      <c r="B1343" t="n">
        <v>25</v>
      </c>
      <c r="C1343">
        <f>ROUND(SQRT(E1343),2)</f>
        <v/>
      </c>
      <c r="D1343">
        <f>MIN(MIN(B1343,Parameters!$B$2)^2, D1342+Parameters!$B$24)</f>
        <v/>
      </c>
      <c r="E1343">
        <f>MIN(D1343, E1344+Parameters!$B$24)</f>
        <v/>
      </c>
    </row>
    <row r="1344">
      <c r="A1344" t="n">
        <v>134.2</v>
      </c>
      <c r="B1344" t="n">
        <v>25</v>
      </c>
      <c r="C1344">
        <f>ROUND(SQRT(E1344),2)</f>
        <v/>
      </c>
      <c r="D1344">
        <f>MIN(MIN(B1344,Parameters!$B$2)^2, D1343+Parameters!$B$24)</f>
        <v/>
      </c>
      <c r="E1344">
        <f>MIN(D1344, E1345+Parameters!$B$24)</f>
        <v/>
      </c>
    </row>
    <row r="1345">
      <c r="A1345" t="n">
        <v>134.3</v>
      </c>
      <c r="B1345" t="n">
        <v>25</v>
      </c>
      <c r="C1345">
        <f>ROUND(SQRT(E1345),2)</f>
        <v/>
      </c>
      <c r="D1345">
        <f>MIN(MIN(B1345,Parameters!$B$2)^2, D1344+Parameters!$B$24)</f>
        <v/>
      </c>
      <c r="E1345">
        <f>MIN(D1345, E1346+Parameters!$B$24)</f>
        <v/>
      </c>
    </row>
    <row r="1346">
      <c r="A1346" t="n">
        <v>134.4</v>
      </c>
      <c r="B1346" t="n">
        <v>25</v>
      </c>
      <c r="C1346">
        <f>ROUND(SQRT(E1346),2)</f>
        <v/>
      </c>
      <c r="D1346">
        <f>MIN(MIN(B1346,Parameters!$B$2)^2, D1345+Parameters!$B$24)</f>
        <v/>
      </c>
      <c r="E1346">
        <f>MIN(D1346, E1347+Parameters!$B$24)</f>
        <v/>
      </c>
    </row>
    <row r="1347">
      <c r="A1347" t="n">
        <v>134.5</v>
      </c>
      <c r="B1347" t="n">
        <v>25</v>
      </c>
      <c r="C1347">
        <f>ROUND(SQRT(E1347),2)</f>
        <v/>
      </c>
      <c r="D1347">
        <f>MIN(MIN(B1347,Parameters!$B$2)^2, D1346+Parameters!$B$24)</f>
        <v/>
      </c>
      <c r="E1347">
        <f>MIN(D1347, E1348+Parameters!$B$24)</f>
        <v/>
      </c>
    </row>
    <row r="1348">
      <c r="A1348" t="n">
        <v>134.6</v>
      </c>
      <c r="B1348" t="n">
        <v>25</v>
      </c>
      <c r="C1348">
        <f>ROUND(SQRT(E1348),2)</f>
        <v/>
      </c>
      <c r="D1348">
        <f>MIN(MIN(B1348,Parameters!$B$2)^2, D1347+Parameters!$B$24)</f>
        <v/>
      </c>
      <c r="E1348">
        <f>MIN(D1348, E1349+Parameters!$B$24)</f>
        <v/>
      </c>
    </row>
    <row r="1349">
      <c r="A1349" t="n">
        <v>134.7</v>
      </c>
      <c r="B1349" t="n">
        <v>25</v>
      </c>
      <c r="C1349">
        <f>ROUND(SQRT(E1349),2)</f>
        <v/>
      </c>
      <c r="D1349">
        <f>MIN(MIN(B1349,Parameters!$B$2)^2, D1348+Parameters!$B$24)</f>
        <v/>
      </c>
      <c r="E1349">
        <f>MIN(D1349, E1350+Parameters!$B$24)</f>
        <v/>
      </c>
    </row>
    <row r="1350">
      <c r="A1350" t="n">
        <v>134.8</v>
      </c>
      <c r="B1350" t="n">
        <v>25</v>
      </c>
      <c r="C1350">
        <f>ROUND(SQRT(E1350),2)</f>
        <v/>
      </c>
      <c r="D1350">
        <f>MIN(MIN(B1350,Parameters!$B$2)^2, D1349+Parameters!$B$24)</f>
        <v/>
      </c>
      <c r="E1350">
        <f>MIN(D1350, E1351+Parameters!$B$24)</f>
        <v/>
      </c>
    </row>
    <row r="1351">
      <c r="A1351" t="n">
        <v>134.9</v>
      </c>
      <c r="B1351" t="n">
        <v>25</v>
      </c>
      <c r="C1351">
        <f>ROUND(SQRT(E1351),2)</f>
        <v/>
      </c>
      <c r="D1351">
        <f>MIN(MIN(B1351,Parameters!$B$2)^2, D1350+Parameters!$B$24)</f>
        <v/>
      </c>
      <c r="E1351">
        <f>MIN(D1351, E1352+Parameters!$B$24)</f>
        <v/>
      </c>
    </row>
    <row r="1352">
      <c r="A1352" t="n">
        <v>135</v>
      </c>
      <c r="B1352" t="n">
        <v>25</v>
      </c>
      <c r="C1352">
        <f>ROUND(SQRT(E1352),2)</f>
        <v/>
      </c>
      <c r="D1352">
        <f>MIN(MIN(B1352,Parameters!$B$2)^2, D1351+Parameters!$B$24)</f>
        <v/>
      </c>
      <c r="E1352">
        <f>MIN(D1352, E1353+Parameters!$B$24)</f>
        <v/>
      </c>
    </row>
    <row r="1353">
      <c r="A1353" t="n">
        <v>135.1</v>
      </c>
      <c r="B1353" t="n">
        <v>25</v>
      </c>
      <c r="C1353">
        <f>ROUND(SQRT(E1353),2)</f>
        <v/>
      </c>
      <c r="D1353">
        <f>MIN(MIN(B1353,Parameters!$B$2)^2, D1352+Parameters!$B$24)</f>
        <v/>
      </c>
      <c r="E1353">
        <f>MIN(D1353, E1354+Parameters!$B$24)</f>
        <v/>
      </c>
    </row>
    <row r="1354">
      <c r="A1354" t="n">
        <v>135.2</v>
      </c>
      <c r="B1354" t="n">
        <v>25</v>
      </c>
      <c r="C1354">
        <f>ROUND(SQRT(E1354),2)</f>
        <v/>
      </c>
      <c r="D1354">
        <f>MIN(MIN(B1354,Parameters!$B$2)^2, D1353+Parameters!$B$24)</f>
        <v/>
      </c>
      <c r="E1354">
        <f>MIN(D1354, E1355+Parameters!$B$24)</f>
        <v/>
      </c>
    </row>
    <row r="1355">
      <c r="A1355" t="n">
        <v>135.3</v>
      </c>
      <c r="B1355" t="n">
        <v>25</v>
      </c>
      <c r="C1355">
        <f>ROUND(SQRT(E1355),2)</f>
        <v/>
      </c>
      <c r="D1355">
        <f>MIN(MIN(B1355,Parameters!$B$2)^2, D1354+Parameters!$B$24)</f>
        <v/>
      </c>
      <c r="E1355">
        <f>MIN(D1355, E1356+Parameters!$B$24)</f>
        <v/>
      </c>
    </row>
    <row r="1356">
      <c r="A1356" t="n">
        <v>135.4</v>
      </c>
      <c r="B1356" t="n">
        <v>25</v>
      </c>
      <c r="C1356">
        <f>ROUND(SQRT(E1356),2)</f>
        <v/>
      </c>
      <c r="D1356">
        <f>MIN(MIN(B1356,Parameters!$B$2)^2, D1355+Parameters!$B$24)</f>
        <v/>
      </c>
      <c r="E1356">
        <f>MIN(D1356, E1357+Parameters!$B$24)</f>
        <v/>
      </c>
    </row>
    <row r="1357">
      <c r="A1357" t="n">
        <v>135.5</v>
      </c>
      <c r="B1357" t="n">
        <v>25</v>
      </c>
      <c r="C1357">
        <f>ROUND(SQRT(E1357),2)</f>
        <v/>
      </c>
      <c r="D1357">
        <f>MIN(MIN(B1357,Parameters!$B$2)^2, D1356+Parameters!$B$24)</f>
        <v/>
      </c>
      <c r="E1357">
        <f>MIN(D1357, E1358+Parameters!$B$24)</f>
        <v/>
      </c>
    </row>
    <row r="1358">
      <c r="A1358" t="n">
        <v>135.6</v>
      </c>
      <c r="B1358" t="n">
        <v>25</v>
      </c>
      <c r="C1358">
        <f>ROUND(SQRT(E1358),2)</f>
        <v/>
      </c>
      <c r="D1358">
        <f>MIN(MIN(B1358,Parameters!$B$2)^2, D1357+Parameters!$B$24)</f>
        <v/>
      </c>
      <c r="E1358">
        <f>MIN(D1358, E1359+Parameters!$B$24)</f>
        <v/>
      </c>
    </row>
    <row r="1359">
      <c r="A1359" t="n">
        <v>135.7</v>
      </c>
      <c r="B1359" t="n">
        <v>25</v>
      </c>
      <c r="C1359">
        <f>ROUND(SQRT(E1359),2)</f>
        <v/>
      </c>
      <c r="D1359">
        <f>MIN(MIN(B1359,Parameters!$B$2)^2, D1358+Parameters!$B$24)</f>
        <v/>
      </c>
      <c r="E1359">
        <f>MIN(D1359, E1360+Parameters!$B$24)</f>
        <v/>
      </c>
    </row>
    <row r="1360">
      <c r="A1360" t="n">
        <v>135.8</v>
      </c>
      <c r="B1360" t="n">
        <v>25</v>
      </c>
      <c r="C1360">
        <f>ROUND(SQRT(E1360),2)</f>
        <v/>
      </c>
      <c r="D1360">
        <f>MIN(MIN(B1360,Parameters!$B$2)^2, D1359+Parameters!$B$24)</f>
        <v/>
      </c>
      <c r="E1360">
        <f>MIN(D1360, E1361+Parameters!$B$24)</f>
        <v/>
      </c>
    </row>
    <row r="1361">
      <c r="A1361" t="n">
        <v>135.9</v>
      </c>
      <c r="B1361" t="n">
        <v>25</v>
      </c>
      <c r="C1361">
        <f>ROUND(SQRT(E1361),2)</f>
        <v/>
      </c>
      <c r="D1361">
        <f>MIN(MIN(B1361,Parameters!$B$2)^2, D1360+Parameters!$B$24)</f>
        <v/>
      </c>
      <c r="E1361">
        <f>MIN(D1361, E1362+Parameters!$B$24)</f>
        <v/>
      </c>
    </row>
    <row r="1362">
      <c r="A1362" t="n">
        <v>136</v>
      </c>
      <c r="B1362" t="n">
        <v>25</v>
      </c>
      <c r="C1362">
        <f>ROUND(SQRT(E1362),2)</f>
        <v/>
      </c>
      <c r="D1362">
        <f>MIN(MIN(B1362,Parameters!$B$2)^2, D1361+Parameters!$B$24)</f>
        <v/>
      </c>
      <c r="E1362">
        <f>MIN(D1362, E1363+Parameters!$B$24)</f>
        <v/>
      </c>
    </row>
    <row r="1363">
      <c r="A1363" t="n">
        <v>136.1</v>
      </c>
      <c r="B1363" t="n">
        <v>25</v>
      </c>
      <c r="C1363">
        <f>ROUND(SQRT(E1363),2)</f>
        <v/>
      </c>
      <c r="D1363">
        <f>MIN(MIN(B1363,Parameters!$B$2)^2, D1362+Parameters!$B$24)</f>
        <v/>
      </c>
      <c r="E1363">
        <f>MIN(D1363, E1364+Parameters!$B$24)</f>
        <v/>
      </c>
    </row>
    <row r="1364">
      <c r="A1364" t="n">
        <v>136.2</v>
      </c>
      <c r="B1364" t="n">
        <v>25</v>
      </c>
      <c r="C1364">
        <f>ROUND(SQRT(E1364),2)</f>
        <v/>
      </c>
      <c r="D1364">
        <f>MIN(MIN(B1364,Parameters!$B$2)^2, D1363+Parameters!$B$24)</f>
        <v/>
      </c>
      <c r="E1364">
        <f>MIN(D1364, E1365+Parameters!$B$24)</f>
        <v/>
      </c>
    </row>
    <row r="1365">
      <c r="A1365" t="n">
        <v>136.3</v>
      </c>
      <c r="B1365" t="n">
        <v>25</v>
      </c>
      <c r="C1365">
        <f>ROUND(SQRT(E1365),2)</f>
        <v/>
      </c>
      <c r="D1365">
        <f>MIN(MIN(B1365,Parameters!$B$2)^2, D1364+Parameters!$B$24)</f>
        <v/>
      </c>
      <c r="E1365">
        <f>MIN(D1365, E1366+Parameters!$B$24)</f>
        <v/>
      </c>
    </row>
    <row r="1366">
      <c r="A1366" t="n">
        <v>136.4</v>
      </c>
      <c r="B1366" t="n">
        <v>25</v>
      </c>
      <c r="C1366">
        <f>ROUND(SQRT(E1366),2)</f>
        <v/>
      </c>
      <c r="D1366">
        <f>MIN(MIN(B1366,Parameters!$B$2)^2, D1365+Parameters!$B$24)</f>
        <v/>
      </c>
      <c r="E1366">
        <f>MIN(D1366, E1367+Parameters!$B$24)</f>
        <v/>
      </c>
    </row>
    <row r="1367">
      <c r="A1367" t="n">
        <v>136.5</v>
      </c>
      <c r="B1367" t="n">
        <v>25</v>
      </c>
      <c r="C1367">
        <f>ROUND(SQRT(E1367),2)</f>
        <v/>
      </c>
      <c r="D1367">
        <f>MIN(MIN(B1367,Parameters!$B$2)^2, D1366+Parameters!$B$24)</f>
        <v/>
      </c>
      <c r="E1367">
        <f>MIN(D1367, E1368+Parameters!$B$24)</f>
        <v/>
      </c>
    </row>
    <row r="1368">
      <c r="A1368" t="n">
        <v>136.6</v>
      </c>
      <c r="B1368" t="n">
        <v>25</v>
      </c>
      <c r="C1368">
        <f>ROUND(SQRT(E1368),2)</f>
        <v/>
      </c>
      <c r="D1368">
        <f>MIN(MIN(B1368,Parameters!$B$2)^2, D1367+Parameters!$B$24)</f>
        <v/>
      </c>
      <c r="E1368">
        <f>MIN(D1368, E1369+Parameters!$B$24)</f>
        <v/>
      </c>
    </row>
    <row r="1369">
      <c r="A1369" t="n">
        <v>136.7</v>
      </c>
      <c r="B1369" t="n">
        <v>25</v>
      </c>
      <c r="C1369">
        <f>ROUND(SQRT(E1369),2)</f>
        <v/>
      </c>
      <c r="D1369">
        <f>MIN(MIN(B1369,Parameters!$B$2)^2, D1368+Parameters!$B$24)</f>
        <v/>
      </c>
      <c r="E1369">
        <f>MIN(D1369, E1370+Parameters!$B$24)</f>
        <v/>
      </c>
    </row>
    <row r="1370">
      <c r="A1370" t="n">
        <v>136.8</v>
      </c>
      <c r="B1370" t="n">
        <v>25</v>
      </c>
      <c r="C1370">
        <f>ROUND(SQRT(E1370),2)</f>
        <v/>
      </c>
      <c r="D1370">
        <f>MIN(MIN(B1370,Parameters!$B$2)^2, D1369+Parameters!$B$24)</f>
        <v/>
      </c>
      <c r="E1370">
        <f>MIN(D1370, E1371+Parameters!$B$24)</f>
        <v/>
      </c>
    </row>
    <row r="1371">
      <c r="A1371" t="n">
        <v>136.9</v>
      </c>
      <c r="B1371" t="n">
        <v>25</v>
      </c>
      <c r="C1371">
        <f>ROUND(SQRT(E1371),2)</f>
        <v/>
      </c>
      <c r="D1371">
        <f>MIN(MIN(B1371,Parameters!$B$2)^2, D1370+Parameters!$B$24)</f>
        <v/>
      </c>
      <c r="E1371">
        <f>MIN(D1371, E1372+Parameters!$B$24)</f>
        <v/>
      </c>
    </row>
    <row r="1372">
      <c r="A1372" t="n">
        <v>137</v>
      </c>
      <c r="B1372" t="n">
        <v>25</v>
      </c>
      <c r="C1372">
        <f>ROUND(SQRT(E1372),2)</f>
        <v/>
      </c>
      <c r="D1372">
        <f>MIN(MIN(B1372,Parameters!$B$2)^2, D1371+Parameters!$B$24)</f>
        <v/>
      </c>
      <c r="E1372">
        <f>MIN(D1372, E1373+Parameters!$B$24)</f>
        <v/>
      </c>
    </row>
    <row r="1373">
      <c r="A1373" t="n">
        <v>137.1</v>
      </c>
      <c r="B1373" t="n">
        <v>25</v>
      </c>
      <c r="C1373">
        <f>ROUND(SQRT(E1373),2)</f>
        <v/>
      </c>
      <c r="D1373">
        <f>MIN(MIN(B1373,Parameters!$B$2)^2, D1372+Parameters!$B$24)</f>
        <v/>
      </c>
      <c r="E1373">
        <f>MIN(D1373, E1374+Parameters!$B$24)</f>
        <v/>
      </c>
    </row>
    <row r="1374">
      <c r="A1374" t="n">
        <v>137.2</v>
      </c>
      <c r="B1374" t="n">
        <v>25</v>
      </c>
      <c r="C1374">
        <f>ROUND(SQRT(E1374),2)</f>
        <v/>
      </c>
      <c r="D1374">
        <f>MIN(MIN(B1374,Parameters!$B$2)^2, D1373+Parameters!$B$24)</f>
        <v/>
      </c>
      <c r="E1374">
        <f>MIN(D1374, E1375+Parameters!$B$24)</f>
        <v/>
      </c>
    </row>
    <row r="1375">
      <c r="A1375" t="n">
        <v>137.3</v>
      </c>
      <c r="B1375" t="n">
        <v>25</v>
      </c>
      <c r="C1375">
        <f>ROUND(SQRT(E1375),2)</f>
        <v/>
      </c>
      <c r="D1375">
        <f>MIN(MIN(B1375,Parameters!$B$2)^2, D1374+Parameters!$B$24)</f>
        <v/>
      </c>
      <c r="E1375">
        <f>MIN(D1375, E1376+Parameters!$B$24)</f>
        <v/>
      </c>
    </row>
    <row r="1376">
      <c r="A1376" t="n">
        <v>137.4</v>
      </c>
      <c r="B1376" t="n">
        <v>25</v>
      </c>
      <c r="C1376">
        <f>ROUND(SQRT(E1376),2)</f>
        <v/>
      </c>
      <c r="D1376">
        <f>MIN(MIN(B1376,Parameters!$B$2)^2, D1375+Parameters!$B$24)</f>
        <v/>
      </c>
      <c r="E1376">
        <f>MIN(D1376, E1377+Parameters!$B$24)</f>
        <v/>
      </c>
    </row>
    <row r="1377">
      <c r="A1377" t="n">
        <v>137.5</v>
      </c>
      <c r="B1377" t="n">
        <v>25</v>
      </c>
      <c r="C1377">
        <f>ROUND(SQRT(E1377),2)</f>
        <v/>
      </c>
      <c r="D1377">
        <f>MIN(MIN(B1377,Parameters!$B$2)^2, D1376+Parameters!$B$24)</f>
        <v/>
      </c>
      <c r="E1377">
        <f>MIN(D1377, E1378+Parameters!$B$24)</f>
        <v/>
      </c>
    </row>
    <row r="1378">
      <c r="A1378" t="n">
        <v>137.6</v>
      </c>
      <c r="B1378" t="n">
        <v>25</v>
      </c>
      <c r="C1378">
        <f>ROUND(SQRT(E1378),2)</f>
        <v/>
      </c>
      <c r="D1378">
        <f>MIN(MIN(B1378,Parameters!$B$2)^2, D1377+Parameters!$B$24)</f>
        <v/>
      </c>
      <c r="E1378">
        <f>MIN(D1378, E1379+Parameters!$B$24)</f>
        <v/>
      </c>
    </row>
    <row r="1379">
      <c r="A1379" t="n">
        <v>137.7</v>
      </c>
      <c r="B1379" t="n">
        <v>25</v>
      </c>
      <c r="C1379">
        <f>ROUND(SQRT(E1379),2)</f>
        <v/>
      </c>
      <c r="D1379">
        <f>MIN(MIN(B1379,Parameters!$B$2)^2, D1378+Parameters!$B$24)</f>
        <v/>
      </c>
      <c r="E1379">
        <f>MIN(D1379, E1380+Parameters!$B$24)</f>
        <v/>
      </c>
    </row>
    <row r="1380">
      <c r="A1380" t="n">
        <v>137.8</v>
      </c>
      <c r="B1380" t="n">
        <v>25</v>
      </c>
      <c r="C1380">
        <f>ROUND(SQRT(E1380),2)</f>
        <v/>
      </c>
      <c r="D1380">
        <f>MIN(MIN(B1380,Parameters!$B$2)^2, D1379+Parameters!$B$24)</f>
        <v/>
      </c>
      <c r="E1380">
        <f>MIN(D1380, E1381+Parameters!$B$24)</f>
        <v/>
      </c>
    </row>
    <row r="1381">
      <c r="A1381" t="n">
        <v>137.9</v>
      </c>
      <c r="B1381" t="n">
        <v>25</v>
      </c>
      <c r="C1381">
        <f>ROUND(SQRT(E1381),2)</f>
        <v/>
      </c>
      <c r="D1381">
        <f>MIN(MIN(B1381,Parameters!$B$2)^2, D1380+Parameters!$B$24)</f>
        <v/>
      </c>
      <c r="E1381">
        <f>MIN(D1381, E1382+Parameters!$B$24)</f>
        <v/>
      </c>
    </row>
    <row r="1382">
      <c r="A1382" t="n">
        <v>138</v>
      </c>
      <c r="B1382" t="n">
        <v>25</v>
      </c>
      <c r="C1382">
        <f>ROUND(SQRT(E1382),2)</f>
        <v/>
      </c>
      <c r="D1382">
        <f>MIN(MIN(B1382,Parameters!$B$2)^2, D1381+Parameters!$B$24)</f>
        <v/>
      </c>
      <c r="E1382">
        <f>MIN(D1382, E1383+Parameters!$B$24)</f>
        <v/>
      </c>
    </row>
    <row r="1383">
      <c r="A1383" t="n">
        <v>138.1</v>
      </c>
      <c r="B1383" t="n">
        <v>25</v>
      </c>
      <c r="C1383">
        <f>ROUND(SQRT(E1383),2)</f>
        <v/>
      </c>
      <c r="D1383">
        <f>MIN(MIN(B1383,Parameters!$B$2)^2, D1382+Parameters!$B$24)</f>
        <v/>
      </c>
      <c r="E1383">
        <f>MIN(D1383, E1384+Parameters!$B$24)</f>
        <v/>
      </c>
    </row>
    <row r="1384">
      <c r="A1384" t="n">
        <v>138.2</v>
      </c>
      <c r="B1384" t="n">
        <v>25</v>
      </c>
      <c r="C1384">
        <f>ROUND(SQRT(E1384),2)</f>
        <v/>
      </c>
      <c r="D1384">
        <f>MIN(MIN(B1384,Parameters!$B$2)^2, D1383+Parameters!$B$24)</f>
        <v/>
      </c>
      <c r="E1384">
        <f>MIN(D1384, E1385+Parameters!$B$24)</f>
        <v/>
      </c>
    </row>
    <row r="1385">
      <c r="A1385" t="n">
        <v>138.3</v>
      </c>
      <c r="B1385" t="n">
        <v>25</v>
      </c>
      <c r="C1385">
        <f>ROUND(SQRT(E1385),2)</f>
        <v/>
      </c>
      <c r="D1385">
        <f>MIN(MIN(B1385,Parameters!$B$2)^2, D1384+Parameters!$B$24)</f>
        <v/>
      </c>
      <c r="E1385">
        <f>MIN(D1385, E1386+Parameters!$B$24)</f>
        <v/>
      </c>
    </row>
    <row r="1386">
      <c r="A1386" t="n">
        <v>138.4</v>
      </c>
      <c r="B1386" t="n">
        <v>25</v>
      </c>
      <c r="C1386">
        <f>ROUND(SQRT(E1386),2)</f>
        <v/>
      </c>
      <c r="D1386">
        <f>MIN(MIN(B1386,Parameters!$B$2)^2, D1385+Parameters!$B$24)</f>
        <v/>
      </c>
      <c r="E1386">
        <f>MIN(D1386, E1387+Parameters!$B$24)</f>
        <v/>
      </c>
    </row>
    <row r="1387">
      <c r="A1387" t="n">
        <v>138.5</v>
      </c>
      <c r="B1387" t="n">
        <v>25</v>
      </c>
      <c r="C1387">
        <f>ROUND(SQRT(E1387),2)</f>
        <v/>
      </c>
      <c r="D1387">
        <f>MIN(MIN(B1387,Parameters!$B$2)^2, D1386+Parameters!$B$24)</f>
        <v/>
      </c>
      <c r="E1387">
        <f>MIN(D1387, E1388+Parameters!$B$24)</f>
        <v/>
      </c>
    </row>
    <row r="1388">
      <c r="A1388" t="n">
        <v>138.6</v>
      </c>
      <c r="B1388" t="n">
        <v>25</v>
      </c>
      <c r="C1388">
        <f>ROUND(SQRT(E1388),2)</f>
        <v/>
      </c>
      <c r="D1388">
        <f>MIN(MIN(B1388,Parameters!$B$2)^2, D1387+Parameters!$B$24)</f>
        <v/>
      </c>
      <c r="E1388">
        <f>MIN(D1388, E1389+Parameters!$B$24)</f>
        <v/>
      </c>
    </row>
    <row r="1389">
      <c r="A1389" t="n">
        <v>138.7</v>
      </c>
      <c r="B1389" t="n">
        <v>25</v>
      </c>
      <c r="C1389">
        <f>ROUND(SQRT(E1389),2)</f>
        <v/>
      </c>
      <c r="D1389">
        <f>MIN(MIN(B1389,Parameters!$B$2)^2, D1388+Parameters!$B$24)</f>
        <v/>
      </c>
      <c r="E1389">
        <f>MIN(D1389, E1390+Parameters!$B$24)</f>
        <v/>
      </c>
    </row>
    <row r="1390">
      <c r="A1390" t="n">
        <v>138.8</v>
      </c>
      <c r="B1390" t="n">
        <v>25</v>
      </c>
      <c r="C1390">
        <f>ROUND(SQRT(E1390),2)</f>
        <v/>
      </c>
      <c r="D1390">
        <f>MIN(MIN(B1390,Parameters!$B$2)^2, D1389+Parameters!$B$24)</f>
        <v/>
      </c>
      <c r="E1390">
        <f>MIN(D1390, E1391+Parameters!$B$24)</f>
        <v/>
      </c>
    </row>
    <row r="1391">
      <c r="A1391" t="n">
        <v>138.9</v>
      </c>
      <c r="B1391" t="n">
        <v>25</v>
      </c>
      <c r="C1391">
        <f>ROUND(SQRT(E1391),2)</f>
        <v/>
      </c>
      <c r="D1391">
        <f>MIN(MIN(B1391,Parameters!$B$2)^2, D1390+Parameters!$B$24)</f>
        <v/>
      </c>
      <c r="E1391">
        <f>MIN(D1391, E1392+Parameters!$B$24)</f>
        <v/>
      </c>
    </row>
    <row r="1392">
      <c r="A1392" t="n">
        <v>139</v>
      </c>
      <c r="B1392" t="n">
        <v>25</v>
      </c>
      <c r="C1392">
        <f>ROUND(SQRT(E1392),2)</f>
        <v/>
      </c>
      <c r="D1392">
        <f>MIN(MIN(B1392,Parameters!$B$2)^2, D1391+Parameters!$B$24)</f>
        <v/>
      </c>
      <c r="E1392">
        <f>MIN(D1392, E1393+Parameters!$B$24)</f>
        <v/>
      </c>
    </row>
    <row r="1393">
      <c r="A1393" t="n">
        <v>139.1</v>
      </c>
      <c r="B1393" t="n">
        <v>25</v>
      </c>
      <c r="C1393">
        <f>ROUND(SQRT(E1393),2)</f>
        <v/>
      </c>
      <c r="D1393">
        <f>MIN(MIN(B1393,Parameters!$B$2)^2, D1392+Parameters!$B$24)</f>
        <v/>
      </c>
      <c r="E1393">
        <f>MIN(D1393, E1394+Parameters!$B$24)</f>
        <v/>
      </c>
    </row>
    <row r="1394">
      <c r="A1394" t="n">
        <v>139.2</v>
      </c>
      <c r="B1394" t="n">
        <v>25</v>
      </c>
      <c r="C1394">
        <f>ROUND(SQRT(E1394),2)</f>
        <v/>
      </c>
      <c r="D1394">
        <f>MIN(MIN(B1394,Parameters!$B$2)^2, D1393+Parameters!$B$24)</f>
        <v/>
      </c>
      <c r="E1394">
        <f>MIN(D1394, E1395+Parameters!$B$24)</f>
        <v/>
      </c>
    </row>
    <row r="1395">
      <c r="A1395" t="n">
        <v>139.3</v>
      </c>
      <c r="B1395" t="n">
        <v>25</v>
      </c>
      <c r="C1395">
        <f>ROUND(SQRT(E1395),2)</f>
        <v/>
      </c>
      <c r="D1395">
        <f>MIN(MIN(B1395,Parameters!$B$2)^2, D1394+Parameters!$B$24)</f>
        <v/>
      </c>
      <c r="E1395">
        <f>MIN(D1395, E1396+Parameters!$B$24)</f>
        <v/>
      </c>
    </row>
    <row r="1396">
      <c r="A1396" t="n">
        <v>139.4</v>
      </c>
      <c r="B1396" t="n">
        <v>25</v>
      </c>
      <c r="C1396">
        <f>ROUND(SQRT(E1396),2)</f>
        <v/>
      </c>
      <c r="D1396">
        <f>MIN(MIN(B1396,Parameters!$B$2)^2, D1395+Parameters!$B$24)</f>
        <v/>
      </c>
      <c r="E1396">
        <f>MIN(D1396, E1397+Parameters!$B$24)</f>
        <v/>
      </c>
    </row>
    <row r="1397">
      <c r="A1397" t="n">
        <v>139.5</v>
      </c>
      <c r="B1397" t="n">
        <v>25</v>
      </c>
      <c r="C1397">
        <f>ROUND(SQRT(E1397),2)</f>
        <v/>
      </c>
      <c r="D1397">
        <f>MIN(MIN(B1397,Parameters!$B$2)^2, D1396+Parameters!$B$24)</f>
        <v/>
      </c>
      <c r="E1397">
        <f>MIN(D1397, E1398+Parameters!$B$24)</f>
        <v/>
      </c>
    </row>
    <row r="1398">
      <c r="A1398" t="n">
        <v>139.6</v>
      </c>
      <c r="B1398" t="n">
        <v>25</v>
      </c>
      <c r="C1398">
        <f>ROUND(SQRT(E1398),2)</f>
        <v/>
      </c>
      <c r="D1398">
        <f>MIN(MIN(B1398,Parameters!$B$2)^2, D1397+Parameters!$B$24)</f>
        <v/>
      </c>
      <c r="E1398">
        <f>MIN(D1398, E1399+Parameters!$B$24)</f>
        <v/>
      </c>
    </row>
    <row r="1399">
      <c r="A1399" t="n">
        <v>139.7</v>
      </c>
      <c r="B1399" t="n">
        <v>25</v>
      </c>
      <c r="C1399">
        <f>ROUND(SQRT(E1399),2)</f>
        <v/>
      </c>
      <c r="D1399">
        <f>MIN(MIN(B1399,Parameters!$B$2)^2, D1398+Parameters!$B$24)</f>
        <v/>
      </c>
      <c r="E1399">
        <f>MIN(D1399, E1400+Parameters!$B$24)</f>
        <v/>
      </c>
    </row>
    <row r="1400">
      <c r="A1400" t="n">
        <v>139.8</v>
      </c>
      <c r="B1400" t="n">
        <v>25</v>
      </c>
      <c r="C1400">
        <f>ROUND(SQRT(E1400),2)</f>
        <v/>
      </c>
      <c r="D1400">
        <f>MIN(MIN(B1400,Parameters!$B$2)^2, D1399+Parameters!$B$24)</f>
        <v/>
      </c>
      <c r="E1400">
        <f>MIN(D1400, E1401+Parameters!$B$24)</f>
        <v/>
      </c>
    </row>
    <row r="1401">
      <c r="A1401" t="n">
        <v>139.9</v>
      </c>
      <c r="B1401" t="n">
        <v>25</v>
      </c>
      <c r="C1401">
        <f>ROUND(SQRT(E1401),2)</f>
        <v/>
      </c>
      <c r="D1401">
        <f>MIN(MIN(B1401,Parameters!$B$2)^2, D1400+Parameters!$B$24)</f>
        <v/>
      </c>
      <c r="E1401">
        <f>MIN(D1401, E1402+Parameters!$B$24)</f>
        <v/>
      </c>
    </row>
    <row r="1402">
      <c r="A1402" t="n">
        <v>140</v>
      </c>
      <c r="B1402" t="n">
        <v>25</v>
      </c>
      <c r="C1402">
        <f>ROUND(SQRT(E1402),2)</f>
        <v/>
      </c>
      <c r="D1402">
        <f>MIN(MIN(B1402,Parameters!$B$2)^2, D1401+Parameters!$B$24)</f>
        <v/>
      </c>
      <c r="E1402">
        <f>MIN(D1402, E1403+Parameters!$B$24)</f>
        <v/>
      </c>
    </row>
    <row r="1403">
      <c r="A1403" t="n">
        <v>140.1</v>
      </c>
      <c r="B1403" t="n">
        <v>25</v>
      </c>
      <c r="C1403">
        <f>ROUND(SQRT(E1403),2)</f>
        <v/>
      </c>
      <c r="D1403">
        <f>MIN(MIN(B1403,Parameters!$B$2)^2, D1402+Parameters!$B$24)</f>
        <v/>
      </c>
      <c r="E1403">
        <f>MIN(D1403, E1404+Parameters!$B$24)</f>
        <v/>
      </c>
    </row>
    <row r="1404">
      <c r="A1404" t="n">
        <v>140.2</v>
      </c>
      <c r="B1404" t="n">
        <v>25</v>
      </c>
      <c r="C1404">
        <f>ROUND(SQRT(E1404),2)</f>
        <v/>
      </c>
      <c r="D1404">
        <f>MIN(MIN(B1404,Parameters!$B$2)^2, D1403+Parameters!$B$24)</f>
        <v/>
      </c>
      <c r="E1404">
        <f>MIN(D1404, E1405+Parameters!$B$24)</f>
        <v/>
      </c>
    </row>
    <row r="1405">
      <c r="A1405" t="n">
        <v>140.3</v>
      </c>
      <c r="B1405" t="n">
        <v>25</v>
      </c>
      <c r="C1405">
        <f>ROUND(SQRT(E1405),2)</f>
        <v/>
      </c>
      <c r="D1405">
        <f>MIN(MIN(B1405,Parameters!$B$2)^2, D1404+Parameters!$B$24)</f>
        <v/>
      </c>
      <c r="E1405">
        <f>MIN(D1405, E1406+Parameters!$B$24)</f>
        <v/>
      </c>
    </row>
    <row r="1406">
      <c r="A1406" t="n">
        <v>140.4</v>
      </c>
      <c r="B1406" t="n">
        <v>25</v>
      </c>
      <c r="C1406">
        <f>ROUND(SQRT(E1406),2)</f>
        <v/>
      </c>
      <c r="D1406">
        <f>MIN(MIN(B1406,Parameters!$B$2)^2, D1405+Parameters!$B$24)</f>
        <v/>
      </c>
      <c r="E1406">
        <f>MIN(D1406, E1407+Parameters!$B$24)</f>
        <v/>
      </c>
    </row>
    <row r="1407">
      <c r="A1407" t="n">
        <v>140.5</v>
      </c>
      <c r="B1407" t="n">
        <v>25</v>
      </c>
      <c r="C1407">
        <f>ROUND(SQRT(E1407),2)</f>
        <v/>
      </c>
      <c r="D1407">
        <f>MIN(MIN(B1407,Parameters!$B$2)^2, D1406+Parameters!$B$24)</f>
        <v/>
      </c>
      <c r="E1407">
        <f>MIN(D1407, E1408+Parameters!$B$24)</f>
        <v/>
      </c>
    </row>
    <row r="1408">
      <c r="A1408" t="n">
        <v>140.6</v>
      </c>
      <c r="B1408" t="n">
        <v>25</v>
      </c>
      <c r="C1408">
        <f>ROUND(SQRT(E1408),2)</f>
        <v/>
      </c>
      <c r="D1408">
        <f>MIN(MIN(B1408,Parameters!$B$2)^2, D1407+Parameters!$B$24)</f>
        <v/>
      </c>
      <c r="E1408">
        <f>MIN(D1408, E1409+Parameters!$B$24)</f>
        <v/>
      </c>
    </row>
    <row r="1409">
      <c r="A1409" t="n">
        <v>140.7</v>
      </c>
      <c r="B1409" t="n">
        <v>25</v>
      </c>
      <c r="C1409">
        <f>ROUND(SQRT(E1409),2)</f>
        <v/>
      </c>
      <c r="D1409">
        <f>MIN(MIN(B1409,Parameters!$B$2)^2, D1408+Parameters!$B$24)</f>
        <v/>
      </c>
      <c r="E1409">
        <f>MIN(D1409, E1410+Parameters!$B$24)</f>
        <v/>
      </c>
    </row>
    <row r="1410">
      <c r="A1410" t="n">
        <v>140.8</v>
      </c>
      <c r="B1410" t="n">
        <v>25</v>
      </c>
      <c r="C1410">
        <f>ROUND(SQRT(E1410),2)</f>
        <v/>
      </c>
      <c r="D1410">
        <f>MIN(MIN(B1410,Parameters!$B$2)^2, D1409+Parameters!$B$24)</f>
        <v/>
      </c>
      <c r="E1410">
        <f>MIN(D1410, E1411+Parameters!$B$24)</f>
        <v/>
      </c>
    </row>
    <row r="1411">
      <c r="A1411" t="n">
        <v>140.9</v>
      </c>
      <c r="B1411" t="n">
        <v>25</v>
      </c>
      <c r="C1411">
        <f>ROUND(SQRT(E1411),2)</f>
        <v/>
      </c>
      <c r="D1411">
        <f>MIN(MIN(B1411,Parameters!$B$2)^2, D1410+Parameters!$B$24)</f>
        <v/>
      </c>
      <c r="E1411">
        <f>MIN(D1411, E1412+Parameters!$B$24)</f>
        <v/>
      </c>
    </row>
    <row r="1412">
      <c r="A1412" t="n">
        <v>141</v>
      </c>
      <c r="B1412" t="n">
        <v>25</v>
      </c>
      <c r="C1412">
        <f>ROUND(SQRT(E1412),2)</f>
        <v/>
      </c>
      <c r="D1412">
        <f>MIN(MIN(B1412,Parameters!$B$2)^2, D1411+Parameters!$B$24)</f>
        <v/>
      </c>
      <c r="E1412">
        <f>MIN(D1412, E1413+Parameters!$B$24)</f>
        <v/>
      </c>
    </row>
    <row r="1413">
      <c r="A1413" t="n">
        <v>141.1</v>
      </c>
      <c r="B1413" t="n">
        <v>25</v>
      </c>
      <c r="C1413">
        <f>ROUND(SQRT(E1413),2)</f>
        <v/>
      </c>
      <c r="D1413">
        <f>MIN(MIN(B1413,Parameters!$B$2)^2, D1412+Parameters!$B$24)</f>
        <v/>
      </c>
      <c r="E1413">
        <f>MIN(D1413, E1414+Parameters!$B$24)</f>
        <v/>
      </c>
    </row>
    <row r="1414">
      <c r="A1414" t="n">
        <v>141.2</v>
      </c>
      <c r="B1414" t="n">
        <v>25</v>
      </c>
      <c r="C1414">
        <f>ROUND(SQRT(E1414),2)</f>
        <v/>
      </c>
      <c r="D1414">
        <f>MIN(MIN(B1414,Parameters!$B$2)^2, D1413+Parameters!$B$24)</f>
        <v/>
      </c>
      <c r="E1414">
        <f>MIN(D1414, E1415+Parameters!$B$24)</f>
        <v/>
      </c>
    </row>
    <row r="1415">
      <c r="A1415" t="n">
        <v>141.3</v>
      </c>
      <c r="B1415" t="n">
        <v>25</v>
      </c>
      <c r="C1415">
        <f>ROUND(SQRT(E1415),2)</f>
        <v/>
      </c>
      <c r="D1415">
        <f>MIN(MIN(B1415,Parameters!$B$2)^2, D1414+Parameters!$B$24)</f>
        <v/>
      </c>
      <c r="E1415">
        <f>MIN(D1415, E1416+Parameters!$B$24)</f>
        <v/>
      </c>
    </row>
    <row r="1416">
      <c r="A1416" t="n">
        <v>141.4</v>
      </c>
      <c r="B1416" t="n">
        <v>25</v>
      </c>
      <c r="C1416">
        <f>ROUND(SQRT(E1416),2)</f>
        <v/>
      </c>
      <c r="D1416">
        <f>MIN(MIN(B1416,Parameters!$B$2)^2, D1415+Parameters!$B$24)</f>
        <v/>
      </c>
      <c r="E1416">
        <f>MIN(D1416, E1417+Parameters!$B$24)</f>
        <v/>
      </c>
    </row>
    <row r="1417">
      <c r="A1417" t="n">
        <v>141.5</v>
      </c>
      <c r="B1417" t="n">
        <v>25</v>
      </c>
      <c r="C1417">
        <f>ROUND(SQRT(E1417),2)</f>
        <v/>
      </c>
      <c r="D1417">
        <f>MIN(MIN(B1417,Parameters!$B$2)^2, D1416+Parameters!$B$24)</f>
        <v/>
      </c>
      <c r="E1417">
        <f>MIN(D1417, E1418+Parameters!$B$24)</f>
        <v/>
      </c>
    </row>
    <row r="1418">
      <c r="A1418" t="n">
        <v>141.6</v>
      </c>
      <c r="B1418" t="n">
        <v>25</v>
      </c>
      <c r="C1418">
        <f>ROUND(SQRT(E1418),2)</f>
        <v/>
      </c>
      <c r="D1418">
        <f>MIN(MIN(B1418,Parameters!$B$2)^2, D1417+Parameters!$B$24)</f>
        <v/>
      </c>
      <c r="E1418">
        <f>MIN(D1418, E1419+Parameters!$B$24)</f>
        <v/>
      </c>
    </row>
    <row r="1419">
      <c r="A1419" t="n">
        <v>141.7</v>
      </c>
      <c r="B1419" t="n">
        <v>25</v>
      </c>
      <c r="C1419">
        <f>ROUND(SQRT(E1419),2)</f>
        <v/>
      </c>
      <c r="D1419">
        <f>MIN(MIN(B1419,Parameters!$B$2)^2, D1418+Parameters!$B$24)</f>
        <v/>
      </c>
      <c r="E1419">
        <f>MIN(D1419, E1420+Parameters!$B$24)</f>
        <v/>
      </c>
    </row>
    <row r="1420">
      <c r="A1420" t="n">
        <v>141.8</v>
      </c>
      <c r="B1420" t="n">
        <v>25</v>
      </c>
      <c r="C1420">
        <f>ROUND(SQRT(E1420),2)</f>
        <v/>
      </c>
      <c r="D1420">
        <f>MIN(MIN(B1420,Parameters!$B$2)^2, D1419+Parameters!$B$24)</f>
        <v/>
      </c>
      <c r="E1420">
        <f>MIN(D1420, E1421+Parameters!$B$24)</f>
        <v/>
      </c>
    </row>
    <row r="1421">
      <c r="A1421" t="n">
        <v>141.9</v>
      </c>
      <c r="B1421" t="n">
        <v>25</v>
      </c>
      <c r="C1421">
        <f>ROUND(SQRT(E1421),2)</f>
        <v/>
      </c>
      <c r="D1421">
        <f>MIN(MIN(B1421,Parameters!$B$2)^2, D1420+Parameters!$B$24)</f>
        <v/>
      </c>
      <c r="E1421">
        <f>MIN(D1421, E1422+Parameters!$B$24)</f>
        <v/>
      </c>
    </row>
    <row r="1422">
      <c r="A1422" t="n">
        <v>142</v>
      </c>
      <c r="B1422" t="n">
        <v>25</v>
      </c>
      <c r="C1422">
        <f>ROUND(SQRT(E1422),2)</f>
        <v/>
      </c>
      <c r="D1422">
        <f>MIN(MIN(B1422,Parameters!$B$2)^2, D1421+Parameters!$B$24)</f>
        <v/>
      </c>
      <c r="E1422">
        <f>MIN(D1422, E1423+Parameters!$B$24)</f>
        <v/>
      </c>
    </row>
    <row r="1423">
      <c r="A1423" t="n">
        <v>142.1</v>
      </c>
      <c r="B1423" t="n">
        <v>25</v>
      </c>
      <c r="C1423">
        <f>ROUND(SQRT(E1423),2)</f>
        <v/>
      </c>
      <c r="D1423">
        <f>MIN(MIN(B1423,Parameters!$B$2)^2, D1422+Parameters!$B$24)</f>
        <v/>
      </c>
      <c r="E1423">
        <f>MIN(D1423, E1424+Parameters!$B$24)</f>
        <v/>
      </c>
    </row>
    <row r="1424">
      <c r="A1424" t="n">
        <v>142.2</v>
      </c>
      <c r="B1424" t="n">
        <v>25</v>
      </c>
      <c r="C1424">
        <f>ROUND(SQRT(E1424),2)</f>
        <v/>
      </c>
      <c r="D1424">
        <f>MIN(MIN(B1424,Parameters!$B$2)^2, D1423+Parameters!$B$24)</f>
        <v/>
      </c>
      <c r="E1424">
        <f>MIN(D1424, E1425+Parameters!$B$24)</f>
        <v/>
      </c>
    </row>
    <row r="1425">
      <c r="A1425" t="n">
        <v>142.3</v>
      </c>
      <c r="B1425" t="n">
        <v>25</v>
      </c>
      <c r="C1425">
        <f>ROUND(SQRT(E1425),2)</f>
        <v/>
      </c>
      <c r="D1425">
        <f>MIN(MIN(B1425,Parameters!$B$2)^2, D1424+Parameters!$B$24)</f>
        <v/>
      </c>
      <c r="E1425">
        <f>MIN(D1425, E1426+Parameters!$B$24)</f>
        <v/>
      </c>
    </row>
    <row r="1426">
      <c r="A1426" t="n">
        <v>142.4</v>
      </c>
      <c r="B1426" t="n">
        <v>25</v>
      </c>
      <c r="C1426">
        <f>ROUND(SQRT(E1426),2)</f>
        <v/>
      </c>
      <c r="D1426">
        <f>MIN(MIN(B1426,Parameters!$B$2)^2, D1425+Parameters!$B$24)</f>
        <v/>
      </c>
      <c r="E1426">
        <f>MIN(D1426, E1427+Parameters!$B$24)</f>
        <v/>
      </c>
    </row>
    <row r="1427">
      <c r="A1427" t="n">
        <v>142.5</v>
      </c>
      <c r="B1427" t="n">
        <v>25</v>
      </c>
      <c r="C1427">
        <f>ROUND(SQRT(E1427),2)</f>
        <v/>
      </c>
      <c r="D1427">
        <f>MIN(MIN(B1427,Parameters!$B$2)^2, D1426+Parameters!$B$24)</f>
        <v/>
      </c>
      <c r="E1427">
        <f>MIN(D1427, E1428+Parameters!$B$24)</f>
        <v/>
      </c>
    </row>
    <row r="1428">
      <c r="A1428" t="n">
        <v>142.6</v>
      </c>
      <c r="B1428" t="n">
        <v>25</v>
      </c>
      <c r="C1428">
        <f>ROUND(SQRT(E1428),2)</f>
        <v/>
      </c>
      <c r="D1428">
        <f>MIN(MIN(B1428,Parameters!$B$2)^2, D1427+Parameters!$B$24)</f>
        <v/>
      </c>
      <c r="E1428">
        <f>MIN(D1428, E1429+Parameters!$B$24)</f>
        <v/>
      </c>
    </row>
    <row r="1429">
      <c r="A1429" t="n">
        <v>142.7</v>
      </c>
      <c r="B1429" t="n">
        <v>25</v>
      </c>
      <c r="C1429">
        <f>ROUND(SQRT(E1429),2)</f>
        <v/>
      </c>
      <c r="D1429">
        <f>MIN(MIN(B1429,Parameters!$B$2)^2, D1428+Parameters!$B$24)</f>
        <v/>
      </c>
      <c r="E1429">
        <f>MIN(D1429, E1430+Parameters!$B$24)</f>
        <v/>
      </c>
    </row>
    <row r="1430">
      <c r="A1430" t="n">
        <v>142.8</v>
      </c>
      <c r="B1430" t="n">
        <v>25</v>
      </c>
      <c r="C1430">
        <f>ROUND(SQRT(E1430),2)</f>
        <v/>
      </c>
      <c r="D1430">
        <f>MIN(MIN(B1430,Parameters!$B$2)^2, D1429+Parameters!$B$24)</f>
        <v/>
      </c>
      <c r="E1430">
        <f>MIN(D1430, E1431+Parameters!$B$24)</f>
        <v/>
      </c>
    </row>
    <row r="1431">
      <c r="A1431" t="n">
        <v>142.9</v>
      </c>
      <c r="B1431" t="n">
        <v>25</v>
      </c>
      <c r="C1431">
        <f>ROUND(SQRT(E1431),2)</f>
        <v/>
      </c>
      <c r="D1431">
        <f>MIN(MIN(B1431,Parameters!$B$2)^2, D1430+Parameters!$B$24)</f>
        <v/>
      </c>
      <c r="E1431">
        <f>MIN(D1431, E1432+Parameters!$B$24)</f>
        <v/>
      </c>
    </row>
    <row r="1432">
      <c r="A1432" t="n">
        <v>143</v>
      </c>
      <c r="B1432" t="n">
        <v>25</v>
      </c>
      <c r="C1432">
        <f>ROUND(SQRT(E1432),2)</f>
        <v/>
      </c>
      <c r="D1432">
        <f>MIN(MIN(B1432,Parameters!$B$2)^2, D1431+Parameters!$B$24)</f>
        <v/>
      </c>
      <c r="E1432">
        <f>MIN(D1432, E1433+Parameters!$B$24)</f>
        <v/>
      </c>
    </row>
    <row r="1433">
      <c r="A1433" t="n">
        <v>143.1</v>
      </c>
      <c r="B1433" t="n">
        <v>25</v>
      </c>
      <c r="C1433">
        <f>ROUND(SQRT(E1433),2)</f>
        <v/>
      </c>
      <c r="D1433">
        <f>MIN(MIN(B1433,Parameters!$B$2)^2, D1432+Parameters!$B$24)</f>
        <v/>
      </c>
      <c r="E1433">
        <f>MIN(D1433, E1434+Parameters!$B$24)</f>
        <v/>
      </c>
    </row>
    <row r="1434">
      <c r="A1434" t="n">
        <v>143.2</v>
      </c>
      <c r="B1434" t="n">
        <v>25</v>
      </c>
      <c r="C1434">
        <f>ROUND(SQRT(E1434),2)</f>
        <v/>
      </c>
      <c r="D1434">
        <f>MIN(MIN(B1434,Parameters!$B$2)^2, D1433+Parameters!$B$24)</f>
        <v/>
      </c>
      <c r="E1434">
        <f>MIN(D1434, E1435+Parameters!$B$24)</f>
        <v/>
      </c>
    </row>
    <row r="1435">
      <c r="A1435" t="n">
        <v>143.3</v>
      </c>
      <c r="B1435" t="n">
        <v>25</v>
      </c>
      <c r="C1435">
        <f>ROUND(SQRT(E1435),2)</f>
        <v/>
      </c>
      <c r="D1435">
        <f>MIN(MIN(B1435,Parameters!$B$2)^2, D1434+Parameters!$B$24)</f>
        <v/>
      </c>
      <c r="E1435">
        <f>MIN(D1435, E1436+Parameters!$B$24)</f>
        <v/>
      </c>
    </row>
    <row r="1436">
      <c r="A1436" t="n">
        <v>143.4</v>
      </c>
      <c r="B1436" t="n">
        <v>25</v>
      </c>
      <c r="C1436">
        <f>ROUND(SQRT(E1436),2)</f>
        <v/>
      </c>
      <c r="D1436">
        <f>MIN(MIN(B1436,Parameters!$B$2)^2, D1435+Parameters!$B$24)</f>
        <v/>
      </c>
      <c r="E1436">
        <f>MIN(D1436, E1437+Parameters!$B$24)</f>
        <v/>
      </c>
    </row>
    <row r="1437">
      <c r="A1437" t="n">
        <v>143.5</v>
      </c>
      <c r="B1437" t="n">
        <v>25</v>
      </c>
      <c r="C1437">
        <f>ROUND(SQRT(E1437),2)</f>
        <v/>
      </c>
      <c r="D1437">
        <f>MIN(MIN(B1437,Parameters!$B$2)^2, D1436+Parameters!$B$24)</f>
        <v/>
      </c>
      <c r="E1437">
        <f>MIN(D1437, E1438+Parameters!$B$24)</f>
        <v/>
      </c>
    </row>
    <row r="1438">
      <c r="A1438" t="n">
        <v>143.6</v>
      </c>
      <c r="B1438" t="n">
        <v>25</v>
      </c>
      <c r="C1438">
        <f>ROUND(SQRT(E1438),2)</f>
        <v/>
      </c>
      <c r="D1438">
        <f>MIN(MIN(B1438,Parameters!$B$2)^2, D1437+Parameters!$B$24)</f>
        <v/>
      </c>
      <c r="E1438">
        <f>MIN(D1438, E1439+Parameters!$B$24)</f>
        <v/>
      </c>
    </row>
    <row r="1439">
      <c r="A1439" t="n">
        <v>143.7</v>
      </c>
      <c r="B1439" t="n">
        <v>25</v>
      </c>
      <c r="C1439">
        <f>ROUND(SQRT(E1439),2)</f>
        <v/>
      </c>
      <c r="D1439">
        <f>MIN(MIN(B1439,Parameters!$B$2)^2, D1438+Parameters!$B$24)</f>
        <v/>
      </c>
      <c r="E1439">
        <f>MIN(D1439, E1440+Parameters!$B$24)</f>
        <v/>
      </c>
    </row>
    <row r="1440">
      <c r="A1440" t="n">
        <v>143.8</v>
      </c>
      <c r="B1440" t="n">
        <v>25</v>
      </c>
      <c r="C1440">
        <f>ROUND(SQRT(E1440),2)</f>
        <v/>
      </c>
      <c r="D1440">
        <f>MIN(MIN(B1440,Parameters!$B$2)^2, D1439+Parameters!$B$24)</f>
        <v/>
      </c>
      <c r="E1440">
        <f>MIN(D1440, E1441+Parameters!$B$24)</f>
        <v/>
      </c>
    </row>
    <row r="1441">
      <c r="A1441" t="n">
        <v>143.9</v>
      </c>
      <c r="B1441" t="n">
        <v>25</v>
      </c>
      <c r="C1441">
        <f>ROUND(SQRT(E1441),2)</f>
        <v/>
      </c>
      <c r="D1441">
        <f>MIN(MIN(B1441,Parameters!$B$2)^2, D1440+Parameters!$B$24)</f>
        <v/>
      </c>
      <c r="E1441">
        <f>MIN(D1441, E1442+Parameters!$B$24)</f>
        <v/>
      </c>
    </row>
    <row r="1442">
      <c r="A1442" t="n">
        <v>144</v>
      </c>
      <c r="B1442" t="n">
        <v>25</v>
      </c>
      <c r="C1442">
        <f>ROUND(SQRT(E1442),2)</f>
        <v/>
      </c>
      <c r="D1442">
        <f>MIN(MIN(B1442,Parameters!$B$2)^2, D1441+Parameters!$B$24)</f>
        <v/>
      </c>
      <c r="E1442">
        <f>MIN(D1442, E1443+Parameters!$B$24)</f>
        <v/>
      </c>
    </row>
    <row r="1443">
      <c r="A1443" t="n">
        <v>144.1</v>
      </c>
      <c r="B1443" t="n">
        <v>25</v>
      </c>
      <c r="C1443">
        <f>ROUND(SQRT(E1443),2)</f>
        <v/>
      </c>
      <c r="D1443">
        <f>MIN(MIN(B1443,Parameters!$B$2)^2, D1442+Parameters!$B$24)</f>
        <v/>
      </c>
      <c r="E1443">
        <f>MIN(D1443, E1444+Parameters!$B$24)</f>
        <v/>
      </c>
    </row>
    <row r="1444">
      <c r="A1444" t="n">
        <v>144.2</v>
      </c>
      <c r="B1444" t="n">
        <v>25</v>
      </c>
      <c r="C1444">
        <f>ROUND(SQRT(E1444),2)</f>
        <v/>
      </c>
      <c r="D1444">
        <f>MIN(MIN(B1444,Parameters!$B$2)^2, D1443+Parameters!$B$24)</f>
        <v/>
      </c>
      <c r="E1444">
        <f>MIN(D1444, E1445+Parameters!$B$24)</f>
        <v/>
      </c>
    </row>
    <row r="1445">
      <c r="A1445" t="n">
        <v>144.3</v>
      </c>
      <c r="B1445" t="n">
        <v>25</v>
      </c>
      <c r="C1445">
        <f>ROUND(SQRT(E1445),2)</f>
        <v/>
      </c>
      <c r="D1445">
        <f>MIN(MIN(B1445,Parameters!$B$2)^2, D1444+Parameters!$B$24)</f>
        <v/>
      </c>
      <c r="E1445">
        <f>MIN(D1445, E1446+Parameters!$B$24)</f>
        <v/>
      </c>
    </row>
    <row r="1446">
      <c r="A1446" t="n">
        <v>144.4</v>
      </c>
      <c r="B1446" t="n">
        <v>25</v>
      </c>
      <c r="C1446">
        <f>ROUND(SQRT(E1446),2)</f>
        <v/>
      </c>
      <c r="D1446">
        <f>MIN(MIN(B1446,Parameters!$B$2)^2, D1445+Parameters!$B$24)</f>
        <v/>
      </c>
      <c r="E1446">
        <f>MIN(D1446, E1447+Parameters!$B$24)</f>
        <v/>
      </c>
    </row>
    <row r="1447">
      <c r="A1447" t="n">
        <v>144.5</v>
      </c>
      <c r="B1447" t="n">
        <v>25</v>
      </c>
      <c r="C1447">
        <f>ROUND(SQRT(E1447),2)</f>
        <v/>
      </c>
      <c r="D1447">
        <f>MIN(MIN(B1447,Parameters!$B$2)^2, D1446+Parameters!$B$24)</f>
        <v/>
      </c>
      <c r="E1447">
        <f>MIN(D1447, E1448+Parameters!$B$24)</f>
        <v/>
      </c>
    </row>
    <row r="1448">
      <c r="A1448" t="n">
        <v>144.6</v>
      </c>
      <c r="B1448" t="n">
        <v>25</v>
      </c>
      <c r="C1448">
        <f>ROUND(SQRT(E1448),2)</f>
        <v/>
      </c>
      <c r="D1448">
        <f>MIN(MIN(B1448,Parameters!$B$2)^2, D1447+Parameters!$B$24)</f>
        <v/>
      </c>
      <c r="E1448">
        <f>MIN(D1448, E1449+Parameters!$B$24)</f>
        <v/>
      </c>
    </row>
    <row r="1449">
      <c r="A1449" t="n">
        <v>144.7</v>
      </c>
      <c r="B1449" t="n">
        <v>25</v>
      </c>
      <c r="C1449">
        <f>ROUND(SQRT(E1449),2)</f>
        <v/>
      </c>
      <c r="D1449">
        <f>MIN(MIN(B1449,Parameters!$B$2)^2, D1448+Parameters!$B$24)</f>
        <v/>
      </c>
      <c r="E1449">
        <f>MIN(D1449, E1450+Parameters!$B$24)</f>
        <v/>
      </c>
    </row>
    <row r="1450">
      <c r="A1450" t="n">
        <v>144.8</v>
      </c>
      <c r="B1450" t="n">
        <v>25</v>
      </c>
      <c r="C1450">
        <f>ROUND(SQRT(E1450),2)</f>
        <v/>
      </c>
      <c r="D1450">
        <f>MIN(MIN(B1450,Parameters!$B$2)^2, D1449+Parameters!$B$24)</f>
        <v/>
      </c>
      <c r="E1450">
        <f>MIN(D1450, E1451+Parameters!$B$24)</f>
        <v/>
      </c>
    </row>
    <row r="1451">
      <c r="A1451" t="n">
        <v>144.9</v>
      </c>
      <c r="B1451" t="n">
        <v>25</v>
      </c>
      <c r="C1451">
        <f>ROUND(SQRT(E1451),2)</f>
        <v/>
      </c>
      <c r="D1451">
        <f>MIN(MIN(B1451,Parameters!$B$2)^2, D1450+Parameters!$B$24)</f>
        <v/>
      </c>
      <c r="E1451">
        <f>MIN(D1451, E1452+Parameters!$B$24)</f>
        <v/>
      </c>
    </row>
    <row r="1452">
      <c r="A1452" t="n">
        <v>145</v>
      </c>
      <c r="B1452" t="n">
        <v>25</v>
      </c>
      <c r="C1452">
        <f>ROUND(SQRT(E1452),2)</f>
        <v/>
      </c>
      <c r="D1452">
        <f>MIN(MIN(B1452,Parameters!$B$2)^2, D1451+Parameters!$B$24)</f>
        <v/>
      </c>
      <c r="E1452">
        <f>MIN(D1452, E1453+Parameters!$B$24)</f>
        <v/>
      </c>
    </row>
    <row r="1453">
      <c r="A1453" t="n">
        <v>145.1</v>
      </c>
      <c r="B1453" t="n">
        <v>25</v>
      </c>
      <c r="C1453">
        <f>ROUND(SQRT(E1453),2)</f>
        <v/>
      </c>
      <c r="D1453">
        <f>MIN(MIN(B1453,Parameters!$B$2)^2, D1452+Parameters!$B$24)</f>
        <v/>
      </c>
      <c r="E1453">
        <f>MIN(D1453, E1454+Parameters!$B$24)</f>
        <v/>
      </c>
    </row>
    <row r="1454">
      <c r="A1454" t="n">
        <v>145.2</v>
      </c>
      <c r="B1454" t="n">
        <v>25</v>
      </c>
      <c r="C1454">
        <f>ROUND(SQRT(E1454),2)</f>
        <v/>
      </c>
      <c r="D1454">
        <f>MIN(MIN(B1454,Parameters!$B$2)^2, D1453+Parameters!$B$24)</f>
        <v/>
      </c>
      <c r="E1454">
        <f>MIN(D1454, E1455+Parameters!$B$24)</f>
        <v/>
      </c>
    </row>
    <row r="1455">
      <c r="A1455" t="n">
        <v>145.3</v>
      </c>
      <c r="B1455" t="n">
        <v>25</v>
      </c>
      <c r="C1455">
        <f>ROUND(SQRT(E1455),2)</f>
        <v/>
      </c>
      <c r="D1455">
        <f>MIN(MIN(B1455,Parameters!$B$2)^2, D1454+Parameters!$B$24)</f>
        <v/>
      </c>
      <c r="E1455">
        <f>MIN(D1455, E1456+Parameters!$B$24)</f>
        <v/>
      </c>
    </row>
    <row r="1456">
      <c r="A1456" t="n">
        <v>145.4</v>
      </c>
      <c r="B1456" t="n">
        <v>25</v>
      </c>
      <c r="C1456">
        <f>ROUND(SQRT(E1456),2)</f>
        <v/>
      </c>
      <c r="D1456">
        <f>MIN(MIN(B1456,Parameters!$B$2)^2, D1455+Parameters!$B$24)</f>
        <v/>
      </c>
      <c r="E1456">
        <f>MIN(D1456, E1457+Parameters!$B$24)</f>
        <v/>
      </c>
    </row>
    <row r="1457">
      <c r="A1457" t="n">
        <v>145.5</v>
      </c>
      <c r="B1457" t="n">
        <v>25</v>
      </c>
      <c r="C1457">
        <f>ROUND(SQRT(E1457),2)</f>
        <v/>
      </c>
      <c r="D1457">
        <f>MIN(MIN(B1457,Parameters!$B$2)^2, D1456+Parameters!$B$24)</f>
        <v/>
      </c>
      <c r="E1457">
        <f>MIN(D1457, E1458+Parameters!$B$24)</f>
        <v/>
      </c>
    </row>
    <row r="1458">
      <c r="A1458" t="n">
        <v>145.6</v>
      </c>
      <c r="B1458" t="n">
        <v>25</v>
      </c>
      <c r="C1458">
        <f>ROUND(SQRT(E1458),2)</f>
        <v/>
      </c>
      <c r="D1458">
        <f>MIN(MIN(B1458,Parameters!$B$2)^2, D1457+Parameters!$B$24)</f>
        <v/>
      </c>
      <c r="E1458">
        <f>MIN(D1458, E1459+Parameters!$B$24)</f>
        <v/>
      </c>
    </row>
    <row r="1459">
      <c r="A1459" t="n">
        <v>145.7</v>
      </c>
      <c r="B1459" t="n">
        <v>25</v>
      </c>
      <c r="C1459">
        <f>ROUND(SQRT(E1459),2)</f>
        <v/>
      </c>
      <c r="D1459">
        <f>MIN(MIN(B1459,Parameters!$B$2)^2, D1458+Parameters!$B$24)</f>
        <v/>
      </c>
      <c r="E1459">
        <f>MIN(D1459, E1460+Parameters!$B$24)</f>
        <v/>
      </c>
    </row>
    <row r="1460">
      <c r="A1460" t="n">
        <v>145.8</v>
      </c>
      <c r="B1460" t="n">
        <v>25</v>
      </c>
      <c r="C1460">
        <f>ROUND(SQRT(E1460),2)</f>
        <v/>
      </c>
      <c r="D1460">
        <f>MIN(MIN(B1460,Parameters!$B$2)^2, D1459+Parameters!$B$24)</f>
        <v/>
      </c>
      <c r="E1460">
        <f>MIN(D1460, E1461+Parameters!$B$24)</f>
        <v/>
      </c>
    </row>
    <row r="1461">
      <c r="A1461" t="n">
        <v>145.9</v>
      </c>
      <c r="B1461" t="n">
        <v>25</v>
      </c>
      <c r="C1461">
        <f>ROUND(SQRT(E1461),2)</f>
        <v/>
      </c>
      <c r="D1461">
        <f>MIN(MIN(B1461,Parameters!$B$2)^2, D1460+Parameters!$B$24)</f>
        <v/>
      </c>
      <c r="E1461">
        <f>MIN(D1461, E1462+Parameters!$B$24)</f>
        <v/>
      </c>
    </row>
    <row r="1462">
      <c r="A1462" t="n">
        <v>146</v>
      </c>
      <c r="B1462" t="n">
        <v>25</v>
      </c>
      <c r="C1462">
        <f>ROUND(SQRT(E1462),2)</f>
        <v/>
      </c>
      <c r="D1462">
        <f>MIN(MIN(B1462,Parameters!$B$2)^2, D1461+Parameters!$B$24)</f>
        <v/>
      </c>
      <c r="E1462">
        <f>MIN(D1462, E1463+Parameters!$B$24)</f>
        <v/>
      </c>
    </row>
    <row r="1463">
      <c r="A1463" t="n">
        <v>146.1</v>
      </c>
      <c r="B1463" t="n">
        <v>25</v>
      </c>
      <c r="C1463">
        <f>ROUND(SQRT(E1463),2)</f>
        <v/>
      </c>
      <c r="D1463">
        <f>MIN(MIN(B1463,Parameters!$B$2)^2, D1462+Parameters!$B$24)</f>
        <v/>
      </c>
      <c r="E1463">
        <f>MIN(D1463, E1464+Parameters!$B$24)</f>
        <v/>
      </c>
    </row>
    <row r="1464">
      <c r="A1464" t="n">
        <v>146.2</v>
      </c>
      <c r="B1464" t="n">
        <v>25</v>
      </c>
      <c r="C1464">
        <f>ROUND(SQRT(E1464),2)</f>
        <v/>
      </c>
      <c r="D1464">
        <f>MIN(MIN(B1464,Parameters!$B$2)^2, D1463+Parameters!$B$24)</f>
        <v/>
      </c>
      <c r="E1464">
        <f>MIN(D1464, E1465+Parameters!$B$24)</f>
        <v/>
      </c>
    </row>
    <row r="1465">
      <c r="A1465" t="n">
        <v>146.3</v>
      </c>
      <c r="B1465" t="n">
        <v>25</v>
      </c>
      <c r="C1465">
        <f>ROUND(SQRT(E1465),2)</f>
        <v/>
      </c>
      <c r="D1465">
        <f>MIN(MIN(B1465,Parameters!$B$2)^2, D1464+Parameters!$B$24)</f>
        <v/>
      </c>
      <c r="E1465">
        <f>MIN(D1465, E1466+Parameters!$B$24)</f>
        <v/>
      </c>
    </row>
    <row r="1466">
      <c r="A1466" t="n">
        <v>146.4</v>
      </c>
      <c r="B1466" t="n">
        <v>25</v>
      </c>
      <c r="C1466">
        <f>ROUND(SQRT(E1466),2)</f>
        <v/>
      </c>
      <c r="D1466">
        <f>MIN(MIN(B1466,Parameters!$B$2)^2, D1465+Parameters!$B$24)</f>
        <v/>
      </c>
      <c r="E1466">
        <f>MIN(D1466, E1467+Parameters!$B$24)</f>
        <v/>
      </c>
    </row>
    <row r="1467">
      <c r="A1467" t="n">
        <v>146.5</v>
      </c>
      <c r="B1467" t="n">
        <v>25</v>
      </c>
      <c r="C1467">
        <f>ROUND(SQRT(E1467),2)</f>
        <v/>
      </c>
      <c r="D1467">
        <f>MIN(MIN(B1467,Parameters!$B$2)^2, D1466+Parameters!$B$24)</f>
        <v/>
      </c>
      <c r="E1467">
        <f>MIN(D1467, E1468+Parameters!$B$24)</f>
        <v/>
      </c>
    </row>
    <row r="1468">
      <c r="A1468" t="n">
        <v>146.6</v>
      </c>
      <c r="B1468" t="n">
        <v>25</v>
      </c>
      <c r="C1468">
        <f>ROUND(SQRT(E1468),2)</f>
        <v/>
      </c>
      <c r="D1468">
        <f>MIN(MIN(B1468,Parameters!$B$2)^2, D1467+Parameters!$B$24)</f>
        <v/>
      </c>
      <c r="E1468">
        <f>MIN(D1468, E1469+Parameters!$B$24)</f>
        <v/>
      </c>
    </row>
    <row r="1469">
      <c r="A1469" t="n">
        <v>146.7</v>
      </c>
      <c r="B1469" t="n">
        <v>25</v>
      </c>
      <c r="C1469">
        <f>ROUND(SQRT(E1469),2)</f>
        <v/>
      </c>
      <c r="D1469">
        <f>MIN(MIN(B1469,Parameters!$B$2)^2, D1468+Parameters!$B$24)</f>
        <v/>
      </c>
      <c r="E1469">
        <f>MIN(D1469, E1470+Parameters!$B$24)</f>
        <v/>
      </c>
    </row>
    <row r="1470">
      <c r="A1470" t="n">
        <v>146.8</v>
      </c>
      <c r="B1470" t="n">
        <v>25</v>
      </c>
      <c r="C1470">
        <f>ROUND(SQRT(E1470),2)</f>
        <v/>
      </c>
      <c r="D1470">
        <f>MIN(MIN(B1470,Parameters!$B$2)^2, D1469+Parameters!$B$24)</f>
        <v/>
      </c>
      <c r="E1470">
        <f>MIN(D1470, E1471+Parameters!$B$24)</f>
        <v/>
      </c>
    </row>
    <row r="1471">
      <c r="A1471" t="n">
        <v>146.9</v>
      </c>
      <c r="B1471" t="n">
        <v>25</v>
      </c>
      <c r="C1471">
        <f>ROUND(SQRT(E1471),2)</f>
        <v/>
      </c>
      <c r="D1471">
        <f>MIN(MIN(B1471,Parameters!$B$2)^2, D1470+Parameters!$B$24)</f>
        <v/>
      </c>
      <c r="E1471">
        <f>MIN(D1471, E1472+Parameters!$B$24)</f>
        <v/>
      </c>
    </row>
    <row r="1472">
      <c r="A1472" t="n">
        <v>147</v>
      </c>
      <c r="B1472" t="n">
        <v>25</v>
      </c>
      <c r="C1472">
        <f>ROUND(SQRT(E1472),2)</f>
        <v/>
      </c>
      <c r="D1472">
        <f>MIN(MIN(B1472,Parameters!$B$2)^2, D1471+Parameters!$B$24)</f>
        <v/>
      </c>
      <c r="E1472">
        <f>MIN(D1472, E1473+Parameters!$B$24)</f>
        <v/>
      </c>
    </row>
    <row r="1473">
      <c r="A1473" t="n">
        <v>147.1</v>
      </c>
      <c r="B1473" t="n">
        <v>25</v>
      </c>
      <c r="C1473">
        <f>ROUND(SQRT(E1473),2)</f>
        <v/>
      </c>
      <c r="D1473">
        <f>MIN(MIN(B1473,Parameters!$B$2)^2, D1472+Parameters!$B$24)</f>
        <v/>
      </c>
      <c r="E1473">
        <f>MIN(D1473, E1474+Parameters!$B$24)</f>
        <v/>
      </c>
    </row>
    <row r="1474">
      <c r="A1474" t="n">
        <v>147.2</v>
      </c>
      <c r="B1474" t="n">
        <v>25</v>
      </c>
      <c r="C1474">
        <f>ROUND(SQRT(E1474),2)</f>
        <v/>
      </c>
      <c r="D1474">
        <f>MIN(MIN(B1474,Parameters!$B$2)^2, D1473+Parameters!$B$24)</f>
        <v/>
      </c>
      <c r="E1474">
        <f>MIN(D1474, E1475+Parameters!$B$24)</f>
        <v/>
      </c>
    </row>
    <row r="1475">
      <c r="A1475" t="n">
        <v>147.3</v>
      </c>
      <c r="B1475" t="n">
        <v>25</v>
      </c>
      <c r="C1475">
        <f>ROUND(SQRT(E1475),2)</f>
        <v/>
      </c>
      <c r="D1475">
        <f>MIN(MIN(B1475,Parameters!$B$2)^2, D1474+Parameters!$B$24)</f>
        <v/>
      </c>
      <c r="E1475">
        <f>MIN(D1475, E1476+Parameters!$B$24)</f>
        <v/>
      </c>
    </row>
    <row r="1476">
      <c r="A1476" t="n">
        <v>147.4</v>
      </c>
      <c r="B1476" t="n">
        <v>25</v>
      </c>
      <c r="C1476">
        <f>ROUND(SQRT(E1476),2)</f>
        <v/>
      </c>
      <c r="D1476">
        <f>MIN(MIN(B1476,Parameters!$B$2)^2, D1475+Parameters!$B$24)</f>
        <v/>
      </c>
      <c r="E1476">
        <f>MIN(D1476, E1477+Parameters!$B$24)</f>
        <v/>
      </c>
    </row>
    <row r="1477">
      <c r="A1477" t="n">
        <v>147.5</v>
      </c>
      <c r="B1477" t="n">
        <v>25</v>
      </c>
      <c r="C1477">
        <f>ROUND(SQRT(E1477),2)</f>
        <v/>
      </c>
      <c r="D1477">
        <f>MIN(MIN(B1477,Parameters!$B$2)^2, D1476+Parameters!$B$24)</f>
        <v/>
      </c>
      <c r="E1477">
        <f>MIN(D1477, E1478+Parameters!$B$24)</f>
        <v/>
      </c>
    </row>
    <row r="1478">
      <c r="A1478" t="n">
        <v>147.6</v>
      </c>
      <c r="B1478" t="n">
        <v>25</v>
      </c>
      <c r="C1478">
        <f>ROUND(SQRT(E1478),2)</f>
        <v/>
      </c>
      <c r="D1478">
        <f>MIN(MIN(B1478,Parameters!$B$2)^2, D1477+Parameters!$B$24)</f>
        <v/>
      </c>
      <c r="E1478">
        <f>MIN(D1478, E1479+Parameters!$B$24)</f>
        <v/>
      </c>
    </row>
    <row r="1479">
      <c r="A1479" t="n">
        <v>147.7</v>
      </c>
      <c r="B1479" t="n">
        <v>25</v>
      </c>
      <c r="C1479">
        <f>ROUND(SQRT(E1479),2)</f>
        <v/>
      </c>
      <c r="D1479">
        <f>MIN(MIN(B1479,Parameters!$B$2)^2, D1478+Parameters!$B$24)</f>
        <v/>
      </c>
      <c r="E1479">
        <f>MIN(D1479, E1480+Parameters!$B$24)</f>
        <v/>
      </c>
    </row>
    <row r="1480">
      <c r="A1480" t="n">
        <v>147.8</v>
      </c>
      <c r="B1480" t="n">
        <v>25</v>
      </c>
      <c r="C1480">
        <f>ROUND(SQRT(E1480),2)</f>
        <v/>
      </c>
      <c r="D1480">
        <f>MIN(MIN(B1480,Parameters!$B$2)^2, D1479+Parameters!$B$24)</f>
        <v/>
      </c>
      <c r="E1480">
        <f>MIN(D1480, E1481+Parameters!$B$24)</f>
        <v/>
      </c>
    </row>
    <row r="1481">
      <c r="A1481" t="n">
        <v>147.9</v>
      </c>
      <c r="B1481" t="n">
        <v>25</v>
      </c>
      <c r="C1481">
        <f>ROUND(SQRT(E1481),2)</f>
        <v/>
      </c>
      <c r="D1481">
        <f>MIN(MIN(B1481,Parameters!$B$2)^2, D1480+Parameters!$B$24)</f>
        <v/>
      </c>
      <c r="E1481">
        <f>MIN(D1481, E1482+Parameters!$B$24)</f>
        <v/>
      </c>
    </row>
    <row r="1482">
      <c r="A1482" t="n">
        <v>148</v>
      </c>
      <c r="B1482" t="n">
        <v>25</v>
      </c>
      <c r="C1482">
        <f>ROUND(SQRT(E1482),2)</f>
        <v/>
      </c>
      <c r="D1482">
        <f>MIN(MIN(B1482,Parameters!$B$2)^2, D1481+Parameters!$B$24)</f>
        <v/>
      </c>
      <c r="E1482">
        <f>MIN(D1482, E1483+Parameters!$B$24)</f>
        <v/>
      </c>
    </row>
    <row r="1483">
      <c r="A1483" t="n">
        <v>148.1</v>
      </c>
      <c r="B1483" t="n">
        <v>25</v>
      </c>
      <c r="C1483">
        <f>ROUND(SQRT(E1483),2)</f>
        <v/>
      </c>
      <c r="D1483">
        <f>MIN(MIN(B1483,Parameters!$B$2)^2, D1482+Parameters!$B$24)</f>
        <v/>
      </c>
      <c r="E1483">
        <f>MIN(D1483, E1484+Parameters!$B$24)</f>
        <v/>
      </c>
    </row>
    <row r="1484">
      <c r="A1484" t="n">
        <v>148.2</v>
      </c>
      <c r="B1484" t="n">
        <v>25</v>
      </c>
      <c r="C1484">
        <f>ROUND(SQRT(E1484),2)</f>
        <v/>
      </c>
      <c r="D1484">
        <f>MIN(MIN(B1484,Parameters!$B$2)^2, D1483+Parameters!$B$24)</f>
        <v/>
      </c>
      <c r="E1484">
        <f>MIN(D1484, E1485+Parameters!$B$24)</f>
        <v/>
      </c>
    </row>
    <row r="1485">
      <c r="A1485" t="n">
        <v>148.3</v>
      </c>
      <c r="B1485" t="n">
        <v>25</v>
      </c>
      <c r="C1485">
        <f>ROUND(SQRT(E1485),2)</f>
        <v/>
      </c>
      <c r="D1485">
        <f>MIN(MIN(B1485,Parameters!$B$2)^2, D1484+Parameters!$B$24)</f>
        <v/>
      </c>
      <c r="E1485">
        <f>MIN(D1485, E1486+Parameters!$B$24)</f>
        <v/>
      </c>
    </row>
    <row r="1486">
      <c r="A1486" t="n">
        <v>148.4</v>
      </c>
      <c r="B1486" t="n">
        <v>25</v>
      </c>
      <c r="C1486">
        <f>ROUND(SQRT(E1486),2)</f>
        <v/>
      </c>
      <c r="D1486">
        <f>MIN(MIN(B1486,Parameters!$B$2)^2, D1485+Parameters!$B$24)</f>
        <v/>
      </c>
      <c r="E1486">
        <f>MIN(D1486, E1487+Parameters!$B$24)</f>
        <v/>
      </c>
    </row>
    <row r="1487">
      <c r="A1487" t="n">
        <v>148.5</v>
      </c>
      <c r="B1487" t="n">
        <v>25</v>
      </c>
      <c r="C1487">
        <f>ROUND(SQRT(E1487),2)</f>
        <v/>
      </c>
      <c r="D1487">
        <f>MIN(MIN(B1487,Parameters!$B$2)^2, D1486+Parameters!$B$24)</f>
        <v/>
      </c>
      <c r="E1487">
        <f>MIN(D1487, E1488+Parameters!$B$24)</f>
        <v/>
      </c>
    </row>
    <row r="1488">
      <c r="A1488" t="n">
        <v>148.6</v>
      </c>
      <c r="B1488" t="n">
        <v>20</v>
      </c>
      <c r="C1488">
        <f>ROUND(SQRT(E1488),2)</f>
        <v/>
      </c>
      <c r="D1488">
        <f>MIN(MIN(B1488,Parameters!$B$2)^2, D1487+Parameters!$B$24)</f>
        <v/>
      </c>
      <c r="E1488">
        <f>MIN(D1488, E1489+Parameters!$B$24)</f>
        <v/>
      </c>
    </row>
    <row r="1489">
      <c r="A1489" t="n">
        <v>148.7</v>
      </c>
      <c r="B1489" t="n">
        <v>20</v>
      </c>
      <c r="C1489">
        <f>ROUND(SQRT(E1489),2)</f>
        <v/>
      </c>
      <c r="D1489">
        <f>MIN(MIN(B1489,Parameters!$B$2)^2, D1488+Parameters!$B$24)</f>
        <v/>
      </c>
      <c r="E1489">
        <f>MIN(D1489, E1490+Parameters!$B$24)</f>
        <v/>
      </c>
    </row>
    <row r="1490">
      <c r="A1490" t="n">
        <v>148.8</v>
      </c>
      <c r="B1490" t="n">
        <v>20</v>
      </c>
      <c r="C1490">
        <f>ROUND(SQRT(E1490),2)</f>
        <v/>
      </c>
      <c r="D1490">
        <f>MIN(MIN(B1490,Parameters!$B$2)^2, D1489+Parameters!$B$24)</f>
        <v/>
      </c>
      <c r="E1490">
        <f>MIN(D1490, E1491+Parameters!$B$24)</f>
        <v/>
      </c>
    </row>
    <row r="1491">
      <c r="A1491" t="n">
        <v>148.9</v>
      </c>
      <c r="B1491" t="n">
        <v>20</v>
      </c>
      <c r="C1491">
        <f>ROUND(SQRT(E1491),2)</f>
        <v/>
      </c>
      <c r="D1491">
        <f>MIN(MIN(B1491,Parameters!$B$2)^2, D1490+Parameters!$B$24)</f>
        <v/>
      </c>
      <c r="E1491">
        <f>MIN(D1491, E1492+Parameters!$B$24)</f>
        <v/>
      </c>
    </row>
    <row r="1492">
      <c r="A1492" t="n">
        <v>149</v>
      </c>
      <c r="B1492" t="n">
        <v>20</v>
      </c>
      <c r="C1492">
        <f>ROUND(SQRT(E1492),2)</f>
        <v/>
      </c>
      <c r="D1492">
        <f>MIN(MIN(B1492,Parameters!$B$2)^2, D1491+Parameters!$B$24)</f>
        <v/>
      </c>
      <c r="E1492">
        <f>MIN(D1492, E1493+Parameters!$B$24)</f>
        <v/>
      </c>
    </row>
    <row r="1493">
      <c r="A1493" t="n">
        <v>149.1</v>
      </c>
      <c r="B1493" t="n">
        <v>20</v>
      </c>
      <c r="C1493">
        <f>ROUND(SQRT(E1493),2)</f>
        <v/>
      </c>
      <c r="D1493">
        <f>MIN(MIN(B1493,Parameters!$B$2)^2, D1492+Parameters!$B$24)</f>
        <v/>
      </c>
      <c r="E1493">
        <f>MIN(D1493, E1494+Parameters!$B$24)</f>
        <v/>
      </c>
    </row>
    <row r="1494">
      <c r="A1494" t="n">
        <v>149.2</v>
      </c>
      <c r="B1494" t="n">
        <v>20</v>
      </c>
      <c r="C1494">
        <f>ROUND(SQRT(E1494),2)</f>
        <v/>
      </c>
      <c r="D1494">
        <f>MIN(MIN(B1494,Parameters!$B$2)^2, D1493+Parameters!$B$24)</f>
        <v/>
      </c>
      <c r="E1494">
        <f>MIN(D1494, E1495+Parameters!$B$24)</f>
        <v/>
      </c>
    </row>
    <row r="1495">
      <c r="A1495" t="n">
        <v>149.3</v>
      </c>
      <c r="B1495" t="n">
        <v>20</v>
      </c>
      <c r="C1495">
        <f>ROUND(SQRT(E1495),2)</f>
        <v/>
      </c>
      <c r="D1495">
        <f>MIN(MIN(B1495,Parameters!$B$2)^2, D1494+Parameters!$B$24)</f>
        <v/>
      </c>
      <c r="E1495">
        <f>MIN(D1495, E1496+Parameters!$B$24)</f>
        <v/>
      </c>
    </row>
    <row r="1496">
      <c r="A1496" t="n">
        <v>149.4</v>
      </c>
      <c r="B1496" t="n">
        <v>20</v>
      </c>
      <c r="C1496">
        <f>ROUND(SQRT(E1496),2)</f>
        <v/>
      </c>
      <c r="D1496">
        <f>MIN(MIN(B1496,Parameters!$B$2)^2, D1495+Parameters!$B$24)</f>
        <v/>
      </c>
      <c r="E1496">
        <f>MIN(D1496, E1497+Parameters!$B$24)</f>
        <v/>
      </c>
    </row>
    <row r="1497">
      <c r="A1497" t="n">
        <v>149.5</v>
      </c>
      <c r="B1497" t="n">
        <v>20</v>
      </c>
      <c r="C1497">
        <f>ROUND(SQRT(E1497),2)</f>
        <v/>
      </c>
      <c r="D1497">
        <f>MIN(MIN(B1497,Parameters!$B$2)^2, D1496+Parameters!$B$24)</f>
        <v/>
      </c>
      <c r="E1497">
        <f>MIN(D1497, E1498+Parameters!$B$24)</f>
        <v/>
      </c>
    </row>
    <row r="1498">
      <c r="A1498" t="n">
        <v>149.6</v>
      </c>
      <c r="B1498" t="n">
        <v>20</v>
      </c>
      <c r="C1498">
        <f>ROUND(SQRT(E1498),2)</f>
        <v/>
      </c>
      <c r="D1498">
        <f>MIN(MIN(B1498,Parameters!$B$2)^2, D1497+Parameters!$B$24)</f>
        <v/>
      </c>
      <c r="E1498">
        <f>MIN(D1498, E1499+Parameters!$B$24)</f>
        <v/>
      </c>
    </row>
    <row r="1499">
      <c r="A1499" t="n">
        <v>149.7</v>
      </c>
      <c r="B1499" t="n">
        <v>20</v>
      </c>
      <c r="C1499">
        <f>ROUND(SQRT(E1499),2)</f>
        <v/>
      </c>
      <c r="D1499">
        <f>MIN(MIN(B1499,Parameters!$B$2)^2, D1498+Parameters!$B$24)</f>
        <v/>
      </c>
      <c r="E1499">
        <f>MIN(D1499, E1500+Parameters!$B$24)</f>
        <v/>
      </c>
    </row>
    <row r="1500">
      <c r="A1500" t="n">
        <v>149.8</v>
      </c>
      <c r="B1500" t="n">
        <v>20</v>
      </c>
      <c r="C1500">
        <f>ROUND(SQRT(E1500),2)</f>
        <v/>
      </c>
      <c r="D1500">
        <f>MIN(MIN(B1500,Parameters!$B$2)^2, D1499+Parameters!$B$24)</f>
        <v/>
      </c>
      <c r="E1500">
        <f>MIN(D1500, E1501+Parameters!$B$24)</f>
        <v/>
      </c>
    </row>
    <row r="1501">
      <c r="A1501" t="n">
        <v>149.9</v>
      </c>
      <c r="B1501" t="n">
        <v>20</v>
      </c>
      <c r="C1501">
        <f>ROUND(SQRT(E1501),2)</f>
        <v/>
      </c>
      <c r="D1501">
        <f>MIN(MIN(B1501,Parameters!$B$2)^2, D1500+Parameters!$B$24)</f>
        <v/>
      </c>
      <c r="E1501">
        <f>MIN(D1501, E1502+Parameters!$B$24)</f>
        <v/>
      </c>
    </row>
    <row r="1502">
      <c r="A1502" t="n">
        <v>150</v>
      </c>
      <c r="B1502" t="n">
        <v>20</v>
      </c>
      <c r="C1502">
        <f>ROUND(SQRT(E1502),2)</f>
        <v/>
      </c>
      <c r="D1502">
        <f>MIN(MIN(B1502,Parameters!$B$2)^2, D1501+Parameters!$B$24)</f>
        <v/>
      </c>
      <c r="E1502">
        <f>MIN(D1502, E1503+Parameters!$B$24)</f>
        <v/>
      </c>
    </row>
    <row r="1503">
      <c r="A1503" t="n">
        <v>150.1</v>
      </c>
      <c r="B1503" t="n">
        <v>20</v>
      </c>
      <c r="C1503">
        <f>ROUND(SQRT(E1503),2)</f>
        <v/>
      </c>
      <c r="D1503">
        <f>MIN(MIN(B1503,Parameters!$B$2)^2, D1502+Parameters!$B$24)</f>
        <v/>
      </c>
      <c r="E1503">
        <f>MIN(D1503, E1504+Parameters!$B$24)</f>
        <v/>
      </c>
    </row>
    <row r="1504">
      <c r="A1504" t="n">
        <v>150.2</v>
      </c>
      <c r="B1504" t="n">
        <v>20</v>
      </c>
      <c r="C1504">
        <f>ROUND(SQRT(E1504),2)</f>
        <v/>
      </c>
      <c r="D1504">
        <f>MIN(MIN(B1504,Parameters!$B$2)^2, D1503+Parameters!$B$24)</f>
        <v/>
      </c>
      <c r="E1504">
        <f>MIN(D1504, E1505+Parameters!$B$24)</f>
        <v/>
      </c>
    </row>
    <row r="1505">
      <c r="A1505" t="n">
        <v>150.3</v>
      </c>
      <c r="B1505" t="n">
        <v>20</v>
      </c>
      <c r="C1505">
        <f>ROUND(SQRT(E1505),2)</f>
        <v/>
      </c>
      <c r="D1505">
        <f>MIN(MIN(B1505,Parameters!$B$2)^2, D1504+Parameters!$B$24)</f>
        <v/>
      </c>
      <c r="E1505">
        <f>MIN(D1505, E1506+Parameters!$B$24)</f>
        <v/>
      </c>
    </row>
    <row r="1506">
      <c r="A1506" t="n">
        <v>150.4</v>
      </c>
      <c r="B1506" t="n">
        <v>20</v>
      </c>
      <c r="C1506">
        <f>ROUND(SQRT(E1506),2)</f>
        <v/>
      </c>
      <c r="D1506">
        <f>MIN(MIN(B1506,Parameters!$B$2)^2, D1505+Parameters!$B$24)</f>
        <v/>
      </c>
      <c r="E1506">
        <f>MIN(D1506, E1507+Parameters!$B$24)</f>
        <v/>
      </c>
    </row>
    <row r="1507">
      <c r="A1507" t="n">
        <v>150.5</v>
      </c>
      <c r="B1507" t="n">
        <v>20</v>
      </c>
      <c r="C1507">
        <f>ROUND(SQRT(E1507),2)</f>
        <v/>
      </c>
      <c r="D1507">
        <f>MIN(MIN(B1507,Parameters!$B$2)^2, D1506+Parameters!$B$24)</f>
        <v/>
      </c>
      <c r="E1507">
        <f>MIN(D1507, E1508+Parameters!$B$24)</f>
        <v/>
      </c>
    </row>
    <row r="1508">
      <c r="A1508" t="n">
        <v>150.6</v>
      </c>
      <c r="B1508" t="n">
        <v>20</v>
      </c>
      <c r="C1508">
        <f>ROUND(SQRT(E1508),2)</f>
        <v/>
      </c>
      <c r="D1508">
        <f>MIN(MIN(B1508,Parameters!$B$2)^2, D1507+Parameters!$B$24)</f>
        <v/>
      </c>
      <c r="E1508">
        <f>MIN(D1508, E1509+Parameters!$B$24)</f>
        <v/>
      </c>
    </row>
    <row r="1509">
      <c r="A1509" t="n">
        <v>150.7</v>
      </c>
      <c r="B1509" t="n">
        <v>20</v>
      </c>
      <c r="C1509">
        <f>ROUND(SQRT(E1509),2)</f>
        <v/>
      </c>
      <c r="D1509">
        <f>MIN(MIN(B1509,Parameters!$B$2)^2, D1508+Parameters!$B$24)</f>
        <v/>
      </c>
      <c r="E1509">
        <f>MIN(D1509, E1510+Parameters!$B$24)</f>
        <v/>
      </c>
    </row>
    <row r="1510">
      <c r="A1510" t="n">
        <v>150.8</v>
      </c>
      <c r="B1510" t="n">
        <v>20</v>
      </c>
      <c r="C1510">
        <f>ROUND(SQRT(E1510),2)</f>
        <v/>
      </c>
      <c r="D1510">
        <f>MIN(MIN(B1510,Parameters!$B$2)^2, D1509+Parameters!$B$24)</f>
        <v/>
      </c>
      <c r="E1510">
        <f>MIN(D1510, E1511+Parameters!$B$24)</f>
        <v/>
      </c>
    </row>
    <row r="1511">
      <c r="A1511" t="n">
        <v>150.9</v>
      </c>
      <c r="B1511" t="n">
        <v>20</v>
      </c>
      <c r="C1511">
        <f>ROUND(SQRT(E1511),2)</f>
        <v/>
      </c>
      <c r="D1511">
        <f>MIN(MIN(B1511,Parameters!$B$2)^2, D1510+Parameters!$B$24)</f>
        <v/>
      </c>
      <c r="E1511">
        <f>MIN(D1511, E1512+Parameters!$B$24)</f>
        <v/>
      </c>
    </row>
    <row r="1512">
      <c r="A1512" t="n">
        <v>151</v>
      </c>
      <c r="B1512" t="n">
        <v>20</v>
      </c>
      <c r="C1512">
        <f>ROUND(SQRT(E1512),2)</f>
        <v/>
      </c>
      <c r="D1512">
        <f>MIN(MIN(B1512,Parameters!$B$2)^2, D1511+Parameters!$B$24)</f>
        <v/>
      </c>
      <c r="E1512">
        <f>MIN(D1512, E1513+Parameters!$B$24)</f>
        <v/>
      </c>
    </row>
    <row r="1513">
      <c r="A1513" t="n">
        <v>151.1</v>
      </c>
      <c r="B1513" t="n">
        <v>20</v>
      </c>
      <c r="C1513">
        <f>ROUND(SQRT(E1513),2)</f>
        <v/>
      </c>
      <c r="D1513">
        <f>MIN(MIN(B1513,Parameters!$B$2)^2, D1512+Parameters!$B$24)</f>
        <v/>
      </c>
      <c r="E1513">
        <f>MIN(D1513, E1514+Parameters!$B$24)</f>
        <v/>
      </c>
    </row>
    <row r="1514">
      <c r="A1514" t="n">
        <v>151.2</v>
      </c>
      <c r="B1514" t="n">
        <v>20</v>
      </c>
      <c r="C1514">
        <f>ROUND(SQRT(E1514),2)</f>
        <v/>
      </c>
      <c r="D1514">
        <f>MIN(MIN(B1514,Parameters!$B$2)^2, D1513+Parameters!$B$24)</f>
        <v/>
      </c>
      <c r="E1514">
        <f>MIN(D1514, E1515+Parameters!$B$24)</f>
        <v/>
      </c>
    </row>
    <row r="1515">
      <c r="A1515" t="n">
        <v>151.3</v>
      </c>
      <c r="B1515" t="n">
        <v>20</v>
      </c>
      <c r="C1515">
        <f>ROUND(SQRT(E1515),2)</f>
        <v/>
      </c>
      <c r="D1515">
        <f>MIN(MIN(B1515,Parameters!$B$2)^2, D1514+Parameters!$B$24)</f>
        <v/>
      </c>
      <c r="E1515">
        <f>MIN(D1515, E1516+Parameters!$B$24)</f>
        <v/>
      </c>
    </row>
    <row r="1516">
      <c r="A1516" t="n">
        <v>151.4</v>
      </c>
      <c r="B1516" t="n">
        <v>20</v>
      </c>
      <c r="C1516">
        <f>ROUND(SQRT(E1516),2)</f>
        <v/>
      </c>
      <c r="D1516">
        <f>MIN(MIN(B1516,Parameters!$B$2)^2, D1515+Parameters!$B$24)</f>
        <v/>
      </c>
      <c r="E1516">
        <f>MIN(D1516, E1517+Parameters!$B$24)</f>
        <v/>
      </c>
    </row>
    <row r="1517">
      <c r="A1517" t="n">
        <v>151.5</v>
      </c>
      <c r="B1517" t="n">
        <v>20</v>
      </c>
      <c r="C1517">
        <f>ROUND(SQRT(E1517),2)</f>
        <v/>
      </c>
      <c r="D1517">
        <f>MIN(MIN(B1517,Parameters!$B$2)^2, D1516+Parameters!$B$24)</f>
        <v/>
      </c>
      <c r="E1517">
        <f>MIN(D1517, E1518+Parameters!$B$24)</f>
        <v/>
      </c>
    </row>
    <row r="1518">
      <c r="A1518" t="n">
        <v>151.6</v>
      </c>
      <c r="B1518" t="n">
        <v>20</v>
      </c>
      <c r="C1518">
        <f>ROUND(SQRT(E1518),2)</f>
        <v/>
      </c>
      <c r="D1518">
        <f>MIN(MIN(B1518,Parameters!$B$2)^2, D1517+Parameters!$B$24)</f>
        <v/>
      </c>
      <c r="E1518">
        <f>MIN(D1518, E1519+Parameters!$B$24)</f>
        <v/>
      </c>
    </row>
    <row r="1519">
      <c r="A1519" t="n">
        <v>151.7</v>
      </c>
      <c r="B1519" t="n">
        <v>20</v>
      </c>
      <c r="C1519">
        <f>ROUND(SQRT(E1519),2)</f>
        <v/>
      </c>
      <c r="D1519">
        <f>MIN(MIN(B1519,Parameters!$B$2)^2, D1518+Parameters!$B$24)</f>
        <v/>
      </c>
      <c r="E1519">
        <f>MIN(D1519, E1520+Parameters!$B$24)</f>
        <v/>
      </c>
    </row>
    <row r="1520">
      <c r="A1520" t="n">
        <v>151.8</v>
      </c>
      <c r="B1520" t="n">
        <v>20</v>
      </c>
      <c r="C1520">
        <f>ROUND(SQRT(E1520),2)</f>
        <v/>
      </c>
      <c r="D1520">
        <f>MIN(MIN(B1520,Parameters!$B$2)^2, D1519+Parameters!$B$24)</f>
        <v/>
      </c>
      <c r="E1520">
        <f>MIN(D1520, E1521+Parameters!$B$24)</f>
        <v/>
      </c>
    </row>
    <row r="1521">
      <c r="A1521" t="n">
        <v>151.9</v>
      </c>
      <c r="B1521" t="n">
        <v>20</v>
      </c>
      <c r="C1521">
        <f>ROUND(SQRT(E1521),2)</f>
        <v/>
      </c>
      <c r="D1521">
        <f>MIN(MIN(B1521,Parameters!$B$2)^2, D1520+Parameters!$B$24)</f>
        <v/>
      </c>
      <c r="E1521">
        <f>MIN(D1521, E1522+Parameters!$B$24)</f>
        <v/>
      </c>
    </row>
    <row r="1522">
      <c r="A1522" t="n">
        <v>152</v>
      </c>
      <c r="B1522" t="n">
        <v>20</v>
      </c>
      <c r="C1522">
        <f>ROUND(SQRT(E1522),2)</f>
        <v/>
      </c>
      <c r="D1522">
        <f>MIN(MIN(B1522,Parameters!$B$2)^2, D1521+Parameters!$B$24)</f>
        <v/>
      </c>
      <c r="E1522">
        <f>MIN(D1522, E1523+Parameters!$B$24)</f>
        <v/>
      </c>
    </row>
    <row r="1523">
      <c r="A1523" t="n">
        <v>152.1</v>
      </c>
      <c r="B1523" t="n">
        <v>20</v>
      </c>
      <c r="C1523">
        <f>ROUND(SQRT(E1523),2)</f>
        <v/>
      </c>
      <c r="D1523">
        <f>MIN(MIN(B1523,Parameters!$B$2)^2, D1522+Parameters!$B$24)</f>
        <v/>
      </c>
      <c r="E1523">
        <f>MIN(D1523, E1524+Parameters!$B$24)</f>
        <v/>
      </c>
    </row>
    <row r="1524">
      <c r="A1524" t="n">
        <v>152.2</v>
      </c>
      <c r="B1524" t="n">
        <v>20</v>
      </c>
      <c r="C1524">
        <f>ROUND(SQRT(E1524),2)</f>
        <v/>
      </c>
      <c r="D1524">
        <f>MIN(MIN(B1524,Parameters!$B$2)^2, D1523+Parameters!$B$24)</f>
        <v/>
      </c>
      <c r="E1524">
        <f>MIN(D1524, E1525+Parameters!$B$24)</f>
        <v/>
      </c>
    </row>
    <row r="1525">
      <c r="A1525" t="n">
        <v>152.3</v>
      </c>
      <c r="B1525" t="n">
        <v>20</v>
      </c>
      <c r="C1525">
        <f>ROUND(SQRT(E1525),2)</f>
        <v/>
      </c>
      <c r="D1525">
        <f>MIN(MIN(B1525,Parameters!$B$2)^2, D1524+Parameters!$B$24)</f>
        <v/>
      </c>
      <c r="E1525">
        <f>MIN(D1525, E1526+Parameters!$B$24)</f>
        <v/>
      </c>
    </row>
    <row r="1526">
      <c r="A1526" t="n">
        <v>152.4</v>
      </c>
      <c r="B1526" t="n">
        <v>20</v>
      </c>
      <c r="C1526">
        <f>ROUND(SQRT(E1526),2)</f>
        <v/>
      </c>
      <c r="D1526">
        <f>MIN(MIN(B1526,Parameters!$B$2)^2, D1525+Parameters!$B$24)</f>
        <v/>
      </c>
      <c r="E1526">
        <f>MIN(D1526, E1527+Parameters!$B$24)</f>
        <v/>
      </c>
    </row>
    <row r="1527">
      <c r="A1527" t="n">
        <v>152.5</v>
      </c>
      <c r="B1527" t="n">
        <v>20</v>
      </c>
      <c r="C1527">
        <f>ROUND(SQRT(E1527),2)</f>
        <v/>
      </c>
      <c r="D1527">
        <f>MIN(MIN(B1527,Parameters!$B$2)^2, D1526+Parameters!$B$24)</f>
        <v/>
      </c>
      <c r="E1527">
        <f>MIN(D1527, E1528+Parameters!$B$24)</f>
        <v/>
      </c>
    </row>
    <row r="1528">
      <c r="A1528" t="n">
        <v>152.6</v>
      </c>
      <c r="B1528" t="n">
        <v>20</v>
      </c>
      <c r="C1528">
        <f>ROUND(SQRT(E1528),2)</f>
        <v/>
      </c>
      <c r="D1528">
        <f>MIN(MIN(B1528,Parameters!$B$2)^2, D1527+Parameters!$B$24)</f>
        <v/>
      </c>
      <c r="E1528">
        <f>MIN(D1528, E1529+Parameters!$B$24)</f>
        <v/>
      </c>
    </row>
    <row r="1529">
      <c r="A1529" t="n">
        <v>152.7</v>
      </c>
      <c r="B1529" t="n">
        <v>20</v>
      </c>
      <c r="C1529">
        <f>ROUND(SQRT(E1529),2)</f>
        <v/>
      </c>
      <c r="D1529">
        <f>MIN(MIN(B1529,Parameters!$B$2)^2, D1528+Parameters!$B$24)</f>
        <v/>
      </c>
      <c r="E1529">
        <f>MIN(D1529, E1530+Parameters!$B$24)</f>
        <v/>
      </c>
    </row>
    <row r="1530">
      <c r="A1530" t="n">
        <v>152.8</v>
      </c>
      <c r="B1530" t="n">
        <v>20</v>
      </c>
      <c r="C1530">
        <f>ROUND(SQRT(E1530),2)</f>
        <v/>
      </c>
      <c r="D1530">
        <f>MIN(MIN(B1530,Parameters!$B$2)^2, D1529+Parameters!$B$24)</f>
        <v/>
      </c>
      <c r="E1530">
        <f>MIN(D1530, E1531+Parameters!$B$24)</f>
        <v/>
      </c>
    </row>
    <row r="1531">
      <c r="A1531" t="n">
        <v>152.9</v>
      </c>
      <c r="B1531" t="n">
        <v>20</v>
      </c>
      <c r="C1531">
        <f>ROUND(SQRT(E1531),2)</f>
        <v/>
      </c>
      <c r="D1531">
        <f>MIN(MIN(B1531,Parameters!$B$2)^2, D1530+Parameters!$B$24)</f>
        <v/>
      </c>
      <c r="E1531">
        <f>MIN(D1531, E1532+Parameters!$B$24)</f>
        <v/>
      </c>
    </row>
    <row r="1532">
      <c r="A1532" t="n">
        <v>153</v>
      </c>
      <c r="B1532" t="n">
        <v>20</v>
      </c>
      <c r="C1532">
        <f>ROUND(SQRT(E1532),2)</f>
        <v/>
      </c>
      <c r="D1532">
        <f>MIN(MIN(B1532,Parameters!$B$2)^2, D1531+Parameters!$B$24)</f>
        <v/>
      </c>
      <c r="E1532">
        <f>MIN(D1532, E1533+Parameters!$B$24)</f>
        <v/>
      </c>
    </row>
    <row r="1533">
      <c r="A1533" t="n">
        <v>153.1</v>
      </c>
      <c r="B1533" t="n">
        <v>20</v>
      </c>
      <c r="C1533">
        <f>ROUND(SQRT(E1533),2)</f>
        <v/>
      </c>
      <c r="D1533">
        <f>MIN(MIN(B1533,Parameters!$B$2)^2, D1532+Parameters!$B$24)</f>
        <v/>
      </c>
      <c r="E1533">
        <f>MIN(D1533, E1534+Parameters!$B$24)</f>
        <v/>
      </c>
    </row>
    <row r="1534">
      <c r="A1534" t="n">
        <v>153.2</v>
      </c>
      <c r="B1534" t="n">
        <v>20</v>
      </c>
      <c r="C1534">
        <f>ROUND(SQRT(E1534),2)</f>
        <v/>
      </c>
      <c r="D1534">
        <f>MIN(MIN(B1534,Parameters!$B$2)^2, D1533+Parameters!$B$24)</f>
        <v/>
      </c>
      <c r="E1534">
        <f>MIN(D1534, E1535+Parameters!$B$24)</f>
        <v/>
      </c>
    </row>
    <row r="1535">
      <c r="A1535" t="n">
        <v>153.3</v>
      </c>
      <c r="B1535" t="n">
        <v>20</v>
      </c>
      <c r="C1535">
        <f>ROUND(SQRT(E1535),2)</f>
        <v/>
      </c>
      <c r="D1535">
        <f>MIN(MIN(B1535,Parameters!$B$2)^2, D1534+Parameters!$B$24)</f>
        <v/>
      </c>
      <c r="E1535">
        <f>MIN(D1535, E1536+Parameters!$B$24)</f>
        <v/>
      </c>
    </row>
    <row r="1536">
      <c r="A1536" t="n">
        <v>153.4</v>
      </c>
      <c r="B1536" t="n">
        <v>20</v>
      </c>
      <c r="C1536">
        <f>ROUND(SQRT(E1536),2)</f>
        <v/>
      </c>
      <c r="D1536">
        <f>MIN(MIN(B1536,Parameters!$B$2)^2, D1535+Parameters!$B$24)</f>
        <v/>
      </c>
      <c r="E1536">
        <f>MIN(D1536, E1537+Parameters!$B$24)</f>
        <v/>
      </c>
    </row>
    <row r="1537">
      <c r="A1537" t="n">
        <v>153.5</v>
      </c>
      <c r="B1537" t="n">
        <v>20</v>
      </c>
      <c r="C1537">
        <f>ROUND(SQRT(E1537),2)</f>
        <v/>
      </c>
      <c r="D1537">
        <f>MIN(MIN(B1537,Parameters!$B$2)^2, D1536+Parameters!$B$24)</f>
        <v/>
      </c>
      <c r="E1537">
        <f>MIN(D1537, E1538+Parameters!$B$24)</f>
        <v/>
      </c>
    </row>
    <row r="1538">
      <c r="A1538" t="n">
        <v>153.6</v>
      </c>
      <c r="B1538" t="n">
        <v>20</v>
      </c>
      <c r="C1538">
        <f>ROUND(SQRT(E1538),2)</f>
        <v/>
      </c>
      <c r="D1538">
        <f>MIN(MIN(B1538,Parameters!$B$2)^2, D1537+Parameters!$B$24)</f>
        <v/>
      </c>
      <c r="E1538">
        <f>MIN(D1538, E1539+Parameters!$B$24)</f>
        <v/>
      </c>
    </row>
    <row r="1539">
      <c r="A1539" t="n">
        <v>153.7</v>
      </c>
      <c r="B1539" t="n">
        <v>20</v>
      </c>
      <c r="C1539">
        <f>ROUND(SQRT(E1539),2)</f>
        <v/>
      </c>
      <c r="D1539">
        <f>MIN(MIN(B1539,Parameters!$B$2)^2, D1538+Parameters!$B$24)</f>
        <v/>
      </c>
      <c r="E1539">
        <f>MIN(D1539, E1540+Parameters!$B$24)</f>
        <v/>
      </c>
    </row>
    <row r="1540">
      <c r="A1540" t="n">
        <v>153.8</v>
      </c>
      <c r="B1540" t="n">
        <v>20</v>
      </c>
      <c r="C1540">
        <f>ROUND(SQRT(E1540),2)</f>
        <v/>
      </c>
      <c r="D1540">
        <f>MIN(MIN(B1540,Parameters!$B$2)^2, D1539+Parameters!$B$24)</f>
        <v/>
      </c>
      <c r="E1540">
        <f>MIN(D1540, E1541+Parameters!$B$24)</f>
        <v/>
      </c>
    </row>
    <row r="1541">
      <c r="A1541" t="n">
        <v>153.9</v>
      </c>
      <c r="B1541" t="n">
        <v>20</v>
      </c>
      <c r="C1541">
        <f>ROUND(SQRT(E1541),2)</f>
        <v/>
      </c>
      <c r="D1541">
        <f>MIN(MIN(B1541,Parameters!$B$2)^2, D1540+Parameters!$B$24)</f>
        <v/>
      </c>
      <c r="E1541">
        <f>MIN(D1541, E1542+Parameters!$B$24)</f>
        <v/>
      </c>
    </row>
    <row r="1542">
      <c r="A1542" t="n">
        <v>154</v>
      </c>
      <c r="B1542" t="n">
        <v>20</v>
      </c>
      <c r="C1542">
        <f>ROUND(SQRT(E1542),2)</f>
        <v/>
      </c>
      <c r="D1542">
        <f>MIN(MIN(B1542,Parameters!$B$2)^2, D1541+Parameters!$B$24)</f>
        <v/>
      </c>
      <c r="E1542">
        <f>MIN(D1542, E1543+Parameters!$B$24)</f>
        <v/>
      </c>
    </row>
    <row r="1543">
      <c r="A1543" t="n">
        <v>154.1</v>
      </c>
      <c r="B1543" t="n">
        <v>20</v>
      </c>
      <c r="C1543">
        <f>ROUND(SQRT(E1543),2)</f>
        <v/>
      </c>
      <c r="D1543">
        <f>MIN(MIN(B1543,Parameters!$B$2)^2, D1542+Parameters!$B$24)</f>
        <v/>
      </c>
      <c r="E1543">
        <f>MIN(D1543, E1544+Parameters!$B$24)</f>
        <v/>
      </c>
    </row>
    <row r="1544">
      <c r="A1544" t="n">
        <v>154.2</v>
      </c>
      <c r="B1544" t="n">
        <v>20</v>
      </c>
      <c r="C1544">
        <f>ROUND(SQRT(E1544),2)</f>
        <v/>
      </c>
      <c r="D1544">
        <f>MIN(MIN(B1544,Parameters!$B$2)^2, D1543+Parameters!$B$24)</f>
        <v/>
      </c>
      <c r="E1544">
        <f>MIN(D1544, E1545+Parameters!$B$24)</f>
        <v/>
      </c>
    </row>
    <row r="1545">
      <c r="A1545" t="n">
        <v>154.3</v>
      </c>
      <c r="B1545" t="n">
        <v>20</v>
      </c>
      <c r="C1545">
        <f>ROUND(SQRT(E1545),2)</f>
        <v/>
      </c>
      <c r="D1545">
        <f>MIN(MIN(B1545,Parameters!$B$2)^2, D1544+Parameters!$B$24)</f>
        <v/>
      </c>
      <c r="E1545">
        <f>MIN(D1545, E1546+Parameters!$B$24)</f>
        <v/>
      </c>
    </row>
    <row r="1546">
      <c r="A1546" t="n">
        <v>154.4</v>
      </c>
      <c r="B1546" t="n">
        <v>20</v>
      </c>
      <c r="C1546">
        <f>ROUND(SQRT(E1546),2)</f>
        <v/>
      </c>
      <c r="D1546">
        <f>MIN(MIN(B1546,Parameters!$B$2)^2, D1545+Parameters!$B$24)</f>
        <v/>
      </c>
      <c r="E1546">
        <f>MIN(D1546, E1547+Parameters!$B$24)</f>
        <v/>
      </c>
    </row>
    <row r="1547">
      <c r="A1547" t="n">
        <v>154.5</v>
      </c>
      <c r="B1547" t="n">
        <v>20</v>
      </c>
      <c r="C1547">
        <f>ROUND(SQRT(E1547),2)</f>
        <v/>
      </c>
      <c r="D1547">
        <f>MIN(MIN(B1547,Parameters!$B$2)^2, D1546+Parameters!$B$24)</f>
        <v/>
      </c>
      <c r="E1547">
        <f>MIN(D1547, E1548+Parameters!$B$24)</f>
        <v/>
      </c>
    </row>
    <row r="1548">
      <c r="A1548" t="n">
        <v>154.6</v>
      </c>
      <c r="B1548" t="n">
        <v>20</v>
      </c>
      <c r="C1548">
        <f>ROUND(SQRT(E1548),2)</f>
        <v/>
      </c>
      <c r="D1548">
        <f>MIN(MIN(B1548,Parameters!$B$2)^2, D1547+Parameters!$B$24)</f>
        <v/>
      </c>
      <c r="E1548">
        <f>MIN(D1548, E1549+Parameters!$B$24)</f>
        <v/>
      </c>
    </row>
    <row r="1549">
      <c r="A1549" t="n">
        <v>154.7</v>
      </c>
      <c r="B1549" t="n">
        <v>20</v>
      </c>
      <c r="C1549">
        <f>ROUND(SQRT(E1549),2)</f>
        <v/>
      </c>
      <c r="D1549">
        <f>MIN(MIN(B1549,Parameters!$B$2)^2, D1548+Parameters!$B$24)</f>
        <v/>
      </c>
      <c r="E1549">
        <f>MIN(D1549, E1550+Parameters!$B$24)</f>
        <v/>
      </c>
    </row>
    <row r="1550">
      <c r="A1550" t="n">
        <v>154.8</v>
      </c>
      <c r="B1550" t="n">
        <v>20</v>
      </c>
      <c r="C1550">
        <f>ROUND(SQRT(E1550),2)</f>
        <v/>
      </c>
      <c r="D1550">
        <f>MIN(MIN(B1550,Parameters!$B$2)^2, D1549+Parameters!$B$24)</f>
        <v/>
      </c>
      <c r="E1550">
        <f>MIN(D1550, E1551+Parameters!$B$24)</f>
        <v/>
      </c>
    </row>
    <row r="1551">
      <c r="A1551" t="n">
        <v>154.9</v>
      </c>
      <c r="B1551" t="n">
        <v>20</v>
      </c>
      <c r="C1551">
        <f>ROUND(SQRT(E1551),2)</f>
        <v/>
      </c>
      <c r="D1551">
        <f>MIN(MIN(B1551,Parameters!$B$2)^2, D1550+Parameters!$B$24)</f>
        <v/>
      </c>
      <c r="E1551">
        <f>MIN(D1551, E1552+Parameters!$B$24)</f>
        <v/>
      </c>
    </row>
    <row r="1552">
      <c r="A1552" t="n">
        <v>155</v>
      </c>
      <c r="B1552" t="n">
        <v>20</v>
      </c>
      <c r="C1552">
        <f>ROUND(SQRT(E1552),2)</f>
        <v/>
      </c>
      <c r="D1552">
        <f>MIN(MIN(B1552,Parameters!$B$2)^2, D1551+Parameters!$B$24)</f>
        <v/>
      </c>
      <c r="E1552">
        <f>MIN(D1552, E1553+Parameters!$B$24)</f>
        <v/>
      </c>
    </row>
    <row r="1553">
      <c r="A1553" t="n">
        <v>155.1</v>
      </c>
      <c r="B1553" t="n">
        <v>20</v>
      </c>
      <c r="C1553">
        <f>ROUND(SQRT(E1553),2)</f>
        <v/>
      </c>
      <c r="D1553">
        <f>MIN(MIN(B1553,Parameters!$B$2)^2, D1552+Parameters!$B$24)</f>
        <v/>
      </c>
      <c r="E1553">
        <f>MIN(D1553, E1554+Parameters!$B$24)</f>
        <v/>
      </c>
    </row>
    <row r="1554">
      <c r="A1554" t="n">
        <v>155.2</v>
      </c>
      <c r="B1554" t="n">
        <v>20</v>
      </c>
      <c r="C1554">
        <f>ROUND(SQRT(E1554),2)</f>
        <v/>
      </c>
      <c r="D1554">
        <f>MIN(MIN(B1554,Parameters!$B$2)^2, D1553+Parameters!$B$24)</f>
        <v/>
      </c>
      <c r="E1554">
        <f>MIN(D1554, E1555+Parameters!$B$24)</f>
        <v/>
      </c>
    </row>
    <row r="1555">
      <c r="A1555" t="n">
        <v>155.3</v>
      </c>
      <c r="B1555" t="n">
        <v>20</v>
      </c>
      <c r="C1555">
        <f>ROUND(SQRT(E1555),2)</f>
        <v/>
      </c>
      <c r="D1555">
        <f>MIN(MIN(B1555,Parameters!$B$2)^2, D1554+Parameters!$B$24)</f>
        <v/>
      </c>
      <c r="E1555">
        <f>MIN(D1555, E1556+Parameters!$B$24)</f>
        <v/>
      </c>
    </row>
    <row r="1556">
      <c r="A1556" t="n">
        <v>155.4</v>
      </c>
      <c r="B1556" t="n">
        <v>20</v>
      </c>
      <c r="C1556">
        <f>ROUND(SQRT(E1556),2)</f>
        <v/>
      </c>
      <c r="D1556">
        <f>MIN(MIN(B1556,Parameters!$B$2)^2, D1555+Parameters!$B$24)</f>
        <v/>
      </c>
      <c r="E1556">
        <f>MIN(D1556, E1557+Parameters!$B$24)</f>
        <v/>
      </c>
    </row>
    <row r="1557">
      <c r="A1557" t="n">
        <v>155.5</v>
      </c>
      <c r="B1557" t="n">
        <v>20</v>
      </c>
      <c r="C1557">
        <f>ROUND(SQRT(E1557),2)</f>
        <v/>
      </c>
      <c r="D1557">
        <f>MIN(MIN(B1557,Parameters!$B$2)^2, D1556+Parameters!$B$24)</f>
        <v/>
      </c>
      <c r="E1557">
        <f>MIN(D1557, E1558+Parameters!$B$24)</f>
        <v/>
      </c>
    </row>
    <row r="1558">
      <c r="A1558" t="n">
        <v>155.6</v>
      </c>
      <c r="B1558" t="n">
        <v>20</v>
      </c>
      <c r="C1558">
        <f>ROUND(SQRT(E1558),2)</f>
        <v/>
      </c>
      <c r="D1558">
        <f>MIN(MIN(B1558,Parameters!$B$2)^2, D1557+Parameters!$B$24)</f>
        <v/>
      </c>
      <c r="E1558">
        <f>MIN(D1558, E1559+Parameters!$B$24)</f>
        <v/>
      </c>
    </row>
    <row r="1559">
      <c r="A1559" t="n">
        <v>155.7</v>
      </c>
      <c r="B1559" t="n">
        <v>20</v>
      </c>
      <c r="C1559">
        <f>ROUND(SQRT(E1559),2)</f>
        <v/>
      </c>
      <c r="D1559">
        <f>MIN(MIN(B1559,Parameters!$B$2)^2, D1558+Parameters!$B$24)</f>
        <v/>
      </c>
      <c r="E1559">
        <f>MIN(D1559, E1560+Parameters!$B$24)</f>
        <v/>
      </c>
    </row>
    <row r="1560">
      <c r="A1560" t="n">
        <v>155.8</v>
      </c>
      <c r="B1560" t="n">
        <v>20</v>
      </c>
      <c r="C1560">
        <f>ROUND(SQRT(E1560),2)</f>
        <v/>
      </c>
      <c r="D1560">
        <f>MIN(MIN(B1560,Parameters!$B$2)^2, D1559+Parameters!$B$24)</f>
        <v/>
      </c>
      <c r="E1560">
        <f>MIN(D1560, E1561+Parameters!$B$24)</f>
        <v/>
      </c>
    </row>
    <row r="1561">
      <c r="A1561" t="n">
        <v>155.9</v>
      </c>
      <c r="B1561" t="n">
        <v>20</v>
      </c>
      <c r="C1561">
        <f>ROUND(SQRT(E1561),2)</f>
        <v/>
      </c>
      <c r="D1561">
        <f>MIN(MIN(B1561,Parameters!$B$2)^2, D1560+Parameters!$B$24)</f>
        <v/>
      </c>
      <c r="E1561">
        <f>MIN(D1561, E1562+Parameters!$B$24)</f>
        <v/>
      </c>
    </row>
    <row r="1562">
      <c r="A1562" t="n">
        <v>156</v>
      </c>
      <c r="B1562" t="n">
        <v>20</v>
      </c>
      <c r="C1562">
        <f>ROUND(SQRT(E1562),2)</f>
        <v/>
      </c>
      <c r="D1562">
        <f>MIN(MIN(B1562,Parameters!$B$2)^2, D1561+Parameters!$B$24)</f>
        <v/>
      </c>
      <c r="E1562">
        <f>MIN(D1562, E1563+Parameters!$B$24)</f>
        <v/>
      </c>
    </row>
    <row r="1563">
      <c r="A1563" t="n">
        <v>156.1</v>
      </c>
      <c r="B1563" t="n">
        <v>20</v>
      </c>
      <c r="C1563">
        <f>ROUND(SQRT(E1563),2)</f>
        <v/>
      </c>
      <c r="D1563">
        <f>MIN(MIN(B1563,Parameters!$B$2)^2, D1562+Parameters!$B$24)</f>
        <v/>
      </c>
      <c r="E1563">
        <f>MIN(D1563, E1564+Parameters!$B$24)</f>
        <v/>
      </c>
    </row>
    <row r="1564">
      <c r="A1564" t="n">
        <v>156.2</v>
      </c>
      <c r="B1564" t="n">
        <v>20</v>
      </c>
      <c r="C1564">
        <f>ROUND(SQRT(E1564),2)</f>
        <v/>
      </c>
      <c r="D1564">
        <f>MIN(MIN(B1564,Parameters!$B$2)^2, D1563+Parameters!$B$24)</f>
        <v/>
      </c>
      <c r="E1564">
        <f>MIN(D1564, E1565+Parameters!$B$24)</f>
        <v/>
      </c>
    </row>
    <row r="1565">
      <c r="A1565" t="n">
        <v>156.3</v>
      </c>
      <c r="B1565" t="n">
        <v>20</v>
      </c>
      <c r="C1565">
        <f>ROUND(SQRT(E1565),2)</f>
        <v/>
      </c>
      <c r="D1565">
        <f>MIN(MIN(B1565,Parameters!$B$2)^2, D1564+Parameters!$B$24)</f>
        <v/>
      </c>
      <c r="E1565">
        <f>MIN(D1565, E1566+Parameters!$B$24)</f>
        <v/>
      </c>
    </row>
    <row r="1566">
      <c r="A1566" t="n">
        <v>156.4</v>
      </c>
      <c r="B1566" t="n">
        <v>20</v>
      </c>
      <c r="C1566">
        <f>ROUND(SQRT(E1566),2)</f>
        <v/>
      </c>
      <c r="D1566">
        <f>MIN(MIN(B1566,Parameters!$B$2)^2, D1565+Parameters!$B$24)</f>
        <v/>
      </c>
      <c r="E1566">
        <f>MIN(D1566, E1567+Parameters!$B$24)</f>
        <v/>
      </c>
    </row>
    <row r="1567">
      <c r="A1567" t="n">
        <v>156.5</v>
      </c>
      <c r="B1567" t="n">
        <v>20</v>
      </c>
      <c r="C1567">
        <f>ROUND(SQRT(E1567),2)</f>
        <v/>
      </c>
      <c r="D1567">
        <f>MIN(MIN(B1567,Parameters!$B$2)^2, D1566+Parameters!$B$24)</f>
        <v/>
      </c>
      <c r="E1567">
        <f>MIN(D1567, E1568+Parameters!$B$24)</f>
        <v/>
      </c>
    </row>
    <row r="1568">
      <c r="A1568" t="n">
        <v>156.6</v>
      </c>
      <c r="B1568" t="n">
        <v>20</v>
      </c>
      <c r="C1568">
        <f>ROUND(SQRT(E1568),2)</f>
        <v/>
      </c>
      <c r="D1568">
        <f>MIN(MIN(B1568,Parameters!$B$2)^2, D1567+Parameters!$B$24)</f>
        <v/>
      </c>
      <c r="E1568">
        <f>MIN(D1568, E1569+Parameters!$B$24)</f>
        <v/>
      </c>
    </row>
    <row r="1569">
      <c r="A1569" t="n">
        <v>156.7</v>
      </c>
      <c r="B1569" t="n">
        <v>20</v>
      </c>
      <c r="C1569">
        <f>ROUND(SQRT(E1569),2)</f>
        <v/>
      </c>
      <c r="D1569">
        <f>MIN(MIN(B1569,Parameters!$B$2)^2, D1568+Parameters!$B$24)</f>
        <v/>
      </c>
      <c r="E1569">
        <f>MIN(D1569, E1570+Parameters!$B$24)</f>
        <v/>
      </c>
    </row>
    <row r="1570">
      <c r="A1570" t="n">
        <v>156.8</v>
      </c>
      <c r="B1570" t="n">
        <v>20</v>
      </c>
      <c r="C1570">
        <f>ROUND(SQRT(E1570),2)</f>
        <v/>
      </c>
      <c r="D1570">
        <f>MIN(MIN(B1570,Parameters!$B$2)^2, D1569+Parameters!$B$24)</f>
        <v/>
      </c>
      <c r="E1570">
        <f>MIN(D1570, E1571+Parameters!$B$24)</f>
        <v/>
      </c>
    </row>
    <row r="1571">
      <c r="A1571" t="n">
        <v>156.9</v>
      </c>
      <c r="B1571" t="n">
        <v>20</v>
      </c>
      <c r="C1571">
        <f>ROUND(SQRT(E1571),2)</f>
        <v/>
      </c>
      <c r="D1571">
        <f>MIN(MIN(B1571,Parameters!$B$2)^2, D1570+Parameters!$B$24)</f>
        <v/>
      </c>
      <c r="E1571">
        <f>MIN(D1571, E1572+Parameters!$B$24)</f>
        <v/>
      </c>
    </row>
    <row r="1572">
      <c r="A1572" t="n">
        <v>157</v>
      </c>
      <c r="B1572" t="n">
        <v>20</v>
      </c>
      <c r="C1572">
        <f>ROUND(SQRT(E1572),2)</f>
        <v/>
      </c>
      <c r="D1572">
        <f>MIN(MIN(B1572,Parameters!$B$2)^2, D1571+Parameters!$B$24)</f>
        <v/>
      </c>
      <c r="E1572">
        <f>MIN(D1572, E1573+Parameters!$B$24)</f>
        <v/>
      </c>
    </row>
    <row r="1573">
      <c r="A1573" t="n">
        <v>157.1</v>
      </c>
      <c r="B1573" t="n">
        <v>20</v>
      </c>
      <c r="C1573">
        <f>ROUND(SQRT(E1573),2)</f>
        <v/>
      </c>
      <c r="D1573">
        <f>MIN(MIN(B1573,Parameters!$B$2)^2, D1572+Parameters!$B$24)</f>
        <v/>
      </c>
      <c r="E1573">
        <f>MIN(D1573, E1574+Parameters!$B$24)</f>
        <v/>
      </c>
    </row>
    <row r="1574">
      <c r="A1574" t="n">
        <v>157.2</v>
      </c>
      <c r="B1574" t="n">
        <v>20</v>
      </c>
      <c r="C1574">
        <f>ROUND(SQRT(E1574),2)</f>
        <v/>
      </c>
      <c r="D1574">
        <f>MIN(MIN(B1574,Parameters!$B$2)^2, D1573+Parameters!$B$24)</f>
        <v/>
      </c>
      <c r="E1574">
        <f>MIN(D1574, E1575+Parameters!$B$24)</f>
        <v/>
      </c>
    </row>
    <row r="1575">
      <c r="A1575" t="n">
        <v>157.3</v>
      </c>
      <c r="B1575" t="n">
        <v>20</v>
      </c>
      <c r="C1575">
        <f>ROUND(SQRT(E1575),2)</f>
        <v/>
      </c>
      <c r="D1575">
        <f>MIN(MIN(B1575,Parameters!$B$2)^2, D1574+Parameters!$B$24)</f>
        <v/>
      </c>
      <c r="E1575">
        <f>MIN(D1575, E1576+Parameters!$B$24)</f>
        <v/>
      </c>
    </row>
    <row r="1576">
      <c r="A1576" t="n">
        <v>157.4</v>
      </c>
      <c r="B1576" t="n">
        <v>20</v>
      </c>
      <c r="C1576">
        <f>ROUND(SQRT(E1576),2)</f>
        <v/>
      </c>
      <c r="D1576">
        <f>MIN(MIN(B1576,Parameters!$B$2)^2, D1575+Parameters!$B$24)</f>
        <v/>
      </c>
      <c r="E1576">
        <f>MIN(D1576, E1577+Parameters!$B$24)</f>
        <v/>
      </c>
    </row>
    <row r="1577">
      <c r="A1577" t="n">
        <v>157.5</v>
      </c>
      <c r="B1577" t="n">
        <v>20</v>
      </c>
      <c r="C1577">
        <f>ROUND(SQRT(E1577),2)</f>
        <v/>
      </c>
      <c r="D1577">
        <f>MIN(MIN(B1577,Parameters!$B$2)^2, D1576+Parameters!$B$24)</f>
        <v/>
      </c>
      <c r="E1577">
        <f>MIN(D1577, E1578+Parameters!$B$24)</f>
        <v/>
      </c>
    </row>
    <row r="1578">
      <c r="A1578" t="n">
        <v>157.6</v>
      </c>
      <c r="B1578" t="n">
        <v>20</v>
      </c>
      <c r="C1578">
        <f>ROUND(SQRT(E1578),2)</f>
        <v/>
      </c>
      <c r="D1578">
        <f>MIN(MIN(B1578,Parameters!$B$2)^2, D1577+Parameters!$B$24)</f>
        <v/>
      </c>
      <c r="E1578">
        <f>MIN(D1578, E1579+Parameters!$B$24)</f>
        <v/>
      </c>
    </row>
    <row r="1579">
      <c r="A1579" t="n">
        <v>157.7</v>
      </c>
      <c r="B1579" t="n">
        <v>20</v>
      </c>
      <c r="C1579">
        <f>ROUND(SQRT(E1579),2)</f>
        <v/>
      </c>
      <c r="D1579">
        <f>MIN(MIN(B1579,Parameters!$B$2)^2, D1578+Parameters!$B$24)</f>
        <v/>
      </c>
      <c r="E1579">
        <f>MIN(D1579, E1580+Parameters!$B$24)</f>
        <v/>
      </c>
    </row>
    <row r="1580">
      <c r="A1580" t="n">
        <v>157.8</v>
      </c>
      <c r="B1580" t="n">
        <v>20</v>
      </c>
      <c r="C1580">
        <f>ROUND(SQRT(E1580),2)</f>
        <v/>
      </c>
      <c r="D1580">
        <f>MIN(MIN(B1580,Parameters!$B$2)^2, D1579+Parameters!$B$24)</f>
        <v/>
      </c>
      <c r="E1580">
        <f>MIN(D1580, E1581+Parameters!$B$24)</f>
        <v/>
      </c>
    </row>
    <row r="1581">
      <c r="A1581" t="n">
        <v>157.9</v>
      </c>
      <c r="B1581" t="n">
        <v>20</v>
      </c>
      <c r="C1581">
        <f>ROUND(SQRT(E1581),2)</f>
        <v/>
      </c>
      <c r="D1581">
        <f>MIN(MIN(B1581,Parameters!$B$2)^2, D1580+Parameters!$B$24)</f>
        <v/>
      </c>
      <c r="E1581">
        <f>MIN(D1581, E1582+Parameters!$B$24)</f>
        <v/>
      </c>
    </row>
    <row r="1582">
      <c r="A1582" t="n">
        <v>158</v>
      </c>
      <c r="B1582" t="n">
        <v>20</v>
      </c>
      <c r="C1582">
        <f>ROUND(SQRT(E1582),2)</f>
        <v/>
      </c>
      <c r="D1582">
        <f>MIN(MIN(B1582,Parameters!$B$2)^2, D1581+Parameters!$B$24)</f>
        <v/>
      </c>
      <c r="E1582">
        <f>MIN(D1582, E1583+Parameters!$B$24)</f>
        <v/>
      </c>
    </row>
    <row r="1583">
      <c r="A1583" t="n">
        <v>158.1</v>
      </c>
      <c r="B1583" t="n">
        <v>20</v>
      </c>
      <c r="C1583">
        <f>ROUND(SQRT(E1583),2)</f>
        <v/>
      </c>
      <c r="D1583">
        <f>MIN(MIN(B1583,Parameters!$B$2)^2, D1582+Parameters!$B$24)</f>
        <v/>
      </c>
      <c r="E1583">
        <f>MIN(D1583, E1584+Parameters!$B$24)</f>
        <v/>
      </c>
    </row>
    <row r="1584">
      <c r="A1584" t="n">
        <v>158.2</v>
      </c>
      <c r="B1584" t="n">
        <v>20</v>
      </c>
      <c r="C1584">
        <f>ROUND(SQRT(E1584),2)</f>
        <v/>
      </c>
      <c r="D1584">
        <f>MIN(MIN(B1584,Parameters!$B$2)^2, D1583+Parameters!$B$24)</f>
        <v/>
      </c>
      <c r="E1584">
        <f>MIN(D1584, E1585+Parameters!$B$24)</f>
        <v/>
      </c>
    </row>
    <row r="1585">
      <c r="A1585" t="n">
        <v>158.3</v>
      </c>
      <c r="B1585" t="n">
        <v>20</v>
      </c>
      <c r="C1585">
        <f>ROUND(SQRT(E1585),2)</f>
        <v/>
      </c>
      <c r="D1585">
        <f>MIN(MIN(B1585,Parameters!$B$2)^2, D1584+Parameters!$B$24)</f>
        <v/>
      </c>
      <c r="E1585">
        <f>MIN(D1585, E1586+Parameters!$B$24)</f>
        <v/>
      </c>
    </row>
    <row r="1586">
      <c r="A1586" t="n">
        <v>158.4</v>
      </c>
      <c r="B1586" t="n">
        <v>20</v>
      </c>
      <c r="C1586">
        <f>ROUND(SQRT(E1586),2)</f>
        <v/>
      </c>
      <c r="D1586">
        <f>MIN(MIN(B1586,Parameters!$B$2)^2, D1585+Parameters!$B$24)</f>
        <v/>
      </c>
      <c r="E1586">
        <f>MIN(D1586, E1587+Parameters!$B$24)</f>
        <v/>
      </c>
    </row>
    <row r="1587">
      <c r="A1587" t="n">
        <v>158.5</v>
      </c>
      <c r="B1587" t="n">
        <v>20</v>
      </c>
      <c r="C1587">
        <f>ROUND(SQRT(E1587),2)</f>
        <v/>
      </c>
      <c r="D1587">
        <f>MIN(MIN(B1587,Parameters!$B$2)^2, D1586+Parameters!$B$24)</f>
        <v/>
      </c>
      <c r="E1587">
        <f>MIN(D1587, E1588+Parameters!$B$24)</f>
        <v/>
      </c>
    </row>
    <row r="1588">
      <c r="A1588" t="n">
        <v>158.6</v>
      </c>
      <c r="B1588" t="n">
        <v>20</v>
      </c>
      <c r="C1588">
        <f>ROUND(SQRT(E1588),2)</f>
        <v/>
      </c>
      <c r="D1588">
        <f>MIN(MIN(B1588,Parameters!$B$2)^2, D1587+Parameters!$B$24)</f>
        <v/>
      </c>
      <c r="E1588">
        <f>MIN(D1588, E1589+Parameters!$B$24)</f>
        <v/>
      </c>
    </row>
    <row r="1589">
      <c r="A1589" t="n">
        <v>158.7</v>
      </c>
      <c r="B1589" t="n">
        <v>20</v>
      </c>
      <c r="C1589">
        <f>ROUND(SQRT(E1589),2)</f>
        <v/>
      </c>
      <c r="D1589">
        <f>MIN(MIN(B1589,Parameters!$B$2)^2, D1588+Parameters!$B$24)</f>
        <v/>
      </c>
      <c r="E1589">
        <f>MIN(D1589, E1590+Parameters!$B$24)</f>
        <v/>
      </c>
    </row>
    <row r="1590">
      <c r="A1590" t="n">
        <v>158.8</v>
      </c>
      <c r="B1590" t="n">
        <v>20</v>
      </c>
      <c r="C1590">
        <f>ROUND(SQRT(E1590),2)</f>
        <v/>
      </c>
      <c r="D1590">
        <f>MIN(MIN(B1590,Parameters!$B$2)^2, D1589+Parameters!$B$24)</f>
        <v/>
      </c>
      <c r="E1590">
        <f>MIN(D1590, E1591+Parameters!$B$24)</f>
        <v/>
      </c>
    </row>
    <row r="1591">
      <c r="A1591" t="n">
        <v>158.9</v>
      </c>
      <c r="B1591" t="n">
        <v>20</v>
      </c>
      <c r="C1591">
        <f>ROUND(SQRT(E1591),2)</f>
        <v/>
      </c>
      <c r="D1591">
        <f>MIN(MIN(B1591,Parameters!$B$2)^2, D1590+Parameters!$B$24)</f>
        <v/>
      </c>
      <c r="E1591">
        <f>MIN(D1591, E1592+Parameters!$B$24)</f>
        <v/>
      </c>
    </row>
    <row r="1592">
      <c r="A1592" t="n">
        <v>159</v>
      </c>
      <c r="B1592" t="n">
        <v>20</v>
      </c>
      <c r="C1592">
        <f>ROUND(SQRT(E1592),2)</f>
        <v/>
      </c>
      <c r="D1592">
        <f>MIN(MIN(B1592,Parameters!$B$2)^2, D1591+Parameters!$B$24)</f>
        <v/>
      </c>
      <c r="E1592">
        <f>MIN(D1592, E1593+Parameters!$B$24)</f>
        <v/>
      </c>
    </row>
    <row r="1593">
      <c r="A1593" t="n">
        <v>159.1</v>
      </c>
      <c r="B1593" t="n">
        <v>0</v>
      </c>
      <c r="C1593">
        <f>ROUND(SQRT(E1593),2)</f>
        <v/>
      </c>
      <c r="D1593">
        <f>MIN(MIN(B1593,Parameters!$B$2)^2, D1592+Parameters!$B$24)</f>
        <v/>
      </c>
      <c r="E1593">
        <f>MIN(D1593, E1594+Parameters!$B$24)</f>
        <v/>
      </c>
    </row>
    <row r="1594">
      <c r="A1594" t="n">
        <v>159.2</v>
      </c>
      <c r="B1594" t="n">
        <v>20</v>
      </c>
      <c r="C1594">
        <f>ROUND(SQRT(E1594),2)</f>
        <v/>
      </c>
      <c r="D1594">
        <f>MIN(MIN(B1594,Parameters!$B$2)^2, D1593+Parameters!$B$24)</f>
        <v/>
      </c>
      <c r="E1594">
        <f>MIN(D1594, E1595+Parameters!$B$24)</f>
        <v/>
      </c>
    </row>
    <row r="1595">
      <c r="A1595" t="n">
        <v>159.3</v>
      </c>
      <c r="B1595" t="n">
        <v>20</v>
      </c>
      <c r="C1595">
        <f>ROUND(SQRT(E1595),2)</f>
        <v/>
      </c>
      <c r="D1595">
        <f>MIN(MIN(B1595,Parameters!$B$2)^2, D1594+Parameters!$B$24)</f>
        <v/>
      </c>
      <c r="E1595">
        <f>MIN(D1595, E1596+Parameters!$B$24)</f>
        <v/>
      </c>
    </row>
    <row r="1596">
      <c r="A1596" t="n">
        <v>159.4</v>
      </c>
      <c r="B1596" t="n">
        <v>20</v>
      </c>
      <c r="C1596">
        <f>ROUND(SQRT(E1596),2)</f>
        <v/>
      </c>
      <c r="D1596">
        <f>MIN(MIN(B1596,Parameters!$B$2)^2, D1595+Parameters!$B$24)</f>
        <v/>
      </c>
      <c r="E1596">
        <f>MIN(D1596, E1597+Parameters!$B$24)</f>
        <v/>
      </c>
    </row>
    <row r="1597">
      <c r="A1597" t="n">
        <v>159.5</v>
      </c>
      <c r="B1597" t="n">
        <v>20</v>
      </c>
      <c r="C1597">
        <f>ROUND(SQRT(E1597),2)</f>
        <v/>
      </c>
      <c r="D1597">
        <f>MIN(MIN(B1597,Parameters!$B$2)^2, D1596+Parameters!$B$24)</f>
        <v/>
      </c>
      <c r="E1597">
        <f>MIN(D1597, E1598+Parameters!$B$24)</f>
        <v/>
      </c>
    </row>
    <row r="1598">
      <c r="A1598" t="n">
        <v>159.6</v>
      </c>
      <c r="B1598" t="n">
        <v>20</v>
      </c>
      <c r="C1598">
        <f>ROUND(SQRT(E1598),2)</f>
        <v/>
      </c>
      <c r="D1598">
        <f>MIN(MIN(B1598,Parameters!$B$2)^2, D1597+Parameters!$B$24)</f>
        <v/>
      </c>
      <c r="E1598">
        <f>MIN(D1598, E1599+Parameters!$B$24)</f>
        <v/>
      </c>
    </row>
    <row r="1599">
      <c r="A1599" t="n">
        <v>159.7</v>
      </c>
      <c r="B1599" t="n">
        <v>20</v>
      </c>
      <c r="C1599">
        <f>ROUND(SQRT(E1599),2)</f>
        <v/>
      </c>
      <c r="D1599">
        <f>MIN(MIN(B1599,Parameters!$B$2)^2, D1598+Parameters!$B$24)</f>
        <v/>
      </c>
      <c r="E1599">
        <f>MIN(D1599, E1600+Parameters!$B$24)</f>
        <v/>
      </c>
    </row>
    <row r="1600">
      <c r="A1600" t="n">
        <v>159.8</v>
      </c>
      <c r="B1600" t="n">
        <v>20</v>
      </c>
      <c r="C1600">
        <f>ROUND(SQRT(E1600),2)</f>
        <v/>
      </c>
      <c r="D1600">
        <f>MIN(MIN(B1600,Parameters!$B$2)^2, D1599+Parameters!$B$24)</f>
        <v/>
      </c>
      <c r="E1600">
        <f>MIN(D1600, E1601+Parameters!$B$24)</f>
        <v/>
      </c>
    </row>
    <row r="1601">
      <c r="A1601" t="n">
        <v>159.9</v>
      </c>
      <c r="B1601" t="n">
        <v>20</v>
      </c>
      <c r="C1601">
        <f>ROUND(SQRT(E1601),2)</f>
        <v/>
      </c>
      <c r="D1601">
        <f>MIN(MIN(B1601,Parameters!$B$2)^2, D1600+Parameters!$B$24)</f>
        <v/>
      </c>
      <c r="E1601">
        <f>MIN(D1601, E1602+Parameters!$B$24)</f>
        <v/>
      </c>
    </row>
    <row r="1602">
      <c r="A1602" t="n">
        <v>160</v>
      </c>
      <c r="B1602" t="n">
        <v>20</v>
      </c>
      <c r="C1602">
        <f>ROUND(SQRT(E1602),2)</f>
        <v/>
      </c>
      <c r="D1602">
        <f>MIN(MIN(B1602,Parameters!$B$2)^2, D1601+Parameters!$B$24)</f>
        <v/>
      </c>
      <c r="E1602">
        <f>MIN(D1602, E1603+Parameters!$B$24)</f>
        <v/>
      </c>
    </row>
    <row r="1603">
      <c r="A1603" t="n">
        <v>160.1</v>
      </c>
      <c r="B1603" t="n">
        <v>20</v>
      </c>
      <c r="C1603">
        <f>ROUND(SQRT(E1603),2)</f>
        <v/>
      </c>
      <c r="D1603">
        <f>MIN(MIN(B1603,Parameters!$B$2)^2, D1602+Parameters!$B$24)</f>
        <v/>
      </c>
      <c r="E1603">
        <f>MIN(D1603, E1604+Parameters!$B$24)</f>
        <v/>
      </c>
    </row>
    <row r="1604">
      <c r="A1604" t="n">
        <v>160.2</v>
      </c>
      <c r="B1604" t="n">
        <v>20</v>
      </c>
      <c r="C1604">
        <f>ROUND(SQRT(E1604),2)</f>
        <v/>
      </c>
      <c r="D1604">
        <f>MIN(MIN(B1604,Parameters!$B$2)^2, D1603+Parameters!$B$24)</f>
        <v/>
      </c>
      <c r="E1604">
        <f>MIN(D1604, E1605+Parameters!$B$24)</f>
        <v/>
      </c>
    </row>
    <row r="1605">
      <c r="A1605" t="n">
        <v>160.3</v>
      </c>
      <c r="B1605" t="n">
        <v>20</v>
      </c>
      <c r="C1605">
        <f>ROUND(SQRT(E1605),2)</f>
        <v/>
      </c>
      <c r="D1605">
        <f>MIN(MIN(B1605,Parameters!$B$2)^2, D1604+Parameters!$B$24)</f>
        <v/>
      </c>
      <c r="E1605">
        <f>MIN(D1605, E1606+Parameters!$B$24)</f>
        <v/>
      </c>
    </row>
    <row r="1606">
      <c r="A1606" t="n">
        <v>160.4</v>
      </c>
      <c r="B1606" t="n">
        <v>20</v>
      </c>
      <c r="C1606">
        <f>ROUND(SQRT(E1606),2)</f>
        <v/>
      </c>
      <c r="D1606">
        <f>MIN(MIN(B1606,Parameters!$B$2)^2, D1605+Parameters!$B$24)</f>
        <v/>
      </c>
      <c r="E1606">
        <f>MIN(D1606, E1607+Parameters!$B$24)</f>
        <v/>
      </c>
    </row>
    <row r="1607">
      <c r="A1607" t="n">
        <v>160.5</v>
      </c>
      <c r="B1607" t="n">
        <v>20</v>
      </c>
      <c r="C1607">
        <f>ROUND(SQRT(E1607),2)</f>
        <v/>
      </c>
      <c r="D1607">
        <f>MIN(MIN(B1607,Parameters!$B$2)^2, D1606+Parameters!$B$24)</f>
        <v/>
      </c>
      <c r="E1607">
        <f>MIN(D1607, E1608+Parameters!$B$24)</f>
        <v/>
      </c>
    </row>
    <row r="1608">
      <c r="A1608" t="n">
        <v>160.6</v>
      </c>
      <c r="B1608" t="n">
        <v>20</v>
      </c>
      <c r="C1608">
        <f>ROUND(SQRT(E1608),2)</f>
        <v/>
      </c>
      <c r="D1608">
        <f>MIN(MIN(B1608,Parameters!$B$2)^2, D1607+Parameters!$B$24)</f>
        <v/>
      </c>
      <c r="E1608">
        <f>MIN(D1608, E1609+Parameters!$B$24)</f>
        <v/>
      </c>
    </row>
    <row r="1609">
      <c r="A1609" t="n">
        <v>160.7</v>
      </c>
      <c r="B1609" t="n">
        <v>20</v>
      </c>
      <c r="C1609">
        <f>ROUND(SQRT(E1609),2)</f>
        <v/>
      </c>
      <c r="D1609">
        <f>MIN(MIN(B1609,Parameters!$B$2)^2, D1608+Parameters!$B$24)</f>
        <v/>
      </c>
      <c r="E1609">
        <f>MIN(D1609, E1610+Parameters!$B$24)</f>
        <v/>
      </c>
    </row>
    <row r="1610">
      <c r="A1610" t="n">
        <v>160.8</v>
      </c>
      <c r="B1610" t="n">
        <v>20</v>
      </c>
      <c r="C1610">
        <f>ROUND(SQRT(E1610),2)</f>
        <v/>
      </c>
      <c r="D1610">
        <f>MIN(MIN(B1610,Parameters!$B$2)^2, D1609+Parameters!$B$24)</f>
        <v/>
      </c>
      <c r="E1610">
        <f>MIN(D1610, E1611+Parameters!$B$24)</f>
        <v/>
      </c>
    </row>
    <row r="1611">
      <c r="A1611" t="n">
        <v>160.9</v>
      </c>
      <c r="B1611" t="n">
        <v>20</v>
      </c>
      <c r="C1611">
        <f>ROUND(SQRT(E1611),2)</f>
        <v/>
      </c>
      <c r="D1611">
        <f>MIN(MIN(B1611,Parameters!$B$2)^2, D1610+Parameters!$B$24)</f>
        <v/>
      </c>
      <c r="E1611">
        <f>MIN(D1611, E1612+Parameters!$B$24)</f>
        <v/>
      </c>
    </row>
    <row r="1612">
      <c r="A1612" t="n">
        <v>161</v>
      </c>
      <c r="B1612" t="n">
        <v>20</v>
      </c>
      <c r="C1612">
        <f>ROUND(SQRT(E1612),2)</f>
        <v/>
      </c>
      <c r="D1612">
        <f>MIN(MIN(B1612,Parameters!$B$2)^2, D1611+Parameters!$B$24)</f>
        <v/>
      </c>
      <c r="E1612">
        <f>MIN(D1612, E1613+Parameters!$B$24)</f>
        <v/>
      </c>
    </row>
    <row r="1613">
      <c r="A1613" t="n">
        <v>161.1</v>
      </c>
      <c r="B1613" t="n">
        <v>20</v>
      </c>
      <c r="C1613">
        <f>ROUND(SQRT(E1613),2)</f>
        <v/>
      </c>
      <c r="D1613">
        <f>MIN(MIN(B1613,Parameters!$B$2)^2, D1612+Parameters!$B$24)</f>
        <v/>
      </c>
      <c r="E1613">
        <f>MIN(D1613, E1614+Parameters!$B$24)</f>
        <v/>
      </c>
    </row>
    <row r="1614">
      <c r="A1614" t="n">
        <v>161.2</v>
      </c>
      <c r="B1614" t="n">
        <v>20</v>
      </c>
      <c r="C1614">
        <f>ROUND(SQRT(E1614),2)</f>
        <v/>
      </c>
      <c r="D1614">
        <f>MIN(MIN(B1614,Parameters!$B$2)^2, D1613+Parameters!$B$24)</f>
        <v/>
      </c>
      <c r="E1614">
        <f>MIN(D1614, E1615+Parameters!$B$24)</f>
        <v/>
      </c>
    </row>
    <row r="1615">
      <c r="A1615" t="n">
        <v>161.3</v>
      </c>
      <c r="B1615" t="n">
        <v>20</v>
      </c>
      <c r="C1615">
        <f>ROUND(SQRT(E1615),2)</f>
        <v/>
      </c>
      <c r="D1615">
        <f>MIN(MIN(B1615,Parameters!$B$2)^2, D1614+Parameters!$B$24)</f>
        <v/>
      </c>
      <c r="E1615">
        <f>MIN(D1615, E1616+Parameters!$B$24)</f>
        <v/>
      </c>
    </row>
    <row r="1616">
      <c r="A1616" t="n">
        <v>161.4</v>
      </c>
      <c r="B1616" t="n">
        <v>20</v>
      </c>
      <c r="C1616">
        <f>ROUND(SQRT(E1616),2)</f>
        <v/>
      </c>
      <c r="D1616">
        <f>MIN(MIN(B1616,Parameters!$B$2)^2, D1615+Parameters!$B$24)</f>
        <v/>
      </c>
      <c r="E1616">
        <f>MIN(D1616, E1617+Parameters!$B$24)</f>
        <v/>
      </c>
    </row>
    <row r="1617">
      <c r="A1617" t="n">
        <v>161.5</v>
      </c>
      <c r="B1617" t="n">
        <v>20</v>
      </c>
      <c r="C1617">
        <f>ROUND(SQRT(E1617),2)</f>
        <v/>
      </c>
      <c r="D1617">
        <f>MIN(MIN(B1617,Parameters!$B$2)^2, D1616+Parameters!$B$24)</f>
        <v/>
      </c>
      <c r="E1617">
        <f>MIN(D1617, E1618+Parameters!$B$24)</f>
        <v/>
      </c>
    </row>
    <row r="1618">
      <c r="A1618" t="n">
        <v>161.6</v>
      </c>
      <c r="B1618" t="n">
        <v>20</v>
      </c>
      <c r="C1618">
        <f>ROUND(SQRT(E1618),2)</f>
        <v/>
      </c>
      <c r="D1618">
        <f>MIN(MIN(B1618,Parameters!$B$2)^2, D1617+Parameters!$B$24)</f>
        <v/>
      </c>
      <c r="E1618">
        <f>MIN(D1618, E1619+Parameters!$B$24)</f>
        <v/>
      </c>
    </row>
    <row r="1619">
      <c r="A1619" t="n">
        <v>161.7</v>
      </c>
      <c r="B1619" t="n">
        <v>20</v>
      </c>
      <c r="C1619">
        <f>ROUND(SQRT(E1619),2)</f>
        <v/>
      </c>
      <c r="D1619">
        <f>MIN(MIN(B1619,Parameters!$B$2)^2, D1618+Parameters!$B$24)</f>
        <v/>
      </c>
      <c r="E1619">
        <f>MIN(D1619, E1620+Parameters!$B$24)</f>
        <v/>
      </c>
    </row>
    <row r="1620">
      <c r="A1620" t="n">
        <v>161.8</v>
      </c>
      <c r="B1620" t="n">
        <v>20</v>
      </c>
      <c r="C1620">
        <f>ROUND(SQRT(E1620),2)</f>
        <v/>
      </c>
      <c r="D1620">
        <f>MIN(MIN(B1620,Parameters!$B$2)^2, D1619+Parameters!$B$24)</f>
        <v/>
      </c>
      <c r="E1620">
        <f>MIN(D1620, E1621+Parameters!$B$24)</f>
        <v/>
      </c>
    </row>
    <row r="1621">
      <c r="A1621" t="n">
        <v>161.9</v>
      </c>
      <c r="B1621" t="n">
        <v>20</v>
      </c>
      <c r="C1621">
        <f>ROUND(SQRT(E1621),2)</f>
        <v/>
      </c>
      <c r="D1621">
        <f>MIN(MIN(B1621,Parameters!$B$2)^2, D1620+Parameters!$B$24)</f>
        <v/>
      </c>
      <c r="E1621">
        <f>MIN(D1621, E1622+Parameters!$B$24)</f>
        <v/>
      </c>
    </row>
    <row r="1622">
      <c r="A1622" t="n">
        <v>162</v>
      </c>
      <c r="B1622" t="n">
        <v>20</v>
      </c>
      <c r="C1622">
        <f>ROUND(SQRT(E1622),2)</f>
        <v/>
      </c>
      <c r="D1622">
        <f>MIN(MIN(B1622,Parameters!$B$2)^2, D1621+Parameters!$B$24)</f>
        <v/>
      </c>
      <c r="E1622">
        <f>MIN(D1622, E1623+Parameters!$B$24)</f>
        <v/>
      </c>
    </row>
    <row r="1623">
      <c r="A1623" t="n">
        <v>162.1</v>
      </c>
      <c r="B1623" t="n">
        <v>0</v>
      </c>
      <c r="C1623">
        <f>ROUND(SQRT(E1623),2)</f>
        <v/>
      </c>
      <c r="D1623">
        <f>MIN(MIN(B1623,Parameters!$B$2)^2, D1622+Parameters!$B$24)</f>
        <v/>
      </c>
      <c r="E1623">
        <f>D1623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  <col width="16" customWidth="1" min="4" max="4"/>
    <col width="16" customWidth="1" min="5" max="5"/>
    <col width="52" customWidth="1" min="6" max="6"/>
  </cols>
  <sheetData>
    <row r="1">
      <c r="A1" s="1" t="inlineStr">
        <is>
          <t>Charge solver (top) and the chronological energy &amp; time ledger (below). Energy = miles × consumption; flat rates.</t>
        </is>
      </c>
    </row>
    <row r="3">
      <c r="A3" s="2" t="inlineStr">
        <is>
          <t>Solver</t>
        </is>
      </c>
      <c r="B3" s="2" t="inlineStr">
        <is>
          <t>kWh (loaded legs)</t>
        </is>
      </c>
      <c r="C3" s="2" t="inlineStr"/>
      <c r="D3" s="2" t="inlineStr">
        <is>
          <t>kWh (empty legs)</t>
        </is>
      </c>
    </row>
    <row r="4">
      <c r="A4" t="inlineStr">
        <is>
          <t>E Macon→Vidalia (94.5 mi)</t>
        </is>
      </c>
      <c r="B4">
        <f>94.5*Parameters!$B$4</f>
        <v/>
      </c>
      <c r="C4" t="inlineStr"/>
      <c r="D4">
        <f>67.6*Parameters!$B$5</f>
        <v/>
      </c>
    </row>
    <row r="5">
      <c r="A5" t="inlineStr">
        <is>
          <t>E Vidalia→Pooler (64.6 mi)</t>
        </is>
      </c>
      <c r="B5">
        <f>64.6*Parameters!$B$4</f>
        <v/>
      </c>
      <c r="C5" t="inlineStr"/>
      <c r="D5">
        <f>94.5*Parameters!$B$5</f>
        <v/>
      </c>
    </row>
    <row r="6">
      <c r="A6" t="inlineStr">
        <is>
          <t>E Pooler→Plastic (3.0 mi)</t>
        </is>
      </c>
      <c r="B6">
        <f>3*Parameters!$B$4</f>
        <v/>
      </c>
      <c r="C6" t="inlineStr"/>
      <c r="D6">
        <f>D4+D5</f>
        <v/>
      </c>
    </row>
    <row r="7">
      <c r="A7" t="inlineStr">
        <is>
          <t>arrive Vidalia EB</t>
        </is>
      </c>
      <c r="B7">
        <f>Parameters!$B$6-B4</f>
        <v/>
      </c>
    </row>
    <row r="8">
      <c r="A8" t="inlineStr">
        <is>
          <t>c1 Vidalia EB charge</t>
        </is>
      </c>
      <c r="B8">
        <f>MAX(0,Parameters!$B$25+B5+B6-B7)</f>
        <v/>
      </c>
    </row>
    <row r="9">
      <c r="A9" t="inlineStr">
        <is>
          <t>arrive Plastic Express</t>
        </is>
      </c>
      <c r="B9">
        <f>B7+B8-B5-B6</f>
        <v/>
      </c>
    </row>
    <row r="10">
      <c r="A10" t="inlineStr">
        <is>
          <t>c2 Plastic charge (banks the empty return)</t>
        </is>
      </c>
      <c r="B10">
        <f>MIN(MAX(0,Parameters!$B$25+D6-B9),Parameters!$B$6-B9)</f>
        <v/>
      </c>
    </row>
    <row r="11">
      <c r="A11" t="inlineStr">
        <is>
          <t>arrive Vidalia WB</t>
        </is>
      </c>
      <c r="B11">
        <f>B9+B10-D4</f>
        <v/>
      </c>
    </row>
    <row r="12">
      <c r="A12" t="inlineStr">
        <is>
          <t>c3 Vidalia WB charge (0 if empty return fits)</t>
        </is>
      </c>
      <c r="B12">
        <f>MAX(0,Parameters!$B$25+D5-B11)</f>
        <v/>
      </c>
    </row>
    <row r="13">
      <c r="A13" t="inlineStr">
        <is>
          <t>end SOC at Macon</t>
        </is>
      </c>
      <c r="B13">
        <f>B11+B12-D5</f>
        <v/>
      </c>
    </row>
    <row r="14">
      <c r="A14" t="inlineStr">
        <is>
          <t>c1 minutes</t>
        </is>
      </c>
      <c r="B14">
        <f>ROUNDUP(B8/Parameters!$B$8*60,0)</f>
        <v/>
      </c>
    </row>
    <row r="15">
      <c r="A15" t="inlineStr">
        <is>
          <t>c2 minutes</t>
        </is>
      </c>
      <c r="B15">
        <f>ROUNDUP(B10/Parameters!$B$8*60,0)</f>
        <v/>
      </c>
    </row>
    <row r="16">
      <c r="A16" t="inlineStr">
        <is>
          <t>c3 minutes</t>
        </is>
      </c>
      <c r="B16">
        <f>ROUNDUP(B12/Parameters!$B$8*60,0)</f>
        <v/>
      </c>
    </row>
    <row r="17">
      <c r="A17" t="inlineStr">
        <is>
          <t>Macon top-up to full (kWh)</t>
        </is>
      </c>
      <c r="B17">
        <f>Parameters!$B$6-B13</f>
        <v/>
      </c>
    </row>
    <row r="18">
      <c r="A18" t="inlineStr">
        <is>
          <t>Macon top-up minutes</t>
        </is>
      </c>
      <c r="B18">
        <f>ROUNDUP(B17/Parameters!$B$8*60,0)*Parameters!$B$20</f>
        <v/>
      </c>
    </row>
    <row r="20">
      <c r="A20" s="2" t="inlineStr">
        <is>
          <t>CHRONOLOGICAL LEDGER — using &amp; depleting, correlated to time</t>
        </is>
      </c>
    </row>
    <row r="21">
      <c r="A21" s="2" t="inlineStr">
        <is>
          <t>Event</t>
        </is>
      </c>
      <c r="B21" s="2" t="inlineStr">
        <is>
          <t>Miles</t>
        </is>
      </c>
      <c r="C21" s="2" t="inlineStr">
        <is>
          <t>Time (min)</t>
        </is>
      </c>
      <c r="D21" s="2" t="inlineStr">
        <is>
          <t>Energy Δ (kWh)</t>
        </is>
      </c>
      <c r="E21" s="2" t="inlineStr">
        <is>
          <t>SOC after (kWh)</t>
        </is>
      </c>
      <c r="F21" s="2" t="inlineStr">
        <is>
          <t>Note</t>
        </is>
      </c>
    </row>
    <row r="22">
      <c r="A22" t="inlineStr">
        <is>
          <t>Depart Macon (full pack, loaded)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>
        <f>Parameters!$B$6</f>
        <v/>
      </c>
      <c r="F22" t="inlineStr">
        <is>
          <t>start of cycle</t>
        </is>
      </c>
    </row>
    <row r="23">
      <c r="A23" t="inlineStr">
        <is>
          <t>Run Macon → Vidalia</t>
        </is>
      </c>
      <c r="B23" t="inlineStr">
        <is>
          <t>94.5</t>
        </is>
      </c>
      <c r="C23">
        <f>(14.8/10*60+4/MIN(20,Parameters!$B$2)*60+75.7/MIN(25,Parameters!$B$2)*60)</f>
        <v/>
      </c>
      <c r="D23">
        <f>-'Dwell Plans'!B4</f>
        <v/>
      </c>
      <c r="E23">
        <f>E22+D23</f>
        <v/>
      </c>
      <c r="F23" t="inlineStr">
        <is>
          <t>loaded</t>
        </is>
      </c>
    </row>
    <row r="24">
      <c r="A24" s="5" t="inlineStr">
        <is>
          <t>CHARGE at Vidalia</t>
        </is>
      </c>
      <c r="B24" s="5" t="inlineStr">
        <is>
          <t>0</t>
        </is>
      </c>
      <c r="C24" s="5">
        <f>'Dwell Plans'!B14</f>
        <v/>
      </c>
      <c r="D24" s="5">
        <f>'Dwell Plans'!B8</f>
        <v/>
      </c>
      <c r="E24" s="5">
        <f>E23+D24</f>
        <v/>
      </c>
      <c r="F24" s="5" t="inlineStr">
        <is>
          <t>enough to reach Plastic above the floor</t>
        </is>
      </c>
    </row>
    <row r="25">
      <c r="A25" t="inlineStr">
        <is>
          <t>Run Vidalia → Pooler</t>
        </is>
      </c>
      <c r="B25" t="inlineStr">
        <is>
          <t>64.6</t>
        </is>
      </c>
      <c r="C25">
        <f>(2/10*60+52.1/MIN(25,Parameters!$B$2)*60+10.5/MIN(20,Parameters!$B$2)*60)</f>
        <v/>
      </c>
      <c r="D25">
        <f>-'Dwell Plans'!B5</f>
        <v/>
      </c>
      <c r="E25">
        <f>E24+D25</f>
        <v/>
      </c>
      <c r="F25" t="inlineStr">
        <is>
          <t>loaded</t>
        </is>
      </c>
    </row>
    <row r="26">
      <c r="A26" t="inlineStr">
        <is>
          <t>Unload at Pooler</t>
        </is>
      </c>
      <c r="B26" t="inlineStr">
        <is>
          <t>0</t>
        </is>
      </c>
      <c r="C26">
        <f>Parameters!$B$14</f>
        <v/>
      </c>
      <c r="D26" t="inlineStr">
        <is>
          <t>0</t>
        </is>
      </c>
      <c r="E26">
        <f>E25+D26</f>
        <v/>
      </c>
      <c r="F26" t="inlineStr">
        <is>
          <t>switch &amp; positioning</t>
        </is>
      </c>
    </row>
    <row r="27">
      <c r="A27" t="inlineStr">
        <is>
          <t>Run Pooler → Plastic Express</t>
        </is>
      </c>
      <c r="B27" t="inlineStr">
        <is>
          <t>3.0</t>
        </is>
      </c>
      <c r="C27">
        <f>(3/MIN(20,Parameters!$B$2)*60)</f>
        <v/>
      </c>
      <c r="D27">
        <f>-'Dwell Plans'!B6</f>
        <v/>
      </c>
      <c r="E27">
        <f>E26+D27</f>
        <v/>
      </c>
      <c r="F27" t="inlineStr">
        <is>
          <t>loaded (last loaded mile)</t>
        </is>
      </c>
    </row>
    <row r="28">
      <c r="A28" s="5" t="inlineStr">
        <is>
          <t>CHARGE at Plastic Express</t>
        </is>
      </c>
      <c r="B28" s="5" t="inlineStr">
        <is>
          <t>0</t>
        </is>
      </c>
      <c r="C28" s="5">
        <f>'Dwell Plans'!B15</f>
        <v/>
      </c>
      <c r="D28" s="5">
        <f>'Dwell Plans'!B10</f>
        <v/>
      </c>
      <c r="E28" s="5">
        <f>E27+D28</f>
        <v/>
      </c>
      <c r="F28" s="5" t="inlineStr">
        <is>
          <t>banks the whole empty return</t>
        </is>
      </c>
    </row>
    <row r="29">
      <c r="A29" t="inlineStr">
        <is>
          <t>Run Plastic → Vidalia (EMPTY)</t>
        </is>
      </c>
      <c r="B29" t="inlineStr">
        <is>
          <t>67.6</t>
        </is>
      </c>
      <c r="C29">
        <f>(3/MIN(20,Parameters!$B$2)*60)+(2/10*60+52.1/MIN(25,Parameters!$B$2)*60+10.5/MIN(20,Parameters!$B$2)*60)</f>
        <v/>
      </c>
      <c r="D29">
        <f>-'Dwell Plans'!D4</f>
        <v/>
      </c>
      <c r="E29">
        <f>E28+D29</f>
        <v/>
      </c>
      <c r="F29" t="inlineStr">
        <is>
          <t>empty rate</t>
        </is>
      </c>
    </row>
    <row r="30">
      <c r="A30" s="5" t="inlineStr">
        <is>
          <t>CHARGE at Vidalia WB (usually 0)</t>
        </is>
      </c>
      <c r="B30" s="5" t="inlineStr">
        <is>
          <t>0</t>
        </is>
      </c>
      <c r="C30" s="5">
        <f>'Dwell Plans'!B16</f>
        <v/>
      </c>
      <c r="D30" s="5">
        <f>'Dwell Plans'!B12</f>
        <v/>
      </c>
      <c r="E30" s="5">
        <f>E29+D30</f>
        <v/>
      </c>
      <c r="F30" s="5" t="inlineStr">
        <is>
          <t>flips on only if empty &gt; ~1.47 kWh/mi</t>
        </is>
      </c>
    </row>
    <row r="31">
      <c r="A31" t="inlineStr">
        <is>
          <t>Run Vidalia → Macon (EMPTY)</t>
        </is>
      </c>
      <c r="B31" t="inlineStr">
        <is>
          <t>94.5</t>
        </is>
      </c>
      <c r="C31">
        <f>(14.8/10*60+4/MIN(20,Parameters!$B$2)*60+75.7/MIN(25,Parameters!$B$2)*60)</f>
        <v/>
      </c>
      <c r="D31">
        <f>-'Dwell Plans'!D5</f>
        <v/>
      </c>
      <c r="E31">
        <f>E30+D31</f>
        <v/>
      </c>
      <c r="F31" t="inlineStr">
        <is>
          <t>empty rate</t>
        </is>
      </c>
    </row>
    <row r="32">
      <c r="A32" s="5" t="inlineStr">
        <is>
          <t>CHARGE at Macon to full (toggle)</t>
        </is>
      </c>
      <c r="B32" s="5" t="inlineStr">
        <is>
          <t>0</t>
        </is>
      </c>
      <c r="C32" s="5">
        <f>'Dwell Plans'!B18</f>
        <v/>
      </c>
      <c r="D32" s="5">
        <f>'Dwell Plans'!B17*Parameters!$B$20</f>
        <v/>
      </c>
      <c r="E32" s="5">
        <f>E31+D32</f>
        <v/>
      </c>
      <c r="F32" s="5" t="inlineStr">
        <is>
          <t>so the next cycle starts full</t>
        </is>
      </c>
    </row>
    <row r="33">
      <c r="A33" s="2" t="inlineStr">
        <is>
          <t>TOTALS</t>
        </is>
      </c>
      <c r="B33" s="2">
        <f>2*162.1</f>
        <v/>
      </c>
      <c r="C33" s="2">
        <f>SUM(C22:C32)</f>
        <v/>
      </c>
      <c r="D33" s="2">
        <f>SUM(D22:D32)</f>
        <v/>
      </c>
      <c r="E33" s="2" t="inlineStr"/>
      <c r="F33" s="2">
        <f>TEXT(C33/1440,"h:mm")&amp;" movement+charging — full cycle on Time Budget"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0" customWidth="1" min="4" max="4"/>
    <col width="52" customWidth="1" min="5" max="5"/>
  </cols>
  <sheetData>
    <row r="1">
      <c r="A1" s="1" t="inlineStr">
        <is>
          <t>Time budget — start with the budget, spend it down. Detail rows at the bottom are the audit trail.</t>
        </is>
      </c>
    </row>
    <row r="3">
      <c r="A3" s="2" t="inlineStr">
        <is>
          <t>VEHICLE CYCLE vs the 24-h target</t>
        </is>
      </c>
      <c r="B3" s="2" t="inlineStr">
        <is>
          <t>minutes</t>
        </is>
      </c>
      <c r="C3" s="2" t="inlineStr">
        <is>
          <t>h:mm</t>
        </is>
      </c>
      <c r="D3" s="2" t="inlineStr">
        <is>
          <t>note</t>
        </is>
      </c>
    </row>
    <row r="4">
      <c r="A4" t="inlineStr">
        <is>
          <t>daily budget</t>
        </is>
      </c>
      <c r="B4">
        <f>Parameters!$B$16*60</f>
        <v/>
      </c>
      <c r="C4">
        <f>IF(B4&lt;0,"−","")&amp;TEXT(ABS(B4)/1440,"h:mm")</f>
        <v/>
      </c>
      <c r="D4" t="inlineStr">
        <is>
          <t>max roundtrip (Parameters)</t>
        </is>
      </c>
    </row>
    <row r="5">
      <c r="A5" t="inlineStr">
        <is>
          <t>− driving, both ways</t>
        </is>
      </c>
      <c r="B5">
        <f>-(2*(14.8/10*60+4/MIN(20,Parameters!$B$2)*60+75.7/MIN(25,Parameters!$B$2)*60)+2*(2/10*60+52.1/MIN(25,Parameters!$B$2)*60+10.5/MIN(20,Parameters!$B$2)*60)+2*(3/MIN(20,Parameters!$B$2)*60))</f>
        <v/>
      </c>
      <c r="C5">
        <f>IF(B5&lt;0,"−","")&amp;TEXT(ABS(B5)/1440,"h:mm")</f>
        <v/>
      </c>
      <c r="D5" t="inlineStr">
        <is>
          <t>zone math; the railroad's price — untouchable</t>
        </is>
      </c>
    </row>
    <row r="6">
      <c r="A6" t="inlineStr">
        <is>
          <t>− handling allowances</t>
        </is>
      </c>
      <c r="B6">
        <f>-(Parameters!$B$10+Parameters!$B$11+Parameters!$B$12+Parameters!$B$13+Parameters!$B$14+Parameters!$B$15*Parameters!$B$19+IF('Dwell Plans'!B12&gt;0,Parameters!$B$12+Parameters!$B$13,0))</f>
        <v/>
      </c>
      <c r="C6">
        <f>IF(B6&lt;0,"−","")&amp;TEXT(ABS(B6)/1440,"h:mm")</f>
        <v/>
      </c>
      <c r="D6" t="inlineStr">
        <is>
          <t>load, switches, on/off charge track, port per toggle</t>
        </is>
      </c>
    </row>
    <row r="7">
      <c r="A7" s="2">
        <f> left over for charging</f>
        <v/>
      </c>
      <c r="B7" s="2">
        <f>B4+B5+B6</f>
        <v/>
      </c>
      <c r="C7" s="2">
        <f>IF(B7&lt;0,"−","")&amp;TEXT(ABS(B7)/1440,"h:mm")</f>
        <v/>
      </c>
      <c r="D7" s="2" t="inlineStr"/>
    </row>
    <row r="8">
      <c r="A8" t="inlineStr">
        <is>
          <t>− charging actually needed</t>
        </is>
      </c>
      <c r="B8">
        <f>-('Dwell Plans'!B14+'Dwell Plans'!B15+'Dwell Plans'!B16+'Dwell Plans'!B18)</f>
        <v/>
      </c>
      <c r="C8">
        <f>IF(B8&lt;0,"−","")&amp;TEXT(ABS(B8)/1440,"h:mm")</f>
        <v/>
      </c>
      <c r="D8" t="inlineStr">
        <is>
          <t>Vidalia + Plastic + (WB if any) + Macon top-up</t>
        </is>
      </c>
    </row>
    <row r="9">
      <c r="A9" s="4">
        <f> SPARE (+) or SHORTFALL (−)</f>
        <v/>
      </c>
      <c r="B9" s="4">
        <f>B7+B8</f>
        <v/>
      </c>
      <c r="C9" s="4">
        <f>IF(B9&lt;0,"−","")&amp;TEXT(ABS(B9)/1440,"h:mm")</f>
        <v/>
      </c>
      <c r="D9" s="4">
        <f>IF(B9&gt;=0,"PASS — fits the 24-h cycle","FAIL — does not fit; see Scenarios for options")</f>
        <v/>
      </c>
    </row>
    <row r="11">
      <c r="A11" s="2" t="inlineStr">
        <is>
          <t>REEFER OFF-POWER vs the 48-h limit</t>
        </is>
      </c>
      <c r="B11" s="2" t="inlineStr"/>
      <c r="C11" s="2" t="inlineStr"/>
      <c r="D11" s="2" t="inlineStr"/>
    </row>
    <row r="12">
      <c r="A12" t="inlineStr">
        <is>
          <t>reefer budget</t>
        </is>
      </c>
      <c r="B12">
        <f>Parameters!$B$17*60</f>
        <v/>
      </c>
      <c r="C12">
        <f>IF(B12&lt;0,"−","")&amp;TEXT(ABS(B12)/1440,"h:mm")</f>
        <v/>
      </c>
      <c r="D12" t="inlineStr">
        <is>
          <t>max off-power (Parameters)</t>
        </is>
      </c>
    </row>
    <row r="13">
      <c r="A13" t="inlineStr">
        <is>
          <t>− unplugged: load → shore power</t>
        </is>
      </c>
      <c r="B13">
        <f>-(Parameters!$B$10+Parameters!$B$11+(14.8/10*60+4/MIN(20,Parameters!$B$2)*60+75.7/MIN(25,Parameters!$B$2)*60)+Parameters!$B$12+'Dwell Plans'!B14+Parameters!$B$13+(2/10*60+52.1/MIN(25,Parameters!$B$2)*60+10.5/MIN(20,Parameters!$B$2)*60)+Parameters!$B$14+Parameters!$B$15)</f>
        <v/>
      </c>
      <c r="C13">
        <f>IF(B13&lt;0,"−","")&amp;TEXT(ABS(B13)/1440,"h:mm")</f>
        <v/>
      </c>
      <c r="D13" t="inlineStr">
        <is>
          <t>loading, switch, transit, Vidalia charge, transit, Pooler, full port sequence</t>
        </is>
      </c>
    </row>
    <row r="14">
      <c r="A14" s="4">
        <f> SPARE</f>
        <v/>
      </c>
      <c r="B14" s="4">
        <f>B12+B13</f>
        <v/>
      </c>
      <c r="C14" s="4">
        <f>IF(B14&lt;0,"−","")&amp;TEXT(ABS(B14)/1440,"h:mm")</f>
        <v/>
      </c>
      <c r="D14" s="4">
        <f>IF(B14&gt;=0,"PASS","FAIL")</f>
        <v/>
      </c>
    </row>
    <row r="16">
      <c r="A16" s="2" t="inlineStr">
        <is>
          <t>DETAIL — where every minute goes (audit trail)</t>
        </is>
      </c>
    </row>
    <row r="17">
      <c r="A17" s="2" t="inlineStr">
        <is>
          <t>#</t>
        </is>
      </c>
      <c r="B17" s="2" t="inlineStr">
        <is>
          <t>Item</t>
        </is>
      </c>
      <c r="C17" s="2" t="inlineStr">
        <is>
          <t>Minutes</t>
        </is>
      </c>
      <c r="D17" s="2" t="inlineStr">
        <is>
          <t>In reefer clock?</t>
        </is>
      </c>
      <c r="E17" s="2" t="inlineStr">
        <is>
          <t>Source</t>
        </is>
      </c>
    </row>
    <row r="18">
      <c r="A18" t="n">
        <v>1</v>
      </c>
      <c r="B18" t="inlineStr">
        <is>
          <t>Off-power loading @ Macon</t>
        </is>
      </c>
      <c r="C18">
        <f>Parameters!$B$10</f>
        <v/>
      </c>
      <c r="D18" t="n">
        <v>1</v>
      </c>
      <c r="E18" t="inlineStr">
        <is>
          <t>given</t>
        </is>
      </c>
    </row>
    <row r="19">
      <c r="A19" t="n">
        <v>2</v>
      </c>
      <c r="B19" t="inlineStr">
        <is>
          <t>Macon hand-throw switch</t>
        </is>
      </c>
      <c r="C19">
        <f>Parameters!$B$11</f>
        <v/>
      </c>
      <c r="D19" t="n">
        <v>1</v>
      </c>
      <c r="E19" t="inlineStr">
        <is>
          <t>given</t>
        </is>
      </c>
    </row>
    <row r="20">
      <c r="A20" t="n">
        <v>3</v>
      </c>
      <c r="B20" t="inlineStr">
        <is>
          <t>Movement Macon → charge point (Vidalia)</t>
        </is>
      </c>
      <c r="C20">
        <f>(14.8/10*60+4/MIN(20,Parameters!$B$2)*60+75.7/MIN(25,Parameters!$B$2)*60)</f>
        <v/>
      </c>
      <c r="D20" t="n">
        <v>1</v>
      </c>
      <c r="E20" t="inlineStr">
        <is>
          <t>zone math</t>
        </is>
      </c>
    </row>
    <row r="21">
      <c r="A21" t="n">
        <v>4</v>
      </c>
      <c r="B21" t="inlineStr">
        <is>
          <t>Get on charging track &amp; start</t>
        </is>
      </c>
      <c r="C21">
        <f>Parameters!$B$12</f>
        <v/>
      </c>
      <c r="D21" t="n">
        <v>1</v>
      </c>
      <c r="E21" t="inlineStr">
        <is>
          <t>given</t>
        </is>
      </c>
    </row>
    <row r="22">
      <c r="A22" t="n">
        <v>5</v>
      </c>
      <c r="B22" t="inlineStr">
        <is>
          <t>Charging @ Vidalia (dependent)</t>
        </is>
      </c>
      <c r="C22">
        <f>'Dwell Plans'!B14</f>
        <v/>
      </c>
      <c r="D22" t="n">
        <v>1</v>
      </c>
      <c r="E22" t="inlineStr">
        <is>
          <t>solver</t>
        </is>
      </c>
    </row>
    <row r="23">
      <c r="A23" t="n">
        <v>6</v>
      </c>
      <c r="B23" t="inlineStr">
        <is>
          <t>Stop charging, back on route</t>
        </is>
      </c>
      <c r="C23">
        <f>Parameters!$B$13</f>
        <v/>
      </c>
      <c r="D23" t="n">
        <v>1</v>
      </c>
      <c r="E23" t="inlineStr">
        <is>
          <t>given</t>
        </is>
      </c>
    </row>
    <row r="24">
      <c r="A24" t="n">
        <v>7</v>
      </c>
      <c r="B24" t="inlineStr">
        <is>
          <t>Movement Vidalia → Pooler</t>
        </is>
      </c>
      <c r="C24">
        <f>(2/10*60+52.1/MIN(25,Parameters!$B$2)*60+10.5/MIN(20,Parameters!$B$2)*60)</f>
        <v/>
      </c>
      <c r="D24" t="n">
        <v>1</v>
      </c>
      <c r="E24" t="inlineStr">
        <is>
          <t>zone math</t>
        </is>
      </c>
    </row>
    <row r="25">
      <c r="A25" t="n">
        <v>8</v>
      </c>
      <c r="B25" t="inlineStr">
        <is>
          <t>Pooler switch &amp; positioning (unload)</t>
        </is>
      </c>
      <c r="C25">
        <f>Parameters!$B$14</f>
        <v/>
      </c>
      <c r="D25" t="n">
        <v>1</v>
      </c>
      <c r="E25" t="inlineStr">
        <is>
          <t>given</t>
        </is>
      </c>
    </row>
    <row r="26">
      <c r="A26" t="n">
        <v>9</v>
      </c>
      <c r="B26" t="inlineStr">
        <is>
          <t>Port ramp/dray/ingate/shore power</t>
        </is>
      </c>
      <c r="C26">
        <f>Parameters!$B$15*Parameters!$B$19</f>
        <v/>
      </c>
      <c r="D26" t="inlineStr">
        <is>
          <t>reefer only</t>
        </is>
      </c>
      <c r="E26" t="inlineStr">
        <is>
          <t>toggle B19; ALWAYS in reefer clock</t>
        </is>
      </c>
    </row>
    <row r="27">
      <c r="A27" t="n">
        <v>10</v>
      </c>
      <c r="B27" t="inlineStr">
        <is>
          <t>Movement Pooler → Plastic Express</t>
        </is>
      </c>
      <c r="C27">
        <f>(3/MIN(20,Parameters!$B$2)*60)</f>
        <v/>
      </c>
      <c r="D27" t="n">
        <v>0</v>
      </c>
      <c r="E27" t="inlineStr">
        <is>
          <t>zone math</t>
        </is>
      </c>
    </row>
    <row r="28">
      <c r="A28" t="n">
        <v>11</v>
      </c>
      <c r="B28" t="inlineStr">
        <is>
          <t>Recharge @ Plastic Express (dependent)</t>
        </is>
      </c>
      <c r="C28">
        <f>'Dwell Plans'!B15</f>
        <v/>
      </c>
      <c r="D28" t="n">
        <v>0</v>
      </c>
      <c r="E28" t="inlineStr">
        <is>
          <t>solver</t>
        </is>
      </c>
    </row>
    <row r="29">
      <c r="A29" t="n">
        <v>12</v>
      </c>
      <c r="B29" t="inlineStr">
        <is>
          <t>Movement Plastic → Vidalia (empty)</t>
        </is>
      </c>
      <c r="C29">
        <f>(3/MIN(20,Parameters!$B$2)*60)+(2/10*60+52.1/MIN(25,Parameters!$B$2)*60+10.5/MIN(20,Parameters!$B$2)*60)</f>
        <v/>
      </c>
      <c r="D29" t="n">
        <v>0</v>
      </c>
      <c r="E29" t="inlineStr">
        <is>
          <t>zone math</t>
        </is>
      </c>
    </row>
    <row r="30">
      <c r="A30" t="n">
        <v>13</v>
      </c>
      <c r="B30" t="inlineStr">
        <is>
          <t>Get on charging track WB (if needed)</t>
        </is>
      </c>
      <c r="C30">
        <f>IF('Dwell Plans'!B12&gt;0,Parameters!$B$12,0)</f>
        <v/>
      </c>
      <c r="D30" t="n">
        <v>0</v>
      </c>
      <c r="E30" t="inlineStr">
        <is>
          <t>self-zeroing</t>
        </is>
      </c>
    </row>
    <row r="31">
      <c r="A31" t="n">
        <v>14</v>
      </c>
      <c r="B31" t="inlineStr">
        <is>
          <t>Charging @ Vidalia WB (dependent)</t>
        </is>
      </c>
      <c r="C31">
        <f>'Dwell Plans'!B16</f>
        <v/>
      </c>
      <c r="D31" t="n">
        <v>0</v>
      </c>
      <c r="E31" t="inlineStr">
        <is>
          <t>0 when empty return fits</t>
        </is>
      </c>
    </row>
    <row r="32">
      <c r="A32" t="n">
        <v>15</v>
      </c>
      <c r="B32" t="inlineStr">
        <is>
          <t>Back on route WB (if needed)</t>
        </is>
      </c>
      <c r="C32">
        <f>IF('Dwell Plans'!B12&gt;0,Parameters!$B$13,0)</f>
        <v/>
      </c>
      <c r="D32" t="n">
        <v>0</v>
      </c>
      <c r="E32" t="inlineStr">
        <is>
          <t>self-zeroing</t>
        </is>
      </c>
    </row>
    <row r="33">
      <c r="A33" t="n">
        <v>16</v>
      </c>
      <c r="B33" t="inlineStr">
        <is>
          <t>Movement Vidalia → Macon (empty)</t>
        </is>
      </c>
      <c r="C33">
        <f>(14.8/10*60+4/MIN(20,Parameters!$B$2)*60+75.7/MIN(25,Parameters!$B$2)*60)</f>
        <v/>
      </c>
      <c r="D33" t="n">
        <v>0</v>
      </c>
      <c r="E33" t="inlineStr">
        <is>
          <t>zone math</t>
        </is>
      </c>
    </row>
    <row r="34">
      <c r="A34" t="n">
        <v>17</v>
      </c>
      <c r="B34" t="inlineStr">
        <is>
          <t>Macon top-up charge (toggle)</t>
        </is>
      </c>
      <c r="C34">
        <f>'Dwell Plans'!B18</f>
        <v/>
      </c>
      <c r="D34" t="n">
        <v>0</v>
      </c>
      <c r="E34" t="inlineStr">
        <is>
          <t>Parameters B20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44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6" customWidth="1" min="4" max="4"/>
    <col width="10" customWidth="1" min="5" max="5"/>
  </cols>
  <sheetData>
    <row r="1">
      <c r="A1" s="2" t="inlineStr">
        <is>
          <t>route mile</t>
        </is>
      </c>
      <c r="B1" s="2" t="inlineStr">
        <is>
          <t>kWh/mi (loaded out, empty back)</t>
        </is>
      </c>
      <c r="C1" s="2" t="inlineStr">
        <is>
          <t>SOC solver dwells (kWh)</t>
        </is>
      </c>
      <c r="D1" s="2" t="inlineStr">
        <is>
          <t>SOC scheduled 25-min dwells (kWh)</t>
        </is>
      </c>
      <c r="E1" s="2" t="inlineStr">
        <is>
          <t>floor</t>
        </is>
      </c>
    </row>
    <row r="2">
      <c r="A2" t="n">
        <v>0</v>
      </c>
      <c r="B2">
        <f>IF(A2&gt;162.1,Parameters!$B$5,Parameters!$B$4)</f>
        <v/>
      </c>
      <c r="C2">
        <f>Parameters!$B$6</f>
        <v/>
      </c>
      <c r="D2">
        <f>Parameters!$B$6</f>
        <v/>
      </c>
      <c r="E2">
        <f>Parameters!$B$25</f>
        <v/>
      </c>
    </row>
    <row r="3">
      <c r="A3" t="n">
        <v>0.1</v>
      </c>
      <c r="B3">
        <f>IF(A3&gt;162.1,Parameters!$B$5,Parameters!$B$4)</f>
        <v/>
      </c>
      <c r="C3">
        <f>C2-0.1*B3+0</f>
        <v/>
      </c>
      <c r="D3">
        <f>D2-0.1*B3+0</f>
        <v/>
      </c>
      <c r="E3">
        <f>Parameters!$B$25</f>
        <v/>
      </c>
    </row>
    <row r="4">
      <c r="A4" t="n">
        <v>0.2</v>
      </c>
      <c r="B4">
        <f>IF(A4&gt;162.1,Parameters!$B$5,Parameters!$B$4)</f>
        <v/>
      </c>
      <c r="C4">
        <f>C3-0.1*B4+0</f>
        <v/>
      </c>
      <c r="D4">
        <f>D3-0.1*B4+0</f>
        <v/>
      </c>
      <c r="E4">
        <f>Parameters!$B$25</f>
        <v/>
      </c>
    </row>
    <row r="5">
      <c r="A5" t="n">
        <v>0.3</v>
      </c>
      <c r="B5">
        <f>IF(A5&gt;162.1,Parameters!$B$5,Parameters!$B$4)</f>
        <v/>
      </c>
      <c r="C5">
        <f>C4-0.1*B5+0</f>
        <v/>
      </c>
      <c r="D5">
        <f>D4-0.1*B5+0</f>
        <v/>
      </c>
      <c r="E5">
        <f>Parameters!$B$25</f>
        <v/>
      </c>
    </row>
    <row r="6">
      <c r="A6" t="n">
        <v>0.4</v>
      </c>
      <c r="B6">
        <f>IF(A6&gt;162.1,Parameters!$B$5,Parameters!$B$4)</f>
        <v/>
      </c>
      <c r="C6">
        <f>C5-0.1*B6+0</f>
        <v/>
      </c>
      <c r="D6">
        <f>D5-0.1*B6+0</f>
        <v/>
      </c>
      <c r="E6">
        <f>Parameters!$B$25</f>
        <v/>
      </c>
    </row>
    <row r="7">
      <c r="A7" t="n">
        <v>0.5</v>
      </c>
      <c r="B7">
        <f>IF(A7&gt;162.1,Parameters!$B$5,Parameters!$B$4)</f>
        <v/>
      </c>
      <c r="C7">
        <f>C6-0.1*B7+0</f>
        <v/>
      </c>
      <c r="D7">
        <f>D6-0.1*B7+0</f>
        <v/>
      </c>
      <c r="E7">
        <f>Parameters!$B$25</f>
        <v/>
      </c>
    </row>
    <row r="8">
      <c r="A8" t="n">
        <v>0.6</v>
      </c>
      <c r="B8">
        <f>IF(A8&gt;162.1,Parameters!$B$5,Parameters!$B$4)</f>
        <v/>
      </c>
      <c r="C8">
        <f>C7-0.1*B8+0</f>
        <v/>
      </c>
      <c r="D8">
        <f>D7-0.1*B8+0</f>
        <v/>
      </c>
      <c r="E8">
        <f>Parameters!$B$25</f>
        <v/>
      </c>
    </row>
    <row r="9">
      <c r="A9" t="n">
        <v>0.7</v>
      </c>
      <c r="B9">
        <f>IF(A9&gt;162.1,Parameters!$B$5,Parameters!$B$4)</f>
        <v/>
      </c>
      <c r="C9">
        <f>C8-0.1*B9+0</f>
        <v/>
      </c>
      <c r="D9">
        <f>D8-0.1*B9+0</f>
        <v/>
      </c>
      <c r="E9">
        <f>Parameters!$B$25</f>
        <v/>
      </c>
    </row>
    <row r="10">
      <c r="A10" t="n">
        <v>0.8</v>
      </c>
      <c r="B10">
        <f>IF(A10&gt;162.1,Parameters!$B$5,Parameters!$B$4)</f>
        <v/>
      </c>
      <c r="C10">
        <f>C9-0.1*B10+0</f>
        <v/>
      </c>
      <c r="D10">
        <f>D9-0.1*B10+0</f>
        <v/>
      </c>
      <c r="E10">
        <f>Parameters!$B$25</f>
        <v/>
      </c>
    </row>
    <row r="11">
      <c r="A11" t="n">
        <v>0.9</v>
      </c>
      <c r="B11">
        <f>IF(A11&gt;162.1,Parameters!$B$5,Parameters!$B$4)</f>
        <v/>
      </c>
      <c r="C11">
        <f>C10-0.1*B11+0</f>
        <v/>
      </c>
      <c r="D11">
        <f>D10-0.1*B11+0</f>
        <v/>
      </c>
      <c r="E11">
        <f>Parameters!$B$25</f>
        <v/>
      </c>
    </row>
    <row r="12">
      <c r="A12" t="n">
        <v>1</v>
      </c>
      <c r="B12">
        <f>IF(A12&gt;162.1,Parameters!$B$5,Parameters!$B$4)</f>
        <v/>
      </c>
      <c r="C12">
        <f>C11-0.1*B12+0</f>
        <v/>
      </c>
      <c r="D12">
        <f>D11-0.1*B12+0</f>
        <v/>
      </c>
      <c r="E12">
        <f>Parameters!$B$25</f>
        <v/>
      </c>
    </row>
    <row r="13">
      <c r="A13" t="n">
        <v>1.1</v>
      </c>
      <c r="B13">
        <f>IF(A13&gt;162.1,Parameters!$B$5,Parameters!$B$4)</f>
        <v/>
      </c>
      <c r="C13">
        <f>C12-0.1*B13+0</f>
        <v/>
      </c>
      <c r="D13">
        <f>D12-0.1*B13+0</f>
        <v/>
      </c>
      <c r="E13">
        <f>Parameters!$B$25</f>
        <v/>
      </c>
    </row>
    <row r="14">
      <c r="A14" t="n">
        <v>1.2</v>
      </c>
      <c r="B14">
        <f>IF(A14&gt;162.1,Parameters!$B$5,Parameters!$B$4)</f>
        <v/>
      </c>
      <c r="C14">
        <f>C13-0.1*B14+0</f>
        <v/>
      </c>
      <c r="D14">
        <f>D13-0.1*B14+0</f>
        <v/>
      </c>
      <c r="E14">
        <f>Parameters!$B$25</f>
        <v/>
      </c>
    </row>
    <row r="15">
      <c r="A15" t="n">
        <v>1.3</v>
      </c>
      <c r="B15">
        <f>IF(A15&gt;162.1,Parameters!$B$5,Parameters!$B$4)</f>
        <v/>
      </c>
      <c r="C15">
        <f>C14-0.1*B15+0</f>
        <v/>
      </c>
      <c r="D15">
        <f>D14-0.1*B15+0</f>
        <v/>
      </c>
      <c r="E15">
        <f>Parameters!$B$25</f>
        <v/>
      </c>
    </row>
    <row r="16">
      <c r="A16" t="n">
        <v>1.4</v>
      </c>
      <c r="B16">
        <f>IF(A16&gt;162.1,Parameters!$B$5,Parameters!$B$4)</f>
        <v/>
      </c>
      <c r="C16">
        <f>C15-0.1*B16+0</f>
        <v/>
      </c>
      <c r="D16">
        <f>D15-0.1*B16+0</f>
        <v/>
      </c>
      <c r="E16">
        <f>Parameters!$B$25</f>
        <v/>
      </c>
    </row>
    <row r="17">
      <c r="A17" t="n">
        <v>1.5</v>
      </c>
      <c r="B17">
        <f>IF(A17&gt;162.1,Parameters!$B$5,Parameters!$B$4)</f>
        <v/>
      </c>
      <c r="C17">
        <f>C16-0.1*B17+0</f>
        <v/>
      </c>
      <c r="D17">
        <f>D16-0.1*B17+0</f>
        <v/>
      </c>
      <c r="E17">
        <f>Parameters!$B$25</f>
        <v/>
      </c>
    </row>
    <row r="18">
      <c r="A18" t="n">
        <v>1.6</v>
      </c>
      <c r="B18">
        <f>IF(A18&gt;162.1,Parameters!$B$5,Parameters!$B$4)</f>
        <v/>
      </c>
      <c r="C18">
        <f>C17-0.1*B18+0</f>
        <v/>
      </c>
      <c r="D18">
        <f>D17-0.1*B18+0</f>
        <v/>
      </c>
      <c r="E18">
        <f>Parameters!$B$25</f>
        <v/>
      </c>
    </row>
    <row r="19">
      <c r="A19" t="n">
        <v>1.7</v>
      </c>
      <c r="B19">
        <f>IF(A19&gt;162.1,Parameters!$B$5,Parameters!$B$4)</f>
        <v/>
      </c>
      <c r="C19">
        <f>C18-0.1*B19+0</f>
        <v/>
      </c>
      <c r="D19">
        <f>D18-0.1*B19+0</f>
        <v/>
      </c>
      <c r="E19">
        <f>Parameters!$B$25</f>
        <v/>
      </c>
    </row>
    <row r="20">
      <c r="A20" t="n">
        <v>1.8</v>
      </c>
      <c r="B20">
        <f>IF(A20&gt;162.1,Parameters!$B$5,Parameters!$B$4)</f>
        <v/>
      </c>
      <c r="C20">
        <f>C19-0.1*B20+0</f>
        <v/>
      </c>
      <c r="D20">
        <f>D19-0.1*B20+0</f>
        <v/>
      </c>
      <c r="E20">
        <f>Parameters!$B$25</f>
        <v/>
      </c>
    </row>
    <row r="21">
      <c r="A21" t="n">
        <v>1.9</v>
      </c>
      <c r="B21">
        <f>IF(A21&gt;162.1,Parameters!$B$5,Parameters!$B$4)</f>
        <v/>
      </c>
      <c r="C21">
        <f>C20-0.1*B21+0</f>
        <v/>
      </c>
      <c r="D21">
        <f>D20-0.1*B21+0</f>
        <v/>
      </c>
      <c r="E21">
        <f>Parameters!$B$25</f>
        <v/>
      </c>
    </row>
    <row r="22">
      <c r="A22" t="n">
        <v>2</v>
      </c>
      <c r="B22">
        <f>IF(A22&gt;162.1,Parameters!$B$5,Parameters!$B$4)</f>
        <v/>
      </c>
      <c r="C22">
        <f>C21-0.1*B22+0</f>
        <v/>
      </c>
      <c r="D22">
        <f>D21-0.1*B22+0</f>
        <v/>
      </c>
      <c r="E22">
        <f>Parameters!$B$25</f>
        <v/>
      </c>
    </row>
    <row r="23">
      <c r="A23" t="n">
        <v>2.1</v>
      </c>
      <c r="B23">
        <f>IF(A23&gt;162.1,Parameters!$B$5,Parameters!$B$4)</f>
        <v/>
      </c>
      <c r="C23">
        <f>C22-0.1*B23+0</f>
        <v/>
      </c>
      <c r="D23">
        <f>D22-0.1*B23+0</f>
        <v/>
      </c>
      <c r="E23">
        <f>Parameters!$B$25</f>
        <v/>
      </c>
    </row>
    <row r="24">
      <c r="A24" t="n">
        <v>2.2</v>
      </c>
      <c r="B24">
        <f>IF(A24&gt;162.1,Parameters!$B$5,Parameters!$B$4)</f>
        <v/>
      </c>
      <c r="C24">
        <f>C23-0.1*B24+0</f>
        <v/>
      </c>
      <c r="D24">
        <f>D23-0.1*B24+0</f>
        <v/>
      </c>
      <c r="E24">
        <f>Parameters!$B$25</f>
        <v/>
      </c>
    </row>
    <row r="25">
      <c r="A25" t="n">
        <v>2.3</v>
      </c>
      <c r="B25">
        <f>IF(A25&gt;162.1,Parameters!$B$5,Parameters!$B$4)</f>
        <v/>
      </c>
      <c r="C25">
        <f>C24-0.1*B25+0</f>
        <v/>
      </c>
      <c r="D25">
        <f>D24-0.1*B25+0</f>
        <v/>
      </c>
      <c r="E25">
        <f>Parameters!$B$25</f>
        <v/>
      </c>
    </row>
    <row r="26">
      <c r="A26" t="n">
        <v>2.4</v>
      </c>
      <c r="B26">
        <f>IF(A26&gt;162.1,Parameters!$B$5,Parameters!$B$4)</f>
        <v/>
      </c>
      <c r="C26">
        <f>C25-0.1*B26+0</f>
        <v/>
      </c>
      <c r="D26">
        <f>D25-0.1*B26+0</f>
        <v/>
      </c>
      <c r="E26">
        <f>Parameters!$B$25</f>
        <v/>
      </c>
    </row>
    <row r="27">
      <c r="A27" t="n">
        <v>2.5</v>
      </c>
      <c r="B27">
        <f>IF(A27&gt;162.1,Parameters!$B$5,Parameters!$B$4)</f>
        <v/>
      </c>
      <c r="C27">
        <f>C26-0.1*B27+0</f>
        <v/>
      </c>
      <c r="D27">
        <f>D26-0.1*B27+0</f>
        <v/>
      </c>
      <c r="E27">
        <f>Parameters!$B$25</f>
        <v/>
      </c>
    </row>
    <row r="28">
      <c r="A28" t="n">
        <v>2.6</v>
      </c>
      <c r="B28">
        <f>IF(A28&gt;162.1,Parameters!$B$5,Parameters!$B$4)</f>
        <v/>
      </c>
      <c r="C28">
        <f>C27-0.1*B28+0</f>
        <v/>
      </c>
      <c r="D28">
        <f>D27-0.1*B28+0</f>
        <v/>
      </c>
      <c r="E28">
        <f>Parameters!$B$25</f>
        <v/>
      </c>
    </row>
    <row r="29">
      <c r="A29" t="n">
        <v>2.7</v>
      </c>
      <c r="B29">
        <f>IF(A29&gt;162.1,Parameters!$B$5,Parameters!$B$4)</f>
        <v/>
      </c>
      <c r="C29">
        <f>C28-0.1*B29+0</f>
        <v/>
      </c>
      <c r="D29">
        <f>D28-0.1*B29+0</f>
        <v/>
      </c>
      <c r="E29">
        <f>Parameters!$B$25</f>
        <v/>
      </c>
    </row>
    <row r="30">
      <c r="A30" t="n">
        <v>2.8</v>
      </c>
      <c r="B30">
        <f>IF(A30&gt;162.1,Parameters!$B$5,Parameters!$B$4)</f>
        <v/>
      </c>
      <c r="C30">
        <f>C29-0.1*B30+0</f>
        <v/>
      </c>
      <c r="D30">
        <f>D29-0.1*B30+0</f>
        <v/>
      </c>
      <c r="E30">
        <f>Parameters!$B$25</f>
        <v/>
      </c>
    </row>
    <row r="31">
      <c r="A31" t="n">
        <v>2.9</v>
      </c>
      <c r="B31">
        <f>IF(A31&gt;162.1,Parameters!$B$5,Parameters!$B$4)</f>
        <v/>
      </c>
      <c r="C31">
        <f>C30-0.1*B31+0</f>
        <v/>
      </c>
      <c r="D31">
        <f>D30-0.1*B31+0</f>
        <v/>
      </c>
      <c r="E31">
        <f>Parameters!$B$25</f>
        <v/>
      </c>
    </row>
    <row r="32">
      <c r="A32" t="n">
        <v>3</v>
      </c>
      <c r="B32">
        <f>IF(A32&gt;162.1,Parameters!$B$5,Parameters!$B$4)</f>
        <v/>
      </c>
      <c r="C32">
        <f>C31-0.1*B32+0</f>
        <v/>
      </c>
      <c r="D32">
        <f>D31-0.1*B32+0</f>
        <v/>
      </c>
      <c r="E32">
        <f>Parameters!$B$25</f>
        <v/>
      </c>
    </row>
    <row r="33">
      <c r="A33" t="n">
        <v>3.1</v>
      </c>
      <c r="B33">
        <f>IF(A33&gt;162.1,Parameters!$B$5,Parameters!$B$4)</f>
        <v/>
      </c>
      <c r="C33">
        <f>C32-0.1*B33+0</f>
        <v/>
      </c>
      <c r="D33">
        <f>D32-0.1*B33+0</f>
        <v/>
      </c>
      <c r="E33">
        <f>Parameters!$B$25</f>
        <v/>
      </c>
    </row>
    <row r="34">
      <c r="A34" t="n">
        <v>3.2</v>
      </c>
      <c r="B34">
        <f>IF(A34&gt;162.1,Parameters!$B$5,Parameters!$B$4)</f>
        <v/>
      </c>
      <c r="C34">
        <f>C33-0.1*B34+0</f>
        <v/>
      </c>
      <c r="D34">
        <f>D33-0.1*B34+0</f>
        <v/>
      </c>
      <c r="E34">
        <f>Parameters!$B$25</f>
        <v/>
      </c>
    </row>
    <row r="35">
      <c r="A35" t="n">
        <v>3.3</v>
      </c>
      <c r="B35">
        <f>IF(A35&gt;162.1,Parameters!$B$5,Parameters!$B$4)</f>
        <v/>
      </c>
      <c r="C35">
        <f>C34-0.1*B35+0</f>
        <v/>
      </c>
      <c r="D35">
        <f>D34-0.1*B35+0</f>
        <v/>
      </c>
      <c r="E35">
        <f>Parameters!$B$25</f>
        <v/>
      </c>
    </row>
    <row r="36">
      <c r="A36" t="n">
        <v>3.4</v>
      </c>
      <c r="B36">
        <f>IF(A36&gt;162.1,Parameters!$B$5,Parameters!$B$4)</f>
        <v/>
      </c>
      <c r="C36">
        <f>C35-0.1*B36+0</f>
        <v/>
      </c>
      <c r="D36">
        <f>D35-0.1*B36+0</f>
        <v/>
      </c>
      <c r="E36">
        <f>Parameters!$B$25</f>
        <v/>
      </c>
    </row>
    <row r="37">
      <c r="A37" t="n">
        <v>3.5</v>
      </c>
      <c r="B37">
        <f>IF(A37&gt;162.1,Parameters!$B$5,Parameters!$B$4)</f>
        <v/>
      </c>
      <c r="C37">
        <f>C36-0.1*B37+0</f>
        <v/>
      </c>
      <c r="D37">
        <f>D36-0.1*B37+0</f>
        <v/>
      </c>
      <c r="E37">
        <f>Parameters!$B$25</f>
        <v/>
      </c>
    </row>
    <row r="38">
      <c r="A38" t="n">
        <v>3.6</v>
      </c>
      <c r="B38">
        <f>IF(A38&gt;162.1,Parameters!$B$5,Parameters!$B$4)</f>
        <v/>
      </c>
      <c r="C38">
        <f>C37-0.1*B38+0</f>
        <v/>
      </c>
      <c r="D38">
        <f>D37-0.1*B38+0</f>
        <v/>
      </c>
      <c r="E38">
        <f>Parameters!$B$25</f>
        <v/>
      </c>
    </row>
    <row r="39">
      <c r="A39" t="n">
        <v>3.7</v>
      </c>
      <c r="B39">
        <f>IF(A39&gt;162.1,Parameters!$B$5,Parameters!$B$4)</f>
        <v/>
      </c>
      <c r="C39">
        <f>C38-0.1*B39+0</f>
        <v/>
      </c>
      <c r="D39">
        <f>D38-0.1*B39+0</f>
        <v/>
      </c>
      <c r="E39">
        <f>Parameters!$B$25</f>
        <v/>
      </c>
    </row>
    <row r="40">
      <c r="A40" t="n">
        <v>3.8</v>
      </c>
      <c r="B40">
        <f>IF(A40&gt;162.1,Parameters!$B$5,Parameters!$B$4)</f>
        <v/>
      </c>
      <c r="C40">
        <f>C39-0.1*B40+0</f>
        <v/>
      </c>
      <c r="D40">
        <f>D39-0.1*B40+0</f>
        <v/>
      </c>
      <c r="E40">
        <f>Parameters!$B$25</f>
        <v/>
      </c>
    </row>
    <row r="41">
      <c r="A41" t="n">
        <v>3.9</v>
      </c>
      <c r="B41">
        <f>IF(A41&gt;162.1,Parameters!$B$5,Parameters!$B$4)</f>
        <v/>
      </c>
      <c r="C41">
        <f>C40-0.1*B41+0</f>
        <v/>
      </c>
      <c r="D41">
        <f>D40-0.1*B41+0</f>
        <v/>
      </c>
      <c r="E41">
        <f>Parameters!$B$25</f>
        <v/>
      </c>
    </row>
    <row r="42">
      <c r="A42" t="n">
        <v>4</v>
      </c>
      <c r="B42">
        <f>IF(A42&gt;162.1,Parameters!$B$5,Parameters!$B$4)</f>
        <v/>
      </c>
      <c r="C42">
        <f>C41-0.1*B42+0</f>
        <v/>
      </c>
      <c r="D42">
        <f>D41-0.1*B42+0</f>
        <v/>
      </c>
      <c r="E42">
        <f>Parameters!$B$25</f>
        <v/>
      </c>
    </row>
    <row r="43">
      <c r="A43" t="n">
        <v>4.1</v>
      </c>
      <c r="B43">
        <f>IF(A43&gt;162.1,Parameters!$B$5,Parameters!$B$4)</f>
        <v/>
      </c>
      <c r="C43">
        <f>C42-0.1*B43+0</f>
        <v/>
      </c>
      <c r="D43">
        <f>D42-0.1*B43+0</f>
        <v/>
      </c>
      <c r="E43">
        <f>Parameters!$B$25</f>
        <v/>
      </c>
    </row>
    <row r="44">
      <c r="A44" t="n">
        <v>4.2</v>
      </c>
      <c r="B44">
        <f>IF(A44&gt;162.1,Parameters!$B$5,Parameters!$B$4)</f>
        <v/>
      </c>
      <c r="C44">
        <f>C43-0.1*B44+0</f>
        <v/>
      </c>
      <c r="D44">
        <f>D43-0.1*B44+0</f>
        <v/>
      </c>
      <c r="E44">
        <f>Parameters!$B$25</f>
        <v/>
      </c>
    </row>
    <row r="45">
      <c r="A45" t="n">
        <v>4.3</v>
      </c>
      <c r="B45">
        <f>IF(A45&gt;162.1,Parameters!$B$5,Parameters!$B$4)</f>
        <v/>
      </c>
      <c r="C45">
        <f>C44-0.1*B45+0</f>
        <v/>
      </c>
      <c r="D45">
        <f>D44-0.1*B45+0</f>
        <v/>
      </c>
      <c r="E45">
        <f>Parameters!$B$25</f>
        <v/>
      </c>
    </row>
    <row r="46">
      <c r="A46" t="n">
        <v>4.4</v>
      </c>
      <c r="B46">
        <f>IF(A46&gt;162.1,Parameters!$B$5,Parameters!$B$4)</f>
        <v/>
      </c>
      <c r="C46">
        <f>C45-0.1*B46+0</f>
        <v/>
      </c>
      <c r="D46">
        <f>D45-0.1*B46+0</f>
        <v/>
      </c>
      <c r="E46">
        <f>Parameters!$B$25</f>
        <v/>
      </c>
    </row>
    <row r="47">
      <c r="A47" t="n">
        <v>4.5</v>
      </c>
      <c r="B47">
        <f>IF(A47&gt;162.1,Parameters!$B$5,Parameters!$B$4)</f>
        <v/>
      </c>
      <c r="C47">
        <f>C46-0.1*B47+0</f>
        <v/>
      </c>
      <c r="D47">
        <f>D46-0.1*B47+0</f>
        <v/>
      </c>
      <c r="E47">
        <f>Parameters!$B$25</f>
        <v/>
      </c>
    </row>
    <row r="48">
      <c r="A48" t="n">
        <v>4.6</v>
      </c>
      <c r="B48">
        <f>IF(A48&gt;162.1,Parameters!$B$5,Parameters!$B$4)</f>
        <v/>
      </c>
      <c r="C48">
        <f>C47-0.1*B48+0</f>
        <v/>
      </c>
      <c r="D48">
        <f>D47-0.1*B48+0</f>
        <v/>
      </c>
      <c r="E48">
        <f>Parameters!$B$25</f>
        <v/>
      </c>
    </row>
    <row r="49">
      <c r="A49" t="n">
        <v>4.7</v>
      </c>
      <c r="B49">
        <f>IF(A49&gt;162.1,Parameters!$B$5,Parameters!$B$4)</f>
        <v/>
      </c>
      <c r="C49">
        <f>C48-0.1*B49+0</f>
        <v/>
      </c>
      <c r="D49">
        <f>D48-0.1*B49+0</f>
        <v/>
      </c>
      <c r="E49">
        <f>Parameters!$B$25</f>
        <v/>
      </c>
    </row>
    <row r="50">
      <c r="A50" t="n">
        <v>4.8</v>
      </c>
      <c r="B50">
        <f>IF(A50&gt;162.1,Parameters!$B$5,Parameters!$B$4)</f>
        <v/>
      </c>
      <c r="C50">
        <f>C49-0.1*B50+0</f>
        <v/>
      </c>
      <c r="D50">
        <f>D49-0.1*B50+0</f>
        <v/>
      </c>
      <c r="E50">
        <f>Parameters!$B$25</f>
        <v/>
      </c>
    </row>
    <row r="51">
      <c r="A51" t="n">
        <v>4.9</v>
      </c>
      <c r="B51">
        <f>IF(A51&gt;162.1,Parameters!$B$5,Parameters!$B$4)</f>
        <v/>
      </c>
      <c r="C51">
        <f>C50-0.1*B51+0</f>
        <v/>
      </c>
      <c r="D51">
        <f>D50-0.1*B51+0</f>
        <v/>
      </c>
      <c r="E51">
        <f>Parameters!$B$25</f>
        <v/>
      </c>
    </row>
    <row r="52">
      <c r="A52" t="n">
        <v>5</v>
      </c>
      <c r="B52">
        <f>IF(A52&gt;162.1,Parameters!$B$5,Parameters!$B$4)</f>
        <v/>
      </c>
      <c r="C52">
        <f>C51-0.1*B52+0</f>
        <v/>
      </c>
      <c r="D52">
        <f>D51-0.1*B52+0</f>
        <v/>
      </c>
      <c r="E52">
        <f>Parameters!$B$25</f>
        <v/>
      </c>
    </row>
    <row r="53">
      <c r="A53" t="n">
        <v>5.1</v>
      </c>
      <c r="B53">
        <f>IF(A53&gt;162.1,Parameters!$B$5,Parameters!$B$4)</f>
        <v/>
      </c>
      <c r="C53">
        <f>C52-0.1*B53+0</f>
        <v/>
      </c>
      <c r="D53">
        <f>D52-0.1*B53+0</f>
        <v/>
      </c>
      <c r="E53">
        <f>Parameters!$B$25</f>
        <v/>
      </c>
    </row>
    <row r="54">
      <c r="A54" t="n">
        <v>5.2</v>
      </c>
      <c r="B54">
        <f>IF(A54&gt;162.1,Parameters!$B$5,Parameters!$B$4)</f>
        <v/>
      </c>
      <c r="C54">
        <f>C53-0.1*B54+0</f>
        <v/>
      </c>
      <c r="D54">
        <f>D53-0.1*B54+0</f>
        <v/>
      </c>
      <c r="E54">
        <f>Parameters!$B$25</f>
        <v/>
      </c>
    </row>
    <row r="55">
      <c r="A55" t="n">
        <v>5.3</v>
      </c>
      <c r="B55">
        <f>IF(A55&gt;162.1,Parameters!$B$5,Parameters!$B$4)</f>
        <v/>
      </c>
      <c r="C55">
        <f>C54-0.1*B55+0</f>
        <v/>
      </c>
      <c r="D55">
        <f>D54-0.1*B55+0</f>
        <v/>
      </c>
      <c r="E55">
        <f>Parameters!$B$25</f>
        <v/>
      </c>
    </row>
    <row r="56">
      <c r="A56" t="n">
        <v>5.4</v>
      </c>
      <c r="B56">
        <f>IF(A56&gt;162.1,Parameters!$B$5,Parameters!$B$4)</f>
        <v/>
      </c>
      <c r="C56">
        <f>C55-0.1*B56+0</f>
        <v/>
      </c>
      <c r="D56">
        <f>D55-0.1*B56+0</f>
        <v/>
      </c>
      <c r="E56">
        <f>Parameters!$B$25</f>
        <v/>
      </c>
    </row>
    <row r="57">
      <c r="A57" t="n">
        <v>5.5</v>
      </c>
      <c r="B57">
        <f>IF(A57&gt;162.1,Parameters!$B$5,Parameters!$B$4)</f>
        <v/>
      </c>
      <c r="C57">
        <f>C56-0.1*B57+0</f>
        <v/>
      </c>
      <c r="D57">
        <f>D56-0.1*B57+0</f>
        <v/>
      </c>
      <c r="E57">
        <f>Parameters!$B$25</f>
        <v/>
      </c>
    </row>
    <row r="58">
      <c r="A58" t="n">
        <v>5.6</v>
      </c>
      <c r="B58">
        <f>IF(A58&gt;162.1,Parameters!$B$5,Parameters!$B$4)</f>
        <v/>
      </c>
      <c r="C58">
        <f>C57-0.1*B58+0</f>
        <v/>
      </c>
      <c r="D58">
        <f>D57-0.1*B58+0</f>
        <v/>
      </c>
      <c r="E58">
        <f>Parameters!$B$25</f>
        <v/>
      </c>
    </row>
    <row r="59">
      <c r="A59" t="n">
        <v>5.7</v>
      </c>
      <c r="B59">
        <f>IF(A59&gt;162.1,Parameters!$B$5,Parameters!$B$4)</f>
        <v/>
      </c>
      <c r="C59">
        <f>C58-0.1*B59+0</f>
        <v/>
      </c>
      <c r="D59">
        <f>D58-0.1*B59+0</f>
        <v/>
      </c>
      <c r="E59">
        <f>Parameters!$B$25</f>
        <v/>
      </c>
    </row>
    <row r="60">
      <c r="A60" t="n">
        <v>5.8</v>
      </c>
      <c r="B60">
        <f>IF(A60&gt;162.1,Parameters!$B$5,Parameters!$B$4)</f>
        <v/>
      </c>
      <c r="C60">
        <f>C59-0.1*B60+0</f>
        <v/>
      </c>
      <c r="D60">
        <f>D59-0.1*B60+0</f>
        <v/>
      </c>
      <c r="E60">
        <f>Parameters!$B$25</f>
        <v/>
      </c>
    </row>
    <row r="61">
      <c r="A61" t="n">
        <v>5.9</v>
      </c>
      <c r="B61">
        <f>IF(A61&gt;162.1,Parameters!$B$5,Parameters!$B$4)</f>
        <v/>
      </c>
      <c r="C61">
        <f>C60-0.1*B61+0</f>
        <v/>
      </c>
      <c r="D61">
        <f>D60-0.1*B61+0</f>
        <v/>
      </c>
      <c r="E61">
        <f>Parameters!$B$25</f>
        <v/>
      </c>
    </row>
    <row r="62">
      <c r="A62" t="n">
        <v>6</v>
      </c>
      <c r="B62">
        <f>IF(A62&gt;162.1,Parameters!$B$5,Parameters!$B$4)</f>
        <v/>
      </c>
      <c r="C62">
        <f>C61-0.1*B62+0</f>
        <v/>
      </c>
      <c r="D62">
        <f>D61-0.1*B62+0</f>
        <v/>
      </c>
      <c r="E62">
        <f>Parameters!$B$25</f>
        <v/>
      </c>
    </row>
    <row r="63">
      <c r="A63" t="n">
        <v>6.1</v>
      </c>
      <c r="B63">
        <f>IF(A63&gt;162.1,Parameters!$B$5,Parameters!$B$4)</f>
        <v/>
      </c>
      <c r="C63">
        <f>C62-0.1*B63+0</f>
        <v/>
      </c>
      <c r="D63">
        <f>D62-0.1*B63+0</f>
        <v/>
      </c>
      <c r="E63">
        <f>Parameters!$B$25</f>
        <v/>
      </c>
    </row>
    <row r="64">
      <c r="A64" t="n">
        <v>6.2</v>
      </c>
      <c r="B64">
        <f>IF(A64&gt;162.1,Parameters!$B$5,Parameters!$B$4)</f>
        <v/>
      </c>
      <c r="C64">
        <f>C63-0.1*B64+0</f>
        <v/>
      </c>
      <c r="D64">
        <f>D63-0.1*B64+0</f>
        <v/>
      </c>
      <c r="E64">
        <f>Parameters!$B$25</f>
        <v/>
      </c>
    </row>
    <row r="65">
      <c r="A65" t="n">
        <v>6.3</v>
      </c>
      <c r="B65">
        <f>IF(A65&gt;162.1,Parameters!$B$5,Parameters!$B$4)</f>
        <v/>
      </c>
      <c r="C65">
        <f>C64-0.1*B65+0</f>
        <v/>
      </c>
      <c r="D65">
        <f>D64-0.1*B65+0</f>
        <v/>
      </c>
      <c r="E65">
        <f>Parameters!$B$25</f>
        <v/>
      </c>
    </row>
    <row r="66">
      <c r="A66" t="n">
        <v>6.4</v>
      </c>
      <c r="B66">
        <f>IF(A66&gt;162.1,Parameters!$B$5,Parameters!$B$4)</f>
        <v/>
      </c>
      <c r="C66">
        <f>C65-0.1*B66+0</f>
        <v/>
      </c>
      <c r="D66">
        <f>D65-0.1*B66+0</f>
        <v/>
      </c>
      <c r="E66">
        <f>Parameters!$B$25</f>
        <v/>
      </c>
    </row>
    <row r="67">
      <c r="A67" t="n">
        <v>6.5</v>
      </c>
      <c r="B67">
        <f>IF(A67&gt;162.1,Parameters!$B$5,Parameters!$B$4)</f>
        <v/>
      </c>
      <c r="C67">
        <f>C66-0.1*B67+0</f>
        <v/>
      </c>
      <c r="D67">
        <f>D66-0.1*B67+0</f>
        <v/>
      </c>
      <c r="E67">
        <f>Parameters!$B$25</f>
        <v/>
      </c>
    </row>
    <row r="68">
      <c r="A68" t="n">
        <v>6.6</v>
      </c>
      <c r="B68">
        <f>IF(A68&gt;162.1,Parameters!$B$5,Parameters!$B$4)</f>
        <v/>
      </c>
      <c r="C68">
        <f>C67-0.1*B68+0</f>
        <v/>
      </c>
      <c r="D68">
        <f>D67-0.1*B68+0</f>
        <v/>
      </c>
      <c r="E68">
        <f>Parameters!$B$25</f>
        <v/>
      </c>
    </row>
    <row r="69">
      <c r="A69" t="n">
        <v>6.7</v>
      </c>
      <c r="B69">
        <f>IF(A69&gt;162.1,Parameters!$B$5,Parameters!$B$4)</f>
        <v/>
      </c>
      <c r="C69">
        <f>C68-0.1*B69+0</f>
        <v/>
      </c>
      <c r="D69">
        <f>D68-0.1*B69+0</f>
        <v/>
      </c>
      <c r="E69">
        <f>Parameters!$B$25</f>
        <v/>
      </c>
    </row>
    <row r="70">
      <c r="A70" t="n">
        <v>6.8</v>
      </c>
      <c r="B70">
        <f>IF(A70&gt;162.1,Parameters!$B$5,Parameters!$B$4)</f>
        <v/>
      </c>
      <c r="C70">
        <f>C69-0.1*B70+0</f>
        <v/>
      </c>
      <c r="D70">
        <f>D69-0.1*B70+0</f>
        <v/>
      </c>
      <c r="E70">
        <f>Parameters!$B$25</f>
        <v/>
      </c>
    </row>
    <row r="71">
      <c r="A71" t="n">
        <v>6.9</v>
      </c>
      <c r="B71">
        <f>IF(A71&gt;162.1,Parameters!$B$5,Parameters!$B$4)</f>
        <v/>
      </c>
      <c r="C71">
        <f>C70-0.1*B71+0</f>
        <v/>
      </c>
      <c r="D71">
        <f>D70-0.1*B71+0</f>
        <v/>
      </c>
      <c r="E71">
        <f>Parameters!$B$25</f>
        <v/>
      </c>
    </row>
    <row r="72">
      <c r="A72" t="n">
        <v>7</v>
      </c>
      <c r="B72">
        <f>IF(A72&gt;162.1,Parameters!$B$5,Parameters!$B$4)</f>
        <v/>
      </c>
      <c r="C72">
        <f>C71-0.1*B72+0</f>
        <v/>
      </c>
      <c r="D72">
        <f>D71-0.1*B72+0</f>
        <v/>
      </c>
      <c r="E72">
        <f>Parameters!$B$25</f>
        <v/>
      </c>
    </row>
    <row r="73">
      <c r="A73" t="n">
        <v>7.1</v>
      </c>
      <c r="B73">
        <f>IF(A73&gt;162.1,Parameters!$B$5,Parameters!$B$4)</f>
        <v/>
      </c>
      <c r="C73">
        <f>C72-0.1*B73+0</f>
        <v/>
      </c>
      <c r="D73">
        <f>D72-0.1*B73+0</f>
        <v/>
      </c>
      <c r="E73">
        <f>Parameters!$B$25</f>
        <v/>
      </c>
    </row>
    <row r="74">
      <c r="A74" t="n">
        <v>7.2</v>
      </c>
      <c r="B74">
        <f>IF(A74&gt;162.1,Parameters!$B$5,Parameters!$B$4)</f>
        <v/>
      </c>
      <c r="C74">
        <f>C73-0.1*B74+0</f>
        <v/>
      </c>
      <c r="D74">
        <f>D73-0.1*B74+0</f>
        <v/>
      </c>
      <c r="E74">
        <f>Parameters!$B$25</f>
        <v/>
      </c>
    </row>
    <row r="75">
      <c r="A75" t="n">
        <v>7.3</v>
      </c>
      <c r="B75">
        <f>IF(A75&gt;162.1,Parameters!$B$5,Parameters!$B$4)</f>
        <v/>
      </c>
      <c r="C75">
        <f>C74-0.1*B75+0</f>
        <v/>
      </c>
      <c r="D75">
        <f>D74-0.1*B75+0</f>
        <v/>
      </c>
      <c r="E75">
        <f>Parameters!$B$25</f>
        <v/>
      </c>
    </row>
    <row r="76">
      <c r="A76" t="n">
        <v>7.4</v>
      </c>
      <c r="B76">
        <f>IF(A76&gt;162.1,Parameters!$B$5,Parameters!$B$4)</f>
        <v/>
      </c>
      <c r="C76">
        <f>C75-0.1*B76+0</f>
        <v/>
      </c>
      <c r="D76">
        <f>D75-0.1*B76+0</f>
        <v/>
      </c>
      <c r="E76">
        <f>Parameters!$B$25</f>
        <v/>
      </c>
    </row>
    <row r="77">
      <c r="A77" t="n">
        <v>7.5</v>
      </c>
      <c r="B77">
        <f>IF(A77&gt;162.1,Parameters!$B$5,Parameters!$B$4)</f>
        <v/>
      </c>
      <c r="C77">
        <f>C76-0.1*B77+0</f>
        <v/>
      </c>
      <c r="D77">
        <f>D76-0.1*B77+0</f>
        <v/>
      </c>
      <c r="E77">
        <f>Parameters!$B$25</f>
        <v/>
      </c>
    </row>
    <row r="78">
      <c r="A78" t="n">
        <v>7.6</v>
      </c>
      <c r="B78">
        <f>IF(A78&gt;162.1,Parameters!$B$5,Parameters!$B$4)</f>
        <v/>
      </c>
      <c r="C78">
        <f>C77-0.1*B78+0</f>
        <v/>
      </c>
      <c r="D78">
        <f>D77-0.1*B78+0</f>
        <v/>
      </c>
      <c r="E78">
        <f>Parameters!$B$25</f>
        <v/>
      </c>
    </row>
    <row r="79">
      <c r="A79" t="n">
        <v>7.7</v>
      </c>
      <c r="B79">
        <f>IF(A79&gt;162.1,Parameters!$B$5,Parameters!$B$4)</f>
        <v/>
      </c>
      <c r="C79">
        <f>C78-0.1*B79+0</f>
        <v/>
      </c>
      <c r="D79">
        <f>D78-0.1*B79+0</f>
        <v/>
      </c>
      <c r="E79">
        <f>Parameters!$B$25</f>
        <v/>
      </c>
    </row>
    <row r="80">
      <c r="A80" t="n">
        <v>7.8</v>
      </c>
      <c r="B80">
        <f>IF(A80&gt;162.1,Parameters!$B$5,Parameters!$B$4)</f>
        <v/>
      </c>
      <c r="C80">
        <f>C79-0.1*B80+0</f>
        <v/>
      </c>
      <c r="D80">
        <f>D79-0.1*B80+0</f>
        <v/>
      </c>
      <c r="E80">
        <f>Parameters!$B$25</f>
        <v/>
      </c>
    </row>
    <row r="81">
      <c r="A81" t="n">
        <v>7.9</v>
      </c>
      <c r="B81">
        <f>IF(A81&gt;162.1,Parameters!$B$5,Parameters!$B$4)</f>
        <v/>
      </c>
      <c r="C81">
        <f>C80-0.1*B81+0</f>
        <v/>
      </c>
      <c r="D81">
        <f>D80-0.1*B81+0</f>
        <v/>
      </c>
      <c r="E81">
        <f>Parameters!$B$25</f>
        <v/>
      </c>
    </row>
    <row r="82">
      <c r="A82" t="n">
        <v>8</v>
      </c>
      <c r="B82">
        <f>IF(A82&gt;162.1,Parameters!$B$5,Parameters!$B$4)</f>
        <v/>
      </c>
      <c r="C82">
        <f>C81-0.1*B82+0</f>
        <v/>
      </c>
      <c r="D82">
        <f>D81-0.1*B82+0</f>
        <v/>
      </c>
      <c r="E82">
        <f>Parameters!$B$25</f>
        <v/>
      </c>
    </row>
    <row r="83">
      <c r="A83" t="n">
        <v>8.1</v>
      </c>
      <c r="B83">
        <f>IF(A83&gt;162.1,Parameters!$B$5,Parameters!$B$4)</f>
        <v/>
      </c>
      <c r="C83">
        <f>C82-0.1*B83+0</f>
        <v/>
      </c>
      <c r="D83">
        <f>D82-0.1*B83+0</f>
        <v/>
      </c>
      <c r="E83">
        <f>Parameters!$B$25</f>
        <v/>
      </c>
    </row>
    <row r="84">
      <c r="A84" t="n">
        <v>8.199999999999999</v>
      </c>
      <c r="B84">
        <f>IF(A84&gt;162.1,Parameters!$B$5,Parameters!$B$4)</f>
        <v/>
      </c>
      <c r="C84">
        <f>C83-0.1*B84+0</f>
        <v/>
      </c>
      <c r="D84">
        <f>D83-0.1*B84+0</f>
        <v/>
      </c>
      <c r="E84">
        <f>Parameters!$B$25</f>
        <v/>
      </c>
    </row>
    <row r="85">
      <c r="A85" t="n">
        <v>8.300000000000001</v>
      </c>
      <c r="B85">
        <f>IF(A85&gt;162.1,Parameters!$B$5,Parameters!$B$4)</f>
        <v/>
      </c>
      <c r="C85">
        <f>C84-0.1*B85+0</f>
        <v/>
      </c>
      <c r="D85">
        <f>D84-0.1*B85+0</f>
        <v/>
      </c>
      <c r="E85">
        <f>Parameters!$B$25</f>
        <v/>
      </c>
    </row>
    <row r="86">
      <c r="A86" t="n">
        <v>8.4</v>
      </c>
      <c r="B86">
        <f>IF(A86&gt;162.1,Parameters!$B$5,Parameters!$B$4)</f>
        <v/>
      </c>
      <c r="C86">
        <f>C85-0.1*B86+0</f>
        <v/>
      </c>
      <c r="D86">
        <f>D85-0.1*B86+0</f>
        <v/>
      </c>
      <c r="E86">
        <f>Parameters!$B$25</f>
        <v/>
      </c>
    </row>
    <row r="87">
      <c r="A87" t="n">
        <v>8.5</v>
      </c>
      <c r="B87">
        <f>IF(A87&gt;162.1,Parameters!$B$5,Parameters!$B$4)</f>
        <v/>
      </c>
      <c r="C87">
        <f>C86-0.1*B87+0</f>
        <v/>
      </c>
      <c r="D87">
        <f>D86-0.1*B87+0</f>
        <v/>
      </c>
      <c r="E87">
        <f>Parameters!$B$25</f>
        <v/>
      </c>
    </row>
    <row r="88">
      <c r="A88" t="n">
        <v>8.6</v>
      </c>
      <c r="B88">
        <f>IF(A88&gt;162.1,Parameters!$B$5,Parameters!$B$4)</f>
        <v/>
      </c>
      <c r="C88">
        <f>C87-0.1*B88+0</f>
        <v/>
      </c>
      <c r="D88">
        <f>D87-0.1*B88+0</f>
        <v/>
      </c>
      <c r="E88">
        <f>Parameters!$B$25</f>
        <v/>
      </c>
    </row>
    <row r="89">
      <c r="A89" t="n">
        <v>8.699999999999999</v>
      </c>
      <c r="B89">
        <f>IF(A89&gt;162.1,Parameters!$B$5,Parameters!$B$4)</f>
        <v/>
      </c>
      <c r="C89">
        <f>C88-0.1*B89+0</f>
        <v/>
      </c>
      <c r="D89">
        <f>D88-0.1*B89+0</f>
        <v/>
      </c>
      <c r="E89">
        <f>Parameters!$B$25</f>
        <v/>
      </c>
    </row>
    <row r="90">
      <c r="A90" t="n">
        <v>8.800000000000001</v>
      </c>
      <c r="B90">
        <f>IF(A90&gt;162.1,Parameters!$B$5,Parameters!$B$4)</f>
        <v/>
      </c>
      <c r="C90">
        <f>C89-0.1*B90+0</f>
        <v/>
      </c>
      <c r="D90">
        <f>D89-0.1*B90+0</f>
        <v/>
      </c>
      <c r="E90">
        <f>Parameters!$B$25</f>
        <v/>
      </c>
    </row>
    <row r="91">
      <c r="A91" t="n">
        <v>8.9</v>
      </c>
      <c r="B91">
        <f>IF(A91&gt;162.1,Parameters!$B$5,Parameters!$B$4)</f>
        <v/>
      </c>
      <c r="C91">
        <f>C90-0.1*B91+0</f>
        <v/>
      </c>
      <c r="D91">
        <f>D90-0.1*B91+0</f>
        <v/>
      </c>
      <c r="E91">
        <f>Parameters!$B$25</f>
        <v/>
      </c>
    </row>
    <row r="92">
      <c r="A92" t="n">
        <v>9</v>
      </c>
      <c r="B92">
        <f>IF(A92&gt;162.1,Parameters!$B$5,Parameters!$B$4)</f>
        <v/>
      </c>
      <c r="C92">
        <f>C91-0.1*B92+0</f>
        <v/>
      </c>
      <c r="D92">
        <f>D91-0.1*B92+0</f>
        <v/>
      </c>
      <c r="E92">
        <f>Parameters!$B$25</f>
        <v/>
      </c>
    </row>
    <row r="93">
      <c r="A93" t="n">
        <v>9.1</v>
      </c>
      <c r="B93">
        <f>IF(A93&gt;162.1,Parameters!$B$5,Parameters!$B$4)</f>
        <v/>
      </c>
      <c r="C93">
        <f>C92-0.1*B93+0</f>
        <v/>
      </c>
      <c r="D93">
        <f>D92-0.1*B93+0</f>
        <v/>
      </c>
      <c r="E93">
        <f>Parameters!$B$25</f>
        <v/>
      </c>
    </row>
    <row r="94">
      <c r="A94" t="n">
        <v>9.199999999999999</v>
      </c>
      <c r="B94">
        <f>IF(A94&gt;162.1,Parameters!$B$5,Parameters!$B$4)</f>
        <v/>
      </c>
      <c r="C94">
        <f>C93-0.1*B94+0</f>
        <v/>
      </c>
      <c r="D94">
        <f>D93-0.1*B94+0</f>
        <v/>
      </c>
      <c r="E94">
        <f>Parameters!$B$25</f>
        <v/>
      </c>
    </row>
    <row r="95">
      <c r="A95" t="n">
        <v>9.300000000000001</v>
      </c>
      <c r="B95">
        <f>IF(A95&gt;162.1,Parameters!$B$5,Parameters!$B$4)</f>
        <v/>
      </c>
      <c r="C95">
        <f>C94-0.1*B95+0</f>
        <v/>
      </c>
      <c r="D95">
        <f>D94-0.1*B95+0</f>
        <v/>
      </c>
      <c r="E95">
        <f>Parameters!$B$25</f>
        <v/>
      </c>
    </row>
    <row r="96">
      <c r="A96" t="n">
        <v>9.4</v>
      </c>
      <c r="B96">
        <f>IF(A96&gt;162.1,Parameters!$B$5,Parameters!$B$4)</f>
        <v/>
      </c>
      <c r="C96">
        <f>C95-0.1*B96+0</f>
        <v/>
      </c>
      <c r="D96">
        <f>D95-0.1*B96+0</f>
        <v/>
      </c>
      <c r="E96">
        <f>Parameters!$B$25</f>
        <v/>
      </c>
    </row>
    <row r="97">
      <c r="A97" t="n">
        <v>9.5</v>
      </c>
      <c r="B97">
        <f>IF(A97&gt;162.1,Parameters!$B$5,Parameters!$B$4)</f>
        <v/>
      </c>
      <c r="C97">
        <f>C96-0.1*B97+0</f>
        <v/>
      </c>
      <c r="D97">
        <f>D96-0.1*B97+0</f>
        <v/>
      </c>
      <c r="E97">
        <f>Parameters!$B$25</f>
        <v/>
      </c>
    </row>
    <row r="98">
      <c r="A98" t="n">
        <v>9.6</v>
      </c>
      <c r="B98">
        <f>IF(A98&gt;162.1,Parameters!$B$5,Parameters!$B$4)</f>
        <v/>
      </c>
      <c r="C98">
        <f>C97-0.1*B98+0</f>
        <v/>
      </c>
      <c r="D98">
        <f>D97-0.1*B98+0</f>
        <v/>
      </c>
      <c r="E98">
        <f>Parameters!$B$25</f>
        <v/>
      </c>
    </row>
    <row r="99">
      <c r="A99" t="n">
        <v>9.699999999999999</v>
      </c>
      <c r="B99">
        <f>IF(A99&gt;162.1,Parameters!$B$5,Parameters!$B$4)</f>
        <v/>
      </c>
      <c r="C99">
        <f>C98-0.1*B99+0</f>
        <v/>
      </c>
      <c r="D99">
        <f>D98-0.1*B99+0</f>
        <v/>
      </c>
      <c r="E99">
        <f>Parameters!$B$25</f>
        <v/>
      </c>
    </row>
    <row r="100">
      <c r="A100" t="n">
        <v>9.800000000000001</v>
      </c>
      <c r="B100">
        <f>IF(A100&gt;162.1,Parameters!$B$5,Parameters!$B$4)</f>
        <v/>
      </c>
      <c r="C100">
        <f>C99-0.1*B100+0</f>
        <v/>
      </c>
      <c r="D100">
        <f>D99-0.1*B100+0</f>
        <v/>
      </c>
      <c r="E100">
        <f>Parameters!$B$25</f>
        <v/>
      </c>
    </row>
    <row r="101">
      <c r="A101" t="n">
        <v>9.9</v>
      </c>
      <c r="B101">
        <f>IF(A101&gt;162.1,Parameters!$B$5,Parameters!$B$4)</f>
        <v/>
      </c>
      <c r="C101">
        <f>C100-0.1*B101+0</f>
        <v/>
      </c>
      <c r="D101">
        <f>D100-0.1*B101+0</f>
        <v/>
      </c>
      <c r="E101">
        <f>Parameters!$B$25</f>
        <v/>
      </c>
    </row>
    <row r="102">
      <c r="A102" t="n">
        <v>10</v>
      </c>
      <c r="B102">
        <f>IF(A102&gt;162.1,Parameters!$B$5,Parameters!$B$4)</f>
        <v/>
      </c>
      <c r="C102">
        <f>C101-0.1*B102+0</f>
        <v/>
      </c>
      <c r="D102">
        <f>D101-0.1*B102+0</f>
        <v/>
      </c>
      <c r="E102">
        <f>Parameters!$B$25</f>
        <v/>
      </c>
    </row>
    <row r="103">
      <c r="A103" t="n">
        <v>10.1</v>
      </c>
      <c r="B103">
        <f>IF(A103&gt;162.1,Parameters!$B$5,Parameters!$B$4)</f>
        <v/>
      </c>
      <c r="C103">
        <f>C102-0.1*B103+0</f>
        <v/>
      </c>
      <c r="D103">
        <f>D102-0.1*B103+0</f>
        <v/>
      </c>
      <c r="E103">
        <f>Parameters!$B$25</f>
        <v/>
      </c>
    </row>
    <row r="104">
      <c r="A104" t="n">
        <v>10.2</v>
      </c>
      <c r="B104">
        <f>IF(A104&gt;162.1,Parameters!$B$5,Parameters!$B$4)</f>
        <v/>
      </c>
      <c r="C104">
        <f>C103-0.1*B104+0</f>
        <v/>
      </c>
      <c r="D104">
        <f>D103-0.1*B104+0</f>
        <v/>
      </c>
      <c r="E104">
        <f>Parameters!$B$25</f>
        <v/>
      </c>
    </row>
    <row r="105">
      <c r="A105" t="n">
        <v>10.3</v>
      </c>
      <c r="B105">
        <f>IF(A105&gt;162.1,Parameters!$B$5,Parameters!$B$4)</f>
        <v/>
      </c>
      <c r="C105">
        <f>C104-0.1*B105+0</f>
        <v/>
      </c>
      <c r="D105">
        <f>D104-0.1*B105+0</f>
        <v/>
      </c>
      <c r="E105">
        <f>Parameters!$B$25</f>
        <v/>
      </c>
    </row>
    <row r="106">
      <c r="A106" t="n">
        <v>10.4</v>
      </c>
      <c r="B106">
        <f>IF(A106&gt;162.1,Parameters!$B$5,Parameters!$B$4)</f>
        <v/>
      </c>
      <c r="C106">
        <f>C105-0.1*B106+0</f>
        <v/>
      </c>
      <c r="D106">
        <f>D105-0.1*B106+0</f>
        <v/>
      </c>
      <c r="E106">
        <f>Parameters!$B$25</f>
        <v/>
      </c>
    </row>
    <row r="107">
      <c r="A107" t="n">
        <v>10.5</v>
      </c>
      <c r="B107">
        <f>IF(A107&gt;162.1,Parameters!$B$5,Parameters!$B$4)</f>
        <v/>
      </c>
      <c r="C107">
        <f>C106-0.1*B107+0</f>
        <v/>
      </c>
      <c r="D107">
        <f>D106-0.1*B107+0</f>
        <v/>
      </c>
      <c r="E107">
        <f>Parameters!$B$25</f>
        <v/>
      </c>
    </row>
    <row r="108">
      <c r="A108" t="n">
        <v>10.6</v>
      </c>
      <c r="B108">
        <f>IF(A108&gt;162.1,Parameters!$B$5,Parameters!$B$4)</f>
        <v/>
      </c>
      <c r="C108">
        <f>C107-0.1*B108+0</f>
        <v/>
      </c>
      <c r="D108">
        <f>D107-0.1*B108+0</f>
        <v/>
      </c>
      <c r="E108">
        <f>Parameters!$B$25</f>
        <v/>
      </c>
    </row>
    <row r="109">
      <c r="A109" t="n">
        <v>10.7</v>
      </c>
      <c r="B109">
        <f>IF(A109&gt;162.1,Parameters!$B$5,Parameters!$B$4)</f>
        <v/>
      </c>
      <c r="C109">
        <f>C108-0.1*B109+0</f>
        <v/>
      </c>
      <c r="D109">
        <f>D108-0.1*B109+0</f>
        <v/>
      </c>
      <c r="E109">
        <f>Parameters!$B$25</f>
        <v/>
      </c>
    </row>
    <row r="110">
      <c r="A110" t="n">
        <v>10.8</v>
      </c>
      <c r="B110">
        <f>IF(A110&gt;162.1,Parameters!$B$5,Parameters!$B$4)</f>
        <v/>
      </c>
      <c r="C110">
        <f>C109-0.1*B110+0</f>
        <v/>
      </c>
      <c r="D110">
        <f>D109-0.1*B110+0</f>
        <v/>
      </c>
      <c r="E110">
        <f>Parameters!$B$25</f>
        <v/>
      </c>
    </row>
    <row r="111">
      <c r="A111" t="n">
        <v>10.9</v>
      </c>
      <c r="B111">
        <f>IF(A111&gt;162.1,Parameters!$B$5,Parameters!$B$4)</f>
        <v/>
      </c>
      <c r="C111">
        <f>C110-0.1*B111+0</f>
        <v/>
      </c>
      <c r="D111">
        <f>D110-0.1*B111+0</f>
        <v/>
      </c>
      <c r="E111">
        <f>Parameters!$B$25</f>
        <v/>
      </c>
    </row>
    <row r="112">
      <c r="A112" t="n">
        <v>11</v>
      </c>
      <c r="B112">
        <f>IF(A112&gt;162.1,Parameters!$B$5,Parameters!$B$4)</f>
        <v/>
      </c>
      <c r="C112">
        <f>C111-0.1*B112+0</f>
        <v/>
      </c>
      <c r="D112">
        <f>D111-0.1*B112+0</f>
        <v/>
      </c>
      <c r="E112">
        <f>Parameters!$B$25</f>
        <v/>
      </c>
    </row>
    <row r="113">
      <c r="A113" t="n">
        <v>11.1</v>
      </c>
      <c r="B113">
        <f>IF(A113&gt;162.1,Parameters!$B$5,Parameters!$B$4)</f>
        <v/>
      </c>
      <c r="C113">
        <f>C112-0.1*B113+0</f>
        <v/>
      </c>
      <c r="D113">
        <f>D112-0.1*B113+0</f>
        <v/>
      </c>
      <c r="E113">
        <f>Parameters!$B$25</f>
        <v/>
      </c>
    </row>
    <row r="114">
      <c r="A114" t="n">
        <v>11.2</v>
      </c>
      <c r="B114">
        <f>IF(A114&gt;162.1,Parameters!$B$5,Parameters!$B$4)</f>
        <v/>
      </c>
      <c r="C114">
        <f>C113-0.1*B114+0</f>
        <v/>
      </c>
      <c r="D114">
        <f>D113-0.1*B114+0</f>
        <v/>
      </c>
      <c r="E114">
        <f>Parameters!$B$25</f>
        <v/>
      </c>
    </row>
    <row r="115">
      <c r="A115" t="n">
        <v>11.3</v>
      </c>
      <c r="B115">
        <f>IF(A115&gt;162.1,Parameters!$B$5,Parameters!$B$4)</f>
        <v/>
      </c>
      <c r="C115">
        <f>C114-0.1*B115+0</f>
        <v/>
      </c>
      <c r="D115">
        <f>D114-0.1*B115+0</f>
        <v/>
      </c>
      <c r="E115">
        <f>Parameters!$B$25</f>
        <v/>
      </c>
    </row>
    <row r="116">
      <c r="A116" t="n">
        <v>11.4</v>
      </c>
      <c r="B116">
        <f>IF(A116&gt;162.1,Parameters!$B$5,Parameters!$B$4)</f>
        <v/>
      </c>
      <c r="C116">
        <f>C115-0.1*B116+0</f>
        <v/>
      </c>
      <c r="D116">
        <f>D115-0.1*B116+0</f>
        <v/>
      </c>
      <c r="E116">
        <f>Parameters!$B$25</f>
        <v/>
      </c>
    </row>
    <row r="117">
      <c r="A117" t="n">
        <v>11.5</v>
      </c>
      <c r="B117">
        <f>IF(A117&gt;162.1,Parameters!$B$5,Parameters!$B$4)</f>
        <v/>
      </c>
      <c r="C117">
        <f>C116-0.1*B117+0</f>
        <v/>
      </c>
      <c r="D117">
        <f>D116-0.1*B117+0</f>
        <v/>
      </c>
      <c r="E117">
        <f>Parameters!$B$25</f>
        <v/>
      </c>
    </row>
    <row r="118">
      <c r="A118" t="n">
        <v>11.6</v>
      </c>
      <c r="B118">
        <f>IF(A118&gt;162.1,Parameters!$B$5,Parameters!$B$4)</f>
        <v/>
      </c>
      <c r="C118">
        <f>C117-0.1*B118+0</f>
        <v/>
      </c>
      <c r="D118">
        <f>D117-0.1*B118+0</f>
        <v/>
      </c>
      <c r="E118">
        <f>Parameters!$B$25</f>
        <v/>
      </c>
    </row>
    <row r="119">
      <c r="A119" t="n">
        <v>11.7</v>
      </c>
      <c r="B119">
        <f>IF(A119&gt;162.1,Parameters!$B$5,Parameters!$B$4)</f>
        <v/>
      </c>
      <c r="C119">
        <f>C118-0.1*B119+0</f>
        <v/>
      </c>
      <c r="D119">
        <f>D118-0.1*B119+0</f>
        <v/>
      </c>
      <c r="E119">
        <f>Parameters!$B$25</f>
        <v/>
      </c>
    </row>
    <row r="120">
      <c r="A120" t="n">
        <v>11.8</v>
      </c>
      <c r="B120">
        <f>IF(A120&gt;162.1,Parameters!$B$5,Parameters!$B$4)</f>
        <v/>
      </c>
      <c r="C120">
        <f>C119-0.1*B120+0</f>
        <v/>
      </c>
      <c r="D120">
        <f>D119-0.1*B120+0</f>
        <v/>
      </c>
      <c r="E120">
        <f>Parameters!$B$25</f>
        <v/>
      </c>
    </row>
    <row r="121">
      <c r="A121" t="n">
        <v>11.9</v>
      </c>
      <c r="B121">
        <f>IF(A121&gt;162.1,Parameters!$B$5,Parameters!$B$4)</f>
        <v/>
      </c>
      <c r="C121">
        <f>C120-0.1*B121+0</f>
        <v/>
      </c>
      <c r="D121">
        <f>D120-0.1*B121+0</f>
        <v/>
      </c>
      <c r="E121">
        <f>Parameters!$B$25</f>
        <v/>
      </c>
    </row>
    <row r="122">
      <c r="A122" t="n">
        <v>12</v>
      </c>
      <c r="B122">
        <f>IF(A122&gt;162.1,Parameters!$B$5,Parameters!$B$4)</f>
        <v/>
      </c>
      <c r="C122">
        <f>C121-0.1*B122+0</f>
        <v/>
      </c>
      <c r="D122">
        <f>D121-0.1*B122+0</f>
        <v/>
      </c>
      <c r="E122">
        <f>Parameters!$B$25</f>
        <v/>
      </c>
    </row>
    <row r="123">
      <c r="A123" t="n">
        <v>12.1</v>
      </c>
      <c r="B123">
        <f>IF(A123&gt;162.1,Parameters!$B$5,Parameters!$B$4)</f>
        <v/>
      </c>
      <c r="C123">
        <f>C122-0.1*B123+0</f>
        <v/>
      </c>
      <c r="D123">
        <f>D122-0.1*B123+0</f>
        <v/>
      </c>
      <c r="E123">
        <f>Parameters!$B$25</f>
        <v/>
      </c>
    </row>
    <row r="124">
      <c r="A124" t="n">
        <v>12.2</v>
      </c>
      <c r="B124">
        <f>IF(A124&gt;162.1,Parameters!$B$5,Parameters!$B$4)</f>
        <v/>
      </c>
      <c r="C124">
        <f>C123-0.1*B124+0</f>
        <v/>
      </c>
      <c r="D124">
        <f>D123-0.1*B124+0</f>
        <v/>
      </c>
      <c r="E124">
        <f>Parameters!$B$25</f>
        <v/>
      </c>
    </row>
    <row r="125">
      <c r="A125" t="n">
        <v>12.3</v>
      </c>
      <c r="B125">
        <f>IF(A125&gt;162.1,Parameters!$B$5,Parameters!$B$4)</f>
        <v/>
      </c>
      <c r="C125">
        <f>C124-0.1*B125+0</f>
        <v/>
      </c>
      <c r="D125">
        <f>D124-0.1*B125+0</f>
        <v/>
      </c>
      <c r="E125">
        <f>Parameters!$B$25</f>
        <v/>
      </c>
    </row>
    <row r="126">
      <c r="A126" t="n">
        <v>12.4</v>
      </c>
      <c r="B126">
        <f>IF(A126&gt;162.1,Parameters!$B$5,Parameters!$B$4)</f>
        <v/>
      </c>
      <c r="C126">
        <f>C125-0.1*B126+0</f>
        <v/>
      </c>
      <c r="D126">
        <f>D125-0.1*B126+0</f>
        <v/>
      </c>
      <c r="E126">
        <f>Parameters!$B$25</f>
        <v/>
      </c>
    </row>
    <row r="127">
      <c r="A127" t="n">
        <v>12.5</v>
      </c>
      <c r="B127">
        <f>IF(A127&gt;162.1,Parameters!$B$5,Parameters!$B$4)</f>
        <v/>
      </c>
      <c r="C127">
        <f>C126-0.1*B127+0</f>
        <v/>
      </c>
      <c r="D127">
        <f>D126-0.1*B127+0</f>
        <v/>
      </c>
      <c r="E127">
        <f>Parameters!$B$25</f>
        <v/>
      </c>
    </row>
    <row r="128">
      <c r="A128" t="n">
        <v>12.6</v>
      </c>
      <c r="B128">
        <f>IF(A128&gt;162.1,Parameters!$B$5,Parameters!$B$4)</f>
        <v/>
      </c>
      <c r="C128">
        <f>C127-0.1*B128+0</f>
        <v/>
      </c>
      <c r="D128">
        <f>D127-0.1*B128+0</f>
        <v/>
      </c>
      <c r="E128">
        <f>Parameters!$B$25</f>
        <v/>
      </c>
    </row>
    <row r="129">
      <c r="A129" t="n">
        <v>12.7</v>
      </c>
      <c r="B129">
        <f>IF(A129&gt;162.1,Parameters!$B$5,Parameters!$B$4)</f>
        <v/>
      </c>
      <c r="C129">
        <f>C128-0.1*B129+0</f>
        <v/>
      </c>
      <c r="D129">
        <f>D128-0.1*B129+0</f>
        <v/>
      </c>
      <c r="E129">
        <f>Parameters!$B$25</f>
        <v/>
      </c>
    </row>
    <row r="130">
      <c r="A130" t="n">
        <v>12.8</v>
      </c>
      <c r="B130">
        <f>IF(A130&gt;162.1,Parameters!$B$5,Parameters!$B$4)</f>
        <v/>
      </c>
      <c r="C130">
        <f>C129-0.1*B130+0</f>
        <v/>
      </c>
      <c r="D130">
        <f>D129-0.1*B130+0</f>
        <v/>
      </c>
      <c r="E130">
        <f>Parameters!$B$25</f>
        <v/>
      </c>
    </row>
    <row r="131">
      <c r="A131" t="n">
        <v>12.9</v>
      </c>
      <c r="B131">
        <f>IF(A131&gt;162.1,Parameters!$B$5,Parameters!$B$4)</f>
        <v/>
      </c>
      <c r="C131">
        <f>C130-0.1*B131+0</f>
        <v/>
      </c>
      <c r="D131">
        <f>D130-0.1*B131+0</f>
        <v/>
      </c>
      <c r="E131">
        <f>Parameters!$B$25</f>
        <v/>
      </c>
    </row>
    <row r="132">
      <c r="A132" t="n">
        <v>13</v>
      </c>
      <c r="B132">
        <f>IF(A132&gt;162.1,Parameters!$B$5,Parameters!$B$4)</f>
        <v/>
      </c>
      <c r="C132">
        <f>C131-0.1*B132+0</f>
        <v/>
      </c>
      <c r="D132">
        <f>D131-0.1*B132+0</f>
        <v/>
      </c>
      <c r="E132">
        <f>Parameters!$B$25</f>
        <v/>
      </c>
    </row>
    <row r="133">
      <c r="A133" t="n">
        <v>13.1</v>
      </c>
      <c r="B133">
        <f>IF(A133&gt;162.1,Parameters!$B$5,Parameters!$B$4)</f>
        <v/>
      </c>
      <c r="C133">
        <f>C132-0.1*B133+0</f>
        <v/>
      </c>
      <c r="D133">
        <f>D132-0.1*B133+0</f>
        <v/>
      </c>
      <c r="E133">
        <f>Parameters!$B$25</f>
        <v/>
      </c>
    </row>
    <row r="134">
      <c r="A134" t="n">
        <v>13.2</v>
      </c>
      <c r="B134">
        <f>IF(A134&gt;162.1,Parameters!$B$5,Parameters!$B$4)</f>
        <v/>
      </c>
      <c r="C134">
        <f>C133-0.1*B134+0</f>
        <v/>
      </c>
      <c r="D134">
        <f>D133-0.1*B134+0</f>
        <v/>
      </c>
      <c r="E134">
        <f>Parameters!$B$25</f>
        <v/>
      </c>
    </row>
    <row r="135">
      <c r="A135" t="n">
        <v>13.3</v>
      </c>
      <c r="B135">
        <f>IF(A135&gt;162.1,Parameters!$B$5,Parameters!$B$4)</f>
        <v/>
      </c>
      <c r="C135">
        <f>C134-0.1*B135+0</f>
        <v/>
      </c>
      <c r="D135">
        <f>D134-0.1*B135+0</f>
        <v/>
      </c>
      <c r="E135">
        <f>Parameters!$B$25</f>
        <v/>
      </c>
    </row>
    <row r="136">
      <c r="A136" t="n">
        <v>13.4</v>
      </c>
      <c r="B136">
        <f>IF(A136&gt;162.1,Parameters!$B$5,Parameters!$B$4)</f>
        <v/>
      </c>
      <c r="C136">
        <f>C135-0.1*B136+0</f>
        <v/>
      </c>
      <c r="D136">
        <f>D135-0.1*B136+0</f>
        <v/>
      </c>
      <c r="E136">
        <f>Parameters!$B$25</f>
        <v/>
      </c>
    </row>
    <row r="137">
      <c r="A137" t="n">
        <v>13.5</v>
      </c>
      <c r="B137">
        <f>IF(A137&gt;162.1,Parameters!$B$5,Parameters!$B$4)</f>
        <v/>
      </c>
      <c r="C137">
        <f>C136-0.1*B137+0</f>
        <v/>
      </c>
      <c r="D137">
        <f>D136-0.1*B137+0</f>
        <v/>
      </c>
      <c r="E137">
        <f>Parameters!$B$25</f>
        <v/>
      </c>
    </row>
    <row r="138">
      <c r="A138" t="n">
        <v>13.6</v>
      </c>
      <c r="B138">
        <f>IF(A138&gt;162.1,Parameters!$B$5,Parameters!$B$4)</f>
        <v/>
      </c>
      <c r="C138">
        <f>C137-0.1*B138+0</f>
        <v/>
      </c>
      <c r="D138">
        <f>D137-0.1*B138+0</f>
        <v/>
      </c>
      <c r="E138">
        <f>Parameters!$B$25</f>
        <v/>
      </c>
    </row>
    <row r="139">
      <c r="A139" t="n">
        <v>13.7</v>
      </c>
      <c r="B139">
        <f>IF(A139&gt;162.1,Parameters!$B$5,Parameters!$B$4)</f>
        <v/>
      </c>
      <c r="C139">
        <f>C138-0.1*B139+0</f>
        <v/>
      </c>
      <c r="D139">
        <f>D138-0.1*B139+0</f>
        <v/>
      </c>
      <c r="E139">
        <f>Parameters!$B$25</f>
        <v/>
      </c>
    </row>
    <row r="140">
      <c r="A140" t="n">
        <v>13.8</v>
      </c>
      <c r="B140">
        <f>IF(A140&gt;162.1,Parameters!$B$5,Parameters!$B$4)</f>
        <v/>
      </c>
      <c r="C140">
        <f>C139-0.1*B140+0</f>
        <v/>
      </c>
      <c r="D140">
        <f>D139-0.1*B140+0</f>
        <v/>
      </c>
      <c r="E140">
        <f>Parameters!$B$25</f>
        <v/>
      </c>
    </row>
    <row r="141">
      <c r="A141" t="n">
        <v>13.9</v>
      </c>
      <c r="B141">
        <f>IF(A141&gt;162.1,Parameters!$B$5,Parameters!$B$4)</f>
        <v/>
      </c>
      <c r="C141">
        <f>C140-0.1*B141+0</f>
        <v/>
      </c>
      <c r="D141">
        <f>D140-0.1*B141+0</f>
        <v/>
      </c>
      <c r="E141">
        <f>Parameters!$B$25</f>
        <v/>
      </c>
    </row>
    <row r="142">
      <c r="A142" t="n">
        <v>14</v>
      </c>
      <c r="B142">
        <f>IF(A142&gt;162.1,Parameters!$B$5,Parameters!$B$4)</f>
        <v/>
      </c>
      <c r="C142">
        <f>C141-0.1*B142+0</f>
        <v/>
      </c>
      <c r="D142">
        <f>D141-0.1*B142+0</f>
        <v/>
      </c>
      <c r="E142">
        <f>Parameters!$B$25</f>
        <v/>
      </c>
    </row>
    <row r="143">
      <c r="A143" t="n">
        <v>14.1</v>
      </c>
      <c r="B143">
        <f>IF(A143&gt;162.1,Parameters!$B$5,Parameters!$B$4)</f>
        <v/>
      </c>
      <c r="C143">
        <f>C142-0.1*B143+0</f>
        <v/>
      </c>
      <c r="D143">
        <f>D142-0.1*B143+0</f>
        <v/>
      </c>
      <c r="E143">
        <f>Parameters!$B$25</f>
        <v/>
      </c>
    </row>
    <row r="144">
      <c r="A144" t="n">
        <v>14.2</v>
      </c>
      <c r="B144">
        <f>IF(A144&gt;162.1,Parameters!$B$5,Parameters!$B$4)</f>
        <v/>
      </c>
      <c r="C144">
        <f>C143-0.1*B144+0</f>
        <v/>
      </c>
      <c r="D144">
        <f>D143-0.1*B144+0</f>
        <v/>
      </c>
      <c r="E144">
        <f>Parameters!$B$25</f>
        <v/>
      </c>
    </row>
    <row r="145">
      <c r="A145" t="n">
        <v>14.3</v>
      </c>
      <c r="B145">
        <f>IF(A145&gt;162.1,Parameters!$B$5,Parameters!$B$4)</f>
        <v/>
      </c>
      <c r="C145">
        <f>C144-0.1*B145+0</f>
        <v/>
      </c>
      <c r="D145">
        <f>D144-0.1*B145+0</f>
        <v/>
      </c>
      <c r="E145">
        <f>Parameters!$B$25</f>
        <v/>
      </c>
    </row>
    <row r="146">
      <c r="A146" t="n">
        <v>14.4</v>
      </c>
      <c r="B146">
        <f>IF(A146&gt;162.1,Parameters!$B$5,Parameters!$B$4)</f>
        <v/>
      </c>
      <c r="C146">
        <f>C145-0.1*B146+0</f>
        <v/>
      </c>
      <c r="D146">
        <f>D145-0.1*B146+0</f>
        <v/>
      </c>
      <c r="E146">
        <f>Parameters!$B$25</f>
        <v/>
      </c>
    </row>
    <row r="147">
      <c r="A147" t="n">
        <v>14.5</v>
      </c>
      <c r="B147">
        <f>IF(A147&gt;162.1,Parameters!$B$5,Parameters!$B$4)</f>
        <v/>
      </c>
      <c r="C147">
        <f>C146-0.1*B147+0</f>
        <v/>
      </c>
      <c r="D147">
        <f>D146-0.1*B147+0</f>
        <v/>
      </c>
      <c r="E147">
        <f>Parameters!$B$25</f>
        <v/>
      </c>
    </row>
    <row r="148">
      <c r="A148" t="n">
        <v>14.6</v>
      </c>
      <c r="B148">
        <f>IF(A148&gt;162.1,Parameters!$B$5,Parameters!$B$4)</f>
        <v/>
      </c>
      <c r="C148">
        <f>C147-0.1*B148+0</f>
        <v/>
      </c>
      <c r="D148">
        <f>D147-0.1*B148+0</f>
        <v/>
      </c>
      <c r="E148">
        <f>Parameters!$B$25</f>
        <v/>
      </c>
    </row>
    <row r="149">
      <c r="A149" t="n">
        <v>14.7</v>
      </c>
      <c r="B149">
        <f>IF(A149&gt;162.1,Parameters!$B$5,Parameters!$B$4)</f>
        <v/>
      </c>
      <c r="C149">
        <f>C148-0.1*B149+0</f>
        <v/>
      </c>
      <c r="D149">
        <f>D148-0.1*B149+0</f>
        <v/>
      </c>
      <c r="E149">
        <f>Parameters!$B$25</f>
        <v/>
      </c>
    </row>
    <row r="150">
      <c r="A150" t="n">
        <v>14.8</v>
      </c>
      <c r="B150">
        <f>IF(A150&gt;162.1,Parameters!$B$5,Parameters!$B$4)</f>
        <v/>
      </c>
      <c r="C150">
        <f>C149-0.1*B150+0</f>
        <v/>
      </c>
      <c r="D150">
        <f>D149-0.1*B150+0</f>
        <v/>
      </c>
      <c r="E150">
        <f>Parameters!$B$25</f>
        <v/>
      </c>
    </row>
    <row r="151">
      <c r="A151" t="n">
        <v>14.9</v>
      </c>
      <c r="B151">
        <f>IF(A151&gt;162.1,Parameters!$B$5,Parameters!$B$4)</f>
        <v/>
      </c>
      <c r="C151">
        <f>C150-0.1*B151+0</f>
        <v/>
      </c>
      <c r="D151">
        <f>D150-0.1*B151+0</f>
        <v/>
      </c>
      <c r="E151">
        <f>Parameters!$B$25</f>
        <v/>
      </c>
    </row>
    <row r="152">
      <c r="A152" t="n">
        <v>15</v>
      </c>
      <c r="B152">
        <f>IF(A152&gt;162.1,Parameters!$B$5,Parameters!$B$4)</f>
        <v/>
      </c>
      <c r="C152">
        <f>C151-0.1*B152+0</f>
        <v/>
      </c>
      <c r="D152">
        <f>D151-0.1*B152+0</f>
        <v/>
      </c>
      <c r="E152">
        <f>Parameters!$B$25</f>
        <v/>
      </c>
    </row>
    <row r="153">
      <c r="A153" t="n">
        <v>15.1</v>
      </c>
      <c r="B153">
        <f>IF(A153&gt;162.1,Parameters!$B$5,Parameters!$B$4)</f>
        <v/>
      </c>
      <c r="C153">
        <f>C152-0.1*B153+0</f>
        <v/>
      </c>
      <c r="D153">
        <f>D152-0.1*B153+0</f>
        <v/>
      </c>
      <c r="E153">
        <f>Parameters!$B$25</f>
        <v/>
      </c>
    </row>
    <row r="154">
      <c r="A154" t="n">
        <v>15.2</v>
      </c>
      <c r="B154">
        <f>IF(A154&gt;162.1,Parameters!$B$5,Parameters!$B$4)</f>
        <v/>
      </c>
      <c r="C154">
        <f>C153-0.1*B154+0</f>
        <v/>
      </c>
      <c r="D154">
        <f>D153-0.1*B154+0</f>
        <v/>
      </c>
      <c r="E154">
        <f>Parameters!$B$25</f>
        <v/>
      </c>
    </row>
    <row r="155">
      <c r="A155" t="n">
        <v>15.3</v>
      </c>
      <c r="B155">
        <f>IF(A155&gt;162.1,Parameters!$B$5,Parameters!$B$4)</f>
        <v/>
      </c>
      <c r="C155">
        <f>C154-0.1*B155+0</f>
        <v/>
      </c>
      <c r="D155">
        <f>D154-0.1*B155+0</f>
        <v/>
      </c>
      <c r="E155">
        <f>Parameters!$B$25</f>
        <v/>
      </c>
    </row>
    <row r="156">
      <c r="A156" t="n">
        <v>15.4</v>
      </c>
      <c r="B156">
        <f>IF(A156&gt;162.1,Parameters!$B$5,Parameters!$B$4)</f>
        <v/>
      </c>
      <c r="C156">
        <f>C155-0.1*B156+0</f>
        <v/>
      </c>
      <c r="D156">
        <f>D155-0.1*B156+0</f>
        <v/>
      </c>
      <c r="E156">
        <f>Parameters!$B$25</f>
        <v/>
      </c>
    </row>
    <row r="157">
      <c r="A157" t="n">
        <v>15.5</v>
      </c>
      <c r="B157">
        <f>IF(A157&gt;162.1,Parameters!$B$5,Parameters!$B$4)</f>
        <v/>
      </c>
      <c r="C157">
        <f>C156-0.1*B157+0</f>
        <v/>
      </c>
      <c r="D157">
        <f>D156-0.1*B157+0</f>
        <v/>
      </c>
      <c r="E157">
        <f>Parameters!$B$25</f>
        <v/>
      </c>
    </row>
    <row r="158">
      <c r="A158" t="n">
        <v>15.6</v>
      </c>
      <c r="B158">
        <f>IF(A158&gt;162.1,Parameters!$B$5,Parameters!$B$4)</f>
        <v/>
      </c>
      <c r="C158">
        <f>C157-0.1*B158+0</f>
        <v/>
      </c>
      <c r="D158">
        <f>D157-0.1*B158+0</f>
        <v/>
      </c>
      <c r="E158">
        <f>Parameters!$B$25</f>
        <v/>
      </c>
    </row>
    <row r="159">
      <c r="A159" t="n">
        <v>15.7</v>
      </c>
      <c r="B159">
        <f>IF(A159&gt;162.1,Parameters!$B$5,Parameters!$B$4)</f>
        <v/>
      </c>
      <c r="C159">
        <f>C158-0.1*B159+0</f>
        <v/>
      </c>
      <c r="D159">
        <f>D158-0.1*B159+0</f>
        <v/>
      </c>
      <c r="E159">
        <f>Parameters!$B$25</f>
        <v/>
      </c>
    </row>
    <row r="160">
      <c r="A160" t="n">
        <v>15.8</v>
      </c>
      <c r="B160">
        <f>IF(A160&gt;162.1,Parameters!$B$5,Parameters!$B$4)</f>
        <v/>
      </c>
      <c r="C160">
        <f>C159-0.1*B160+0</f>
        <v/>
      </c>
      <c r="D160">
        <f>D159-0.1*B160+0</f>
        <v/>
      </c>
      <c r="E160">
        <f>Parameters!$B$25</f>
        <v/>
      </c>
    </row>
    <row r="161">
      <c r="A161" t="n">
        <v>15.9</v>
      </c>
      <c r="B161">
        <f>IF(A161&gt;162.1,Parameters!$B$5,Parameters!$B$4)</f>
        <v/>
      </c>
      <c r="C161">
        <f>C160-0.1*B161+0</f>
        <v/>
      </c>
      <c r="D161">
        <f>D160-0.1*B161+0</f>
        <v/>
      </c>
      <c r="E161">
        <f>Parameters!$B$25</f>
        <v/>
      </c>
    </row>
    <row r="162">
      <c r="A162" t="n">
        <v>16</v>
      </c>
      <c r="B162">
        <f>IF(A162&gt;162.1,Parameters!$B$5,Parameters!$B$4)</f>
        <v/>
      </c>
      <c r="C162">
        <f>C161-0.1*B162+0</f>
        <v/>
      </c>
      <c r="D162">
        <f>D161-0.1*B162+0</f>
        <v/>
      </c>
      <c r="E162">
        <f>Parameters!$B$25</f>
        <v/>
      </c>
    </row>
    <row r="163">
      <c r="A163" t="n">
        <v>16.1</v>
      </c>
      <c r="B163">
        <f>IF(A163&gt;162.1,Parameters!$B$5,Parameters!$B$4)</f>
        <v/>
      </c>
      <c r="C163">
        <f>C162-0.1*B163+0</f>
        <v/>
      </c>
      <c r="D163">
        <f>D162-0.1*B163+0</f>
        <v/>
      </c>
      <c r="E163">
        <f>Parameters!$B$25</f>
        <v/>
      </c>
    </row>
    <row r="164">
      <c r="A164" t="n">
        <v>16.2</v>
      </c>
      <c r="B164">
        <f>IF(A164&gt;162.1,Parameters!$B$5,Parameters!$B$4)</f>
        <v/>
      </c>
      <c r="C164">
        <f>C163-0.1*B164+0</f>
        <v/>
      </c>
      <c r="D164">
        <f>D163-0.1*B164+0</f>
        <v/>
      </c>
      <c r="E164">
        <f>Parameters!$B$25</f>
        <v/>
      </c>
    </row>
    <row r="165">
      <c r="A165" t="n">
        <v>16.3</v>
      </c>
      <c r="B165">
        <f>IF(A165&gt;162.1,Parameters!$B$5,Parameters!$B$4)</f>
        <v/>
      </c>
      <c r="C165">
        <f>C164-0.1*B165+0</f>
        <v/>
      </c>
      <c r="D165">
        <f>D164-0.1*B165+0</f>
        <v/>
      </c>
      <c r="E165">
        <f>Parameters!$B$25</f>
        <v/>
      </c>
    </row>
    <row r="166">
      <c r="A166" t="n">
        <v>16.4</v>
      </c>
      <c r="B166">
        <f>IF(A166&gt;162.1,Parameters!$B$5,Parameters!$B$4)</f>
        <v/>
      </c>
      <c r="C166">
        <f>C165-0.1*B166+0</f>
        <v/>
      </c>
      <c r="D166">
        <f>D165-0.1*B166+0</f>
        <v/>
      </c>
      <c r="E166">
        <f>Parameters!$B$25</f>
        <v/>
      </c>
    </row>
    <row r="167">
      <c r="A167" t="n">
        <v>16.5</v>
      </c>
      <c r="B167">
        <f>IF(A167&gt;162.1,Parameters!$B$5,Parameters!$B$4)</f>
        <v/>
      </c>
      <c r="C167">
        <f>C166-0.1*B167+0</f>
        <v/>
      </c>
      <c r="D167">
        <f>D166-0.1*B167+0</f>
        <v/>
      </c>
      <c r="E167">
        <f>Parameters!$B$25</f>
        <v/>
      </c>
    </row>
    <row r="168">
      <c r="A168" t="n">
        <v>16.6</v>
      </c>
      <c r="B168">
        <f>IF(A168&gt;162.1,Parameters!$B$5,Parameters!$B$4)</f>
        <v/>
      </c>
      <c r="C168">
        <f>C167-0.1*B168+0</f>
        <v/>
      </c>
      <c r="D168">
        <f>D167-0.1*B168+0</f>
        <v/>
      </c>
      <c r="E168">
        <f>Parameters!$B$25</f>
        <v/>
      </c>
    </row>
    <row r="169">
      <c r="A169" t="n">
        <v>16.7</v>
      </c>
      <c r="B169">
        <f>IF(A169&gt;162.1,Parameters!$B$5,Parameters!$B$4)</f>
        <v/>
      </c>
      <c r="C169">
        <f>C168-0.1*B169+0</f>
        <v/>
      </c>
      <c r="D169">
        <f>D168-0.1*B169+0</f>
        <v/>
      </c>
      <c r="E169">
        <f>Parameters!$B$25</f>
        <v/>
      </c>
    </row>
    <row r="170">
      <c r="A170" t="n">
        <v>16.8</v>
      </c>
      <c r="B170">
        <f>IF(A170&gt;162.1,Parameters!$B$5,Parameters!$B$4)</f>
        <v/>
      </c>
      <c r="C170">
        <f>C169-0.1*B170+0</f>
        <v/>
      </c>
      <c r="D170">
        <f>D169-0.1*B170+0</f>
        <v/>
      </c>
      <c r="E170">
        <f>Parameters!$B$25</f>
        <v/>
      </c>
    </row>
    <row r="171">
      <c r="A171" t="n">
        <v>16.9</v>
      </c>
      <c r="B171">
        <f>IF(A171&gt;162.1,Parameters!$B$5,Parameters!$B$4)</f>
        <v/>
      </c>
      <c r="C171">
        <f>C170-0.1*B171+0</f>
        <v/>
      </c>
      <c r="D171">
        <f>D170-0.1*B171+0</f>
        <v/>
      </c>
      <c r="E171">
        <f>Parameters!$B$25</f>
        <v/>
      </c>
    </row>
    <row r="172">
      <c r="A172" t="n">
        <v>17</v>
      </c>
      <c r="B172">
        <f>IF(A172&gt;162.1,Parameters!$B$5,Parameters!$B$4)</f>
        <v/>
      </c>
      <c r="C172">
        <f>C171-0.1*B172+0</f>
        <v/>
      </c>
      <c r="D172">
        <f>D171-0.1*B172+0</f>
        <v/>
      </c>
      <c r="E172">
        <f>Parameters!$B$25</f>
        <v/>
      </c>
    </row>
    <row r="173">
      <c r="A173" t="n">
        <v>17.1</v>
      </c>
      <c r="B173">
        <f>IF(A173&gt;162.1,Parameters!$B$5,Parameters!$B$4)</f>
        <v/>
      </c>
      <c r="C173">
        <f>C172-0.1*B173+0</f>
        <v/>
      </c>
      <c r="D173">
        <f>D172-0.1*B173+0</f>
        <v/>
      </c>
      <c r="E173">
        <f>Parameters!$B$25</f>
        <v/>
      </c>
    </row>
    <row r="174">
      <c r="A174" t="n">
        <v>17.2</v>
      </c>
      <c r="B174">
        <f>IF(A174&gt;162.1,Parameters!$B$5,Parameters!$B$4)</f>
        <v/>
      </c>
      <c r="C174">
        <f>C173-0.1*B174+0</f>
        <v/>
      </c>
      <c r="D174">
        <f>D173-0.1*B174+0</f>
        <v/>
      </c>
      <c r="E174">
        <f>Parameters!$B$25</f>
        <v/>
      </c>
    </row>
    <row r="175">
      <c r="A175" t="n">
        <v>17.3</v>
      </c>
      <c r="B175">
        <f>IF(A175&gt;162.1,Parameters!$B$5,Parameters!$B$4)</f>
        <v/>
      </c>
      <c r="C175">
        <f>C174-0.1*B175+0</f>
        <v/>
      </c>
      <c r="D175">
        <f>D174-0.1*B175+0</f>
        <v/>
      </c>
      <c r="E175">
        <f>Parameters!$B$25</f>
        <v/>
      </c>
    </row>
    <row r="176">
      <c r="A176" t="n">
        <v>17.4</v>
      </c>
      <c r="B176">
        <f>IF(A176&gt;162.1,Parameters!$B$5,Parameters!$B$4)</f>
        <v/>
      </c>
      <c r="C176">
        <f>C175-0.1*B176+0</f>
        <v/>
      </c>
      <c r="D176">
        <f>D175-0.1*B176+0</f>
        <v/>
      </c>
      <c r="E176">
        <f>Parameters!$B$25</f>
        <v/>
      </c>
    </row>
    <row r="177">
      <c r="A177" t="n">
        <v>17.5</v>
      </c>
      <c r="B177">
        <f>IF(A177&gt;162.1,Parameters!$B$5,Parameters!$B$4)</f>
        <v/>
      </c>
      <c r="C177">
        <f>C176-0.1*B177+0</f>
        <v/>
      </c>
      <c r="D177">
        <f>D176-0.1*B177+0</f>
        <v/>
      </c>
      <c r="E177">
        <f>Parameters!$B$25</f>
        <v/>
      </c>
    </row>
    <row r="178">
      <c r="A178" t="n">
        <v>17.6</v>
      </c>
      <c r="B178">
        <f>IF(A178&gt;162.1,Parameters!$B$5,Parameters!$B$4)</f>
        <v/>
      </c>
      <c r="C178">
        <f>C177-0.1*B178+0</f>
        <v/>
      </c>
      <c r="D178">
        <f>D177-0.1*B178+0</f>
        <v/>
      </c>
      <c r="E178">
        <f>Parameters!$B$25</f>
        <v/>
      </c>
    </row>
    <row r="179">
      <c r="A179" t="n">
        <v>17.7</v>
      </c>
      <c r="B179">
        <f>IF(A179&gt;162.1,Parameters!$B$5,Parameters!$B$4)</f>
        <v/>
      </c>
      <c r="C179">
        <f>C178-0.1*B179+0</f>
        <v/>
      </c>
      <c r="D179">
        <f>D178-0.1*B179+0</f>
        <v/>
      </c>
      <c r="E179">
        <f>Parameters!$B$25</f>
        <v/>
      </c>
    </row>
    <row r="180">
      <c r="A180" t="n">
        <v>17.8</v>
      </c>
      <c r="B180">
        <f>IF(A180&gt;162.1,Parameters!$B$5,Parameters!$B$4)</f>
        <v/>
      </c>
      <c r="C180">
        <f>C179-0.1*B180+0</f>
        <v/>
      </c>
      <c r="D180">
        <f>D179-0.1*B180+0</f>
        <v/>
      </c>
      <c r="E180">
        <f>Parameters!$B$25</f>
        <v/>
      </c>
    </row>
    <row r="181">
      <c r="A181" t="n">
        <v>17.9</v>
      </c>
      <c r="B181">
        <f>IF(A181&gt;162.1,Parameters!$B$5,Parameters!$B$4)</f>
        <v/>
      </c>
      <c r="C181">
        <f>C180-0.1*B181+0</f>
        <v/>
      </c>
      <c r="D181">
        <f>D180-0.1*B181+0</f>
        <v/>
      </c>
      <c r="E181">
        <f>Parameters!$B$25</f>
        <v/>
      </c>
    </row>
    <row r="182">
      <c r="A182" t="n">
        <v>18</v>
      </c>
      <c r="B182">
        <f>IF(A182&gt;162.1,Parameters!$B$5,Parameters!$B$4)</f>
        <v/>
      </c>
      <c r="C182">
        <f>C181-0.1*B182+0</f>
        <v/>
      </c>
      <c r="D182">
        <f>D181-0.1*B182+0</f>
        <v/>
      </c>
      <c r="E182">
        <f>Parameters!$B$25</f>
        <v/>
      </c>
    </row>
    <row r="183">
      <c r="A183" t="n">
        <v>18.1</v>
      </c>
      <c r="B183">
        <f>IF(A183&gt;162.1,Parameters!$B$5,Parameters!$B$4)</f>
        <v/>
      </c>
      <c r="C183">
        <f>C182-0.1*B183+0</f>
        <v/>
      </c>
      <c r="D183">
        <f>D182-0.1*B183+0</f>
        <v/>
      </c>
      <c r="E183">
        <f>Parameters!$B$25</f>
        <v/>
      </c>
    </row>
    <row r="184">
      <c r="A184" t="n">
        <v>18.2</v>
      </c>
      <c r="B184">
        <f>IF(A184&gt;162.1,Parameters!$B$5,Parameters!$B$4)</f>
        <v/>
      </c>
      <c r="C184">
        <f>C183-0.1*B184+0</f>
        <v/>
      </c>
      <c r="D184">
        <f>D183-0.1*B184+0</f>
        <v/>
      </c>
      <c r="E184">
        <f>Parameters!$B$25</f>
        <v/>
      </c>
    </row>
    <row r="185">
      <c r="A185" t="n">
        <v>18.3</v>
      </c>
      <c r="B185">
        <f>IF(A185&gt;162.1,Parameters!$B$5,Parameters!$B$4)</f>
        <v/>
      </c>
      <c r="C185">
        <f>C184-0.1*B185+0</f>
        <v/>
      </c>
      <c r="D185">
        <f>D184-0.1*B185+0</f>
        <v/>
      </c>
      <c r="E185">
        <f>Parameters!$B$25</f>
        <v/>
      </c>
    </row>
    <row r="186">
      <c r="A186" t="n">
        <v>18.4</v>
      </c>
      <c r="B186">
        <f>IF(A186&gt;162.1,Parameters!$B$5,Parameters!$B$4)</f>
        <v/>
      </c>
      <c r="C186">
        <f>C185-0.1*B186+0</f>
        <v/>
      </c>
      <c r="D186">
        <f>D185-0.1*B186+0</f>
        <v/>
      </c>
      <c r="E186">
        <f>Parameters!$B$25</f>
        <v/>
      </c>
    </row>
    <row r="187">
      <c r="A187" t="n">
        <v>18.5</v>
      </c>
      <c r="B187">
        <f>IF(A187&gt;162.1,Parameters!$B$5,Parameters!$B$4)</f>
        <v/>
      </c>
      <c r="C187">
        <f>C186-0.1*B187+0</f>
        <v/>
      </c>
      <c r="D187">
        <f>D186-0.1*B187+0</f>
        <v/>
      </c>
      <c r="E187">
        <f>Parameters!$B$25</f>
        <v/>
      </c>
    </row>
    <row r="188">
      <c r="A188" t="n">
        <v>18.6</v>
      </c>
      <c r="B188">
        <f>IF(A188&gt;162.1,Parameters!$B$5,Parameters!$B$4)</f>
        <v/>
      </c>
      <c r="C188">
        <f>C187-0.1*B188+0</f>
        <v/>
      </c>
      <c r="D188">
        <f>D187-0.1*B188+0</f>
        <v/>
      </c>
      <c r="E188">
        <f>Parameters!$B$25</f>
        <v/>
      </c>
    </row>
    <row r="189">
      <c r="A189" t="n">
        <v>18.7</v>
      </c>
      <c r="B189">
        <f>IF(A189&gt;162.1,Parameters!$B$5,Parameters!$B$4)</f>
        <v/>
      </c>
      <c r="C189">
        <f>C188-0.1*B189+0</f>
        <v/>
      </c>
      <c r="D189">
        <f>D188-0.1*B189+0</f>
        <v/>
      </c>
      <c r="E189">
        <f>Parameters!$B$25</f>
        <v/>
      </c>
    </row>
    <row r="190">
      <c r="A190" t="n">
        <v>18.8</v>
      </c>
      <c r="B190">
        <f>IF(A190&gt;162.1,Parameters!$B$5,Parameters!$B$4)</f>
        <v/>
      </c>
      <c r="C190">
        <f>C189-0.1*B190+0</f>
        <v/>
      </c>
      <c r="D190">
        <f>D189-0.1*B190+0</f>
        <v/>
      </c>
      <c r="E190">
        <f>Parameters!$B$25</f>
        <v/>
      </c>
    </row>
    <row r="191">
      <c r="A191" t="n">
        <v>18.9</v>
      </c>
      <c r="B191">
        <f>IF(A191&gt;162.1,Parameters!$B$5,Parameters!$B$4)</f>
        <v/>
      </c>
      <c r="C191">
        <f>C190-0.1*B191+0</f>
        <v/>
      </c>
      <c r="D191">
        <f>D190-0.1*B191+0</f>
        <v/>
      </c>
      <c r="E191">
        <f>Parameters!$B$25</f>
        <v/>
      </c>
    </row>
    <row r="192">
      <c r="A192" t="n">
        <v>19</v>
      </c>
      <c r="B192">
        <f>IF(A192&gt;162.1,Parameters!$B$5,Parameters!$B$4)</f>
        <v/>
      </c>
      <c r="C192">
        <f>C191-0.1*B192+0</f>
        <v/>
      </c>
      <c r="D192">
        <f>D191-0.1*B192+0</f>
        <v/>
      </c>
      <c r="E192">
        <f>Parameters!$B$25</f>
        <v/>
      </c>
    </row>
    <row r="193">
      <c r="A193" t="n">
        <v>19.1</v>
      </c>
      <c r="B193">
        <f>IF(A193&gt;162.1,Parameters!$B$5,Parameters!$B$4)</f>
        <v/>
      </c>
      <c r="C193">
        <f>C192-0.1*B193+0</f>
        <v/>
      </c>
      <c r="D193">
        <f>D192-0.1*B193+0</f>
        <v/>
      </c>
      <c r="E193">
        <f>Parameters!$B$25</f>
        <v/>
      </c>
    </row>
    <row r="194">
      <c r="A194" t="n">
        <v>19.2</v>
      </c>
      <c r="B194">
        <f>IF(A194&gt;162.1,Parameters!$B$5,Parameters!$B$4)</f>
        <v/>
      </c>
      <c r="C194">
        <f>C193-0.1*B194+0</f>
        <v/>
      </c>
      <c r="D194">
        <f>D193-0.1*B194+0</f>
        <v/>
      </c>
      <c r="E194">
        <f>Parameters!$B$25</f>
        <v/>
      </c>
    </row>
    <row r="195">
      <c r="A195" t="n">
        <v>19.3</v>
      </c>
      <c r="B195">
        <f>IF(A195&gt;162.1,Parameters!$B$5,Parameters!$B$4)</f>
        <v/>
      </c>
      <c r="C195">
        <f>C194-0.1*B195+0</f>
        <v/>
      </c>
      <c r="D195">
        <f>D194-0.1*B195+0</f>
        <v/>
      </c>
      <c r="E195">
        <f>Parameters!$B$25</f>
        <v/>
      </c>
    </row>
    <row r="196">
      <c r="A196" t="n">
        <v>19.4</v>
      </c>
      <c r="B196">
        <f>IF(A196&gt;162.1,Parameters!$B$5,Parameters!$B$4)</f>
        <v/>
      </c>
      <c r="C196">
        <f>C195-0.1*B196+0</f>
        <v/>
      </c>
      <c r="D196">
        <f>D195-0.1*B196+0</f>
        <v/>
      </c>
      <c r="E196">
        <f>Parameters!$B$25</f>
        <v/>
      </c>
    </row>
    <row r="197">
      <c r="A197" t="n">
        <v>19.5</v>
      </c>
      <c r="B197">
        <f>IF(A197&gt;162.1,Parameters!$B$5,Parameters!$B$4)</f>
        <v/>
      </c>
      <c r="C197">
        <f>C196-0.1*B197+0</f>
        <v/>
      </c>
      <c r="D197">
        <f>D196-0.1*B197+0</f>
        <v/>
      </c>
      <c r="E197">
        <f>Parameters!$B$25</f>
        <v/>
      </c>
    </row>
    <row r="198">
      <c r="A198" t="n">
        <v>19.6</v>
      </c>
      <c r="B198">
        <f>IF(A198&gt;162.1,Parameters!$B$5,Parameters!$B$4)</f>
        <v/>
      </c>
      <c r="C198">
        <f>C197-0.1*B198+0</f>
        <v/>
      </c>
      <c r="D198">
        <f>D197-0.1*B198+0</f>
        <v/>
      </c>
      <c r="E198">
        <f>Parameters!$B$25</f>
        <v/>
      </c>
    </row>
    <row r="199">
      <c r="A199" t="n">
        <v>19.7</v>
      </c>
      <c r="B199">
        <f>IF(A199&gt;162.1,Parameters!$B$5,Parameters!$B$4)</f>
        <v/>
      </c>
      <c r="C199">
        <f>C198-0.1*B199+0</f>
        <v/>
      </c>
      <c r="D199">
        <f>D198-0.1*B199+0</f>
        <v/>
      </c>
      <c r="E199">
        <f>Parameters!$B$25</f>
        <v/>
      </c>
    </row>
    <row r="200">
      <c r="A200" t="n">
        <v>19.8</v>
      </c>
      <c r="B200">
        <f>IF(A200&gt;162.1,Parameters!$B$5,Parameters!$B$4)</f>
        <v/>
      </c>
      <c r="C200">
        <f>C199-0.1*B200+0</f>
        <v/>
      </c>
      <c r="D200">
        <f>D199-0.1*B200+0</f>
        <v/>
      </c>
      <c r="E200">
        <f>Parameters!$B$25</f>
        <v/>
      </c>
    </row>
    <row r="201">
      <c r="A201" t="n">
        <v>19.9</v>
      </c>
      <c r="B201">
        <f>IF(A201&gt;162.1,Parameters!$B$5,Parameters!$B$4)</f>
        <v/>
      </c>
      <c r="C201">
        <f>C200-0.1*B201+0</f>
        <v/>
      </c>
      <c r="D201">
        <f>D200-0.1*B201+0</f>
        <v/>
      </c>
      <c r="E201">
        <f>Parameters!$B$25</f>
        <v/>
      </c>
    </row>
    <row r="202">
      <c r="A202" t="n">
        <v>20</v>
      </c>
      <c r="B202">
        <f>IF(A202&gt;162.1,Parameters!$B$5,Parameters!$B$4)</f>
        <v/>
      </c>
      <c r="C202">
        <f>C201-0.1*B202+0</f>
        <v/>
      </c>
      <c r="D202">
        <f>D201-0.1*B202+0</f>
        <v/>
      </c>
      <c r="E202">
        <f>Parameters!$B$25</f>
        <v/>
      </c>
    </row>
    <row r="203">
      <c r="A203" t="n">
        <v>20.1</v>
      </c>
      <c r="B203">
        <f>IF(A203&gt;162.1,Parameters!$B$5,Parameters!$B$4)</f>
        <v/>
      </c>
      <c r="C203">
        <f>C202-0.1*B203+0</f>
        <v/>
      </c>
      <c r="D203">
        <f>D202-0.1*B203+0</f>
        <v/>
      </c>
      <c r="E203">
        <f>Parameters!$B$25</f>
        <v/>
      </c>
    </row>
    <row r="204">
      <c r="A204" t="n">
        <v>20.2</v>
      </c>
      <c r="B204">
        <f>IF(A204&gt;162.1,Parameters!$B$5,Parameters!$B$4)</f>
        <v/>
      </c>
      <c r="C204">
        <f>C203-0.1*B204+0</f>
        <v/>
      </c>
      <c r="D204">
        <f>D203-0.1*B204+0</f>
        <v/>
      </c>
      <c r="E204">
        <f>Parameters!$B$25</f>
        <v/>
      </c>
    </row>
    <row r="205">
      <c r="A205" t="n">
        <v>20.3</v>
      </c>
      <c r="B205">
        <f>IF(A205&gt;162.1,Parameters!$B$5,Parameters!$B$4)</f>
        <v/>
      </c>
      <c r="C205">
        <f>C204-0.1*B205+0</f>
        <v/>
      </c>
      <c r="D205">
        <f>D204-0.1*B205+0</f>
        <v/>
      </c>
      <c r="E205">
        <f>Parameters!$B$25</f>
        <v/>
      </c>
    </row>
    <row r="206">
      <c r="A206" t="n">
        <v>20.4</v>
      </c>
      <c r="B206">
        <f>IF(A206&gt;162.1,Parameters!$B$5,Parameters!$B$4)</f>
        <v/>
      </c>
      <c r="C206">
        <f>C205-0.1*B206+0</f>
        <v/>
      </c>
      <c r="D206">
        <f>D205-0.1*B206+0</f>
        <v/>
      </c>
      <c r="E206">
        <f>Parameters!$B$25</f>
        <v/>
      </c>
    </row>
    <row r="207">
      <c r="A207" t="n">
        <v>20.5</v>
      </c>
      <c r="B207">
        <f>IF(A207&gt;162.1,Parameters!$B$5,Parameters!$B$4)</f>
        <v/>
      </c>
      <c r="C207">
        <f>C206-0.1*B207+0</f>
        <v/>
      </c>
      <c r="D207">
        <f>D206-0.1*B207+0</f>
        <v/>
      </c>
      <c r="E207">
        <f>Parameters!$B$25</f>
        <v/>
      </c>
    </row>
    <row r="208">
      <c r="A208" t="n">
        <v>20.6</v>
      </c>
      <c r="B208">
        <f>IF(A208&gt;162.1,Parameters!$B$5,Parameters!$B$4)</f>
        <v/>
      </c>
      <c r="C208">
        <f>C207-0.1*B208+0</f>
        <v/>
      </c>
      <c r="D208">
        <f>D207-0.1*B208+0</f>
        <v/>
      </c>
      <c r="E208">
        <f>Parameters!$B$25</f>
        <v/>
      </c>
    </row>
    <row r="209">
      <c r="A209" t="n">
        <v>20.7</v>
      </c>
      <c r="B209">
        <f>IF(A209&gt;162.1,Parameters!$B$5,Parameters!$B$4)</f>
        <v/>
      </c>
      <c r="C209">
        <f>C208-0.1*B209+0</f>
        <v/>
      </c>
      <c r="D209">
        <f>D208-0.1*B209+0</f>
        <v/>
      </c>
      <c r="E209">
        <f>Parameters!$B$25</f>
        <v/>
      </c>
    </row>
    <row r="210">
      <c r="A210" t="n">
        <v>20.8</v>
      </c>
      <c r="B210">
        <f>IF(A210&gt;162.1,Parameters!$B$5,Parameters!$B$4)</f>
        <v/>
      </c>
      <c r="C210">
        <f>C209-0.1*B210+0</f>
        <v/>
      </c>
      <c r="D210">
        <f>D209-0.1*B210+0</f>
        <v/>
      </c>
      <c r="E210">
        <f>Parameters!$B$25</f>
        <v/>
      </c>
    </row>
    <row r="211">
      <c r="A211" t="n">
        <v>20.9</v>
      </c>
      <c r="B211">
        <f>IF(A211&gt;162.1,Parameters!$B$5,Parameters!$B$4)</f>
        <v/>
      </c>
      <c r="C211">
        <f>C210-0.1*B211+0</f>
        <v/>
      </c>
      <c r="D211">
        <f>D210-0.1*B211+0</f>
        <v/>
      </c>
      <c r="E211">
        <f>Parameters!$B$25</f>
        <v/>
      </c>
    </row>
    <row r="212">
      <c r="A212" t="n">
        <v>21</v>
      </c>
      <c r="B212">
        <f>IF(A212&gt;162.1,Parameters!$B$5,Parameters!$B$4)</f>
        <v/>
      </c>
      <c r="C212">
        <f>C211-0.1*B212+0</f>
        <v/>
      </c>
      <c r="D212">
        <f>D211-0.1*B212+0</f>
        <v/>
      </c>
      <c r="E212">
        <f>Parameters!$B$25</f>
        <v/>
      </c>
    </row>
    <row r="213">
      <c r="A213" t="n">
        <v>21.1</v>
      </c>
      <c r="B213">
        <f>IF(A213&gt;162.1,Parameters!$B$5,Parameters!$B$4)</f>
        <v/>
      </c>
      <c r="C213">
        <f>C212-0.1*B213+0</f>
        <v/>
      </c>
      <c r="D213">
        <f>D212-0.1*B213+0</f>
        <v/>
      </c>
      <c r="E213">
        <f>Parameters!$B$25</f>
        <v/>
      </c>
    </row>
    <row r="214">
      <c r="A214" t="n">
        <v>21.2</v>
      </c>
      <c r="B214">
        <f>IF(A214&gt;162.1,Parameters!$B$5,Parameters!$B$4)</f>
        <v/>
      </c>
      <c r="C214">
        <f>C213-0.1*B214+0</f>
        <v/>
      </c>
      <c r="D214">
        <f>D213-0.1*B214+0</f>
        <v/>
      </c>
      <c r="E214">
        <f>Parameters!$B$25</f>
        <v/>
      </c>
    </row>
    <row r="215">
      <c r="A215" t="n">
        <v>21.3</v>
      </c>
      <c r="B215">
        <f>IF(A215&gt;162.1,Parameters!$B$5,Parameters!$B$4)</f>
        <v/>
      </c>
      <c r="C215">
        <f>C214-0.1*B215+0</f>
        <v/>
      </c>
      <c r="D215">
        <f>D214-0.1*B215+0</f>
        <v/>
      </c>
      <c r="E215">
        <f>Parameters!$B$25</f>
        <v/>
      </c>
    </row>
    <row r="216">
      <c r="A216" t="n">
        <v>21.4</v>
      </c>
      <c r="B216">
        <f>IF(A216&gt;162.1,Parameters!$B$5,Parameters!$B$4)</f>
        <v/>
      </c>
      <c r="C216">
        <f>C215-0.1*B216+0</f>
        <v/>
      </c>
      <c r="D216">
        <f>D215-0.1*B216+0</f>
        <v/>
      </c>
      <c r="E216">
        <f>Parameters!$B$25</f>
        <v/>
      </c>
    </row>
    <row r="217">
      <c r="A217" t="n">
        <v>21.5</v>
      </c>
      <c r="B217">
        <f>IF(A217&gt;162.1,Parameters!$B$5,Parameters!$B$4)</f>
        <v/>
      </c>
      <c r="C217">
        <f>C216-0.1*B217+0</f>
        <v/>
      </c>
      <c r="D217">
        <f>D216-0.1*B217+0</f>
        <v/>
      </c>
      <c r="E217">
        <f>Parameters!$B$25</f>
        <v/>
      </c>
    </row>
    <row r="218">
      <c r="A218" t="n">
        <v>21.6</v>
      </c>
      <c r="B218">
        <f>IF(A218&gt;162.1,Parameters!$B$5,Parameters!$B$4)</f>
        <v/>
      </c>
      <c r="C218">
        <f>C217-0.1*B218+0</f>
        <v/>
      </c>
      <c r="D218">
        <f>D217-0.1*B218+0</f>
        <v/>
      </c>
      <c r="E218">
        <f>Parameters!$B$25</f>
        <v/>
      </c>
    </row>
    <row r="219">
      <c r="A219" t="n">
        <v>21.7</v>
      </c>
      <c r="B219">
        <f>IF(A219&gt;162.1,Parameters!$B$5,Parameters!$B$4)</f>
        <v/>
      </c>
      <c r="C219">
        <f>C218-0.1*B219+0</f>
        <v/>
      </c>
      <c r="D219">
        <f>D218-0.1*B219+0</f>
        <v/>
      </c>
      <c r="E219">
        <f>Parameters!$B$25</f>
        <v/>
      </c>
    </row>
    <row r="220">
      <c r="A220" t="n">
        <v>21.8</v>
      </c>
      <c r="B220">
        <f>IF(A220&gt;162.1,Parameters!$B$5,Parameters!$B$4)</f>
        <v/>
      </c>
      <c r="C220">
        <f>C219-0.1*B220+0</f>
        <v/>
      </c>
      <c r="D220">
        <f>D219-0.1*B220+0</f>
        <v/>
      </c>
      <c r="E220">
        <f>Parameters!$B$25</f>
        <v/>
      </c>
    </row>
    <row r="221">
      <c r="A221" t="n">
        <v>21.9</v>
      </c>
      <c r="B221">
        <f>IF(A221&gt;162.1,Parameters!$B$5,Parameters!$B$4)</f>
        <v/>
      </c>
      <c r="C221">
        <f>C220-0.1*B221+0</f>
        <v/>
      </c>
      <c r="D221">
        <f>D220-0.1*B221+0</f>
        <v/>
      </c>
      <c r="E221">
        <f>Parameters!$B$25</f>
        <v/>
      </c>
    </row>
    <row r="222">
      <c r="A222" t="n">
        <v>22</v>
      </c>
      <c r="B222">
        <f>IF(A222&gt;162.1,Parameters!$B$5,Parameters!$B$4)</f>
        <v/>
      </c>
      <c r="C222">
        <f>C221-0.1*B222+0</f>
        <v/>
      </c>
      <c r="D222">
        <f>D221-0.1*B222+0</f>
        <v/>
      </c>
      <c r="E222">
        <f>Parameters!$B$25</f>
        <v/>
      </c>
    </row>
    <row r="223">
      <c r="A223" t="n">
        <v>22.1</v>
      </c>
      <c r="B223">
        <f>IF(A223&gt;162.1,Parameters!$B$5,Parameters!$B$4)</f>
        <v/>
      </c>
      <c r="C223">
        <f>C222-0.1*B223+0</f>
        <v/>
      </c>
      <c r="D223">
        <f>D222-0.1*B223+0</f>
        <v/>
      </c>
      <c r="E223">
        <f>Parameters!$B$25</f>
        <v/>
      </c>
    </row>
    <row r="224">
      <c r="A224" t="n">
        <v>22.2</v>
      </c>
      <c r="B224">
        <f>IF(A224&gt;162.1,Parameters!$B$5,Parameters!$B$4)</f>
        <v/>
      </c>
      <c r="C224">
        <f>C223-0.1*B224+0</f>
        <v/>
      </c>
      <c r="D224">
        <f>D223-0.1*B224+0</f>
        <v/>
      </c>
      <c r="E224">
        <f>Parameters!$B$25</f>
        <v/>
      </c>
    </row>
    <row r="225">
      <c r="A225" t="n">
        <v>22.3</v>
      </c>
      <c r="B225">
        <f>IF(A225&gt;162.1,Parameters!$B$5,Parameters!$B$4)</f>
        <v/>
      </c>
      <c r="C225">
        <f>C224-0.1*B225+0</f>
        <v/>
      </c>
      <c r="D225">
        <f>D224-0.1*B225+0</f>
        <v/>
      </c>
      <c r="E225">
        <f>Parameters!$B$25</f>
        <v/>
      </c>
    </row>
    <row r="226">
      <c r="A226" t="n">
        <v>22.4</v>
      </c>
      <c r="B226">
        <f>IF(A226&gt;162.1,Parameters!$B$5,Parameters!$B$4)</f>
        <v/>
      </c>
      <c r="C226">
        <f>C225-0.1*B226+0</f>
        <v/>
      </c>
      <c r="D226">
        <f>D225-0.1*B226+0</f>
        <v/>
      </c>
      <c r="E226">
        <f>Parameters!$B$25</f>
        <v/>
      </c>
    </row>
    <row r="227">
      <c r="A227" t="n">
        <v>22.5</v>
      </c>
      <c r="B227">
        <f>IF(A227&gt;162.1,Parameters!$B$5,Parameters!$B$4)</f>
        <v/>
      </c>
      <c r="C227">
        <f>C226-0.1*B227+0</f>
        <v/>
      </c>
      <c r="D227">
        <f>D226-0.1*B227+0</f>
        <v/>
      </c>
      <c r="E227">
        <f>Parameters!$B$25</f>
        <v/>
      </c>
    </row>
    <row r="228">
      <c r="A228" t="n">
        <v>22.6</v>
      </c>
      <c r="B228">
        <f>IF(A228&gt;162.1,Parameters!$B$5,Parameters!$B$4)</f>
        <v/>
      </c>
      <c r="C228">
        <f>C227-0.1*B228+0</f>
        <v/>
      </c>
      <c r="D228">
        <f>D227-0.1*B228+0</f>
        <v/>
      </c>
      <c r="E228">
        <f>Parameters!$B$25</f>
        <v/>
      </c>
    </row>
    <row r="229">
      <c r="A229" t="n">
        <v>22.7</v>
      </c>
      <c r="B229">
        <f>IF(A229&gt;162.1,Parameters!$B$5,Parameters!$B$4)</f>
        <v/>
      </c>
      <c r="C229">
        <f>C228-0.1*B229+0</f>
        <v/>
      </c>
      <c r="D229">
        <f>D228-0.1*B229+0</f>
        <v/>
      </c>
      <c r="E229">
        <f>Parameters!$B$25</f>
        <v/>
      </c>
    </row>
    <row r="230">
      <c r="A230" t="n">
        <v>22.8</v>
      </c>
      <c r="B230">
        <f>IF(A230&gt;162.1,Parameters!$B$5,Parameters!$B$4)</f>
        <v/>
      </c>
      <c r="C230">
        <f>C229-0.1*B230+0</f>
        <v/>
      </c>
      <c r="D230">
        <f>D229-0.1*B230+0</f>
        <v/>
      </c>
      <c r="E230">
        <f>Parameters!$B$25</f>
        <v/>
      </c>
    </row>
    <row r="231">
      <c r="A231" t="n">
        <v>22.9</v>
      </c>
      <c r="B231">
        <f>IF(A231&gt;162.1,Parameters!$B$5,Parameters!$B$4)</f>
        <v/>
      </c>
      <c r="C231">
        <f>C230-0.1*B231+0</f>
        <v/>
      </c>
      <c r="D231">
        <f>D230-0.1*B231+0</f>
        <v/>
      </c>
      <c r="E231">
        <f>Parameters!$B$25</f>
        <v/>
      </c>
    </row>
    <row r="232">
      <c r="A232" t="n">
        <v>23</v>
      </c>
      <c r="B232">
        <f>IF(A232&gt;162.1,Parameters!$B$5,Parameters!$B$4)</f>
        <v/>
      </c>
      <c r="C232">
        <f>C231-0.1*B232+0</f>
        <v/>
      </c>
      <c r="D232">
        <f>D231-0.1*B232+0</f>
        <v/>
      </c>
      <c r="E232">
        <f>Parameters!$B$25</f>
        <v/>
      </c>
    </row>
    <row r="233">
      <c r="A233" t="n">
        <v>23.1</v>
      </c>
      <c r="B233">
        <f>IF(A233&gt;162.1,Parameters!$B$5,Parameters!$B$4)</f>
        <v/>
      </c>
      <c r="C233">
        <f>C232-0.1*B233+0</f>
        <v/>
      </c>
      <c r="D233">
        <f>D232-0.1*B233+0</f>
        <v/>
      </c>
      <c r="E233">
        <f>Parameters!$B$25</f>
        <v/>
      </c>
    </row>
    <row r="234">
      <c r="A234" t="n">
        <v>23.2</v>
      </c>
      <c r="B234">
        <f>IF(A234&gt;162.1,Parameters!$B$5,Parameters!$B$4)</f>
        <v/>
      </c>
      <c r="C234">
        <f>C233-0.1*B234+0</f>
        <v/>
      </c>
      <c r="D234">
        <f>D233-0.1*B234+0</f>
        <v/>
      </c>
      <c r="E234">
        <f>Parameters!$B$25</f>
        <v/>
      </c>
    </row>
    <row r="235">
      <c r="A235" t="n">
        <v>23.3</v>
      </c>
      <c r="B235">
        <f>IF(A235&gt;162.1,Parameters!$B$5,Parameters!$B$4)</f>
        <v/>
      </c>
      <c r="C235">
        <f>C234-0.1*B235+0</f>
        <v/>
      </c>
      <c r="D235">
        <f>D234-0.1*B235+0</f>
        <v/>
      </c>
      <c r="E235">
        <f>Parameters!$B$25</f>
        <v/>
      </c>
    </row>
    <row r="236">
      <c r="A236" t="n">
        <v>23.4</v>
      </c>
      <c r="B236">
        <f>IF(A236&gt;162.1,Parameters!$B$5,Parameters!$B$4)</f>
        <v/>
      </c>
      <c r="C236">
        <f>C235-0.1*B236+0</f>
        <v/>
      </c>
      <c r="D236">
        <f>D235-0.1*B236+0</f>
        <v/>
      </c>
      <c r="E236">
        <f>Parameters!$B$25</f>
        <v/>
      </c>
    </row>
    <row r="237">
      <c r="A237" t="n">
        <v>23.5</v>
      </c>
      <c r="B237">
        <f>IF(A237&gt;162.1,Parameters!$B$5,Parameters!$B$4)</f>
        <v/>
      </c>
      <c r="C237">
        <f>C236-0.1*B237+0</f>
        <v/>
      </c>
      <c r="D237">
        <f>D236-0.1*B237+0</f>
        <v/>
      </c>
      <c r="E237">
        <f>Parameters!$B$25</f>
        <v/>
      </c>
    </row>
    <row r="238">
      <c r="A238" t="n">
        <v>23.6</v>
      </c>
      <c r="B238">
        <f>IF(A238&gt;162.1,Parameters!$B$5,Parameters!$B$4)</f>
        <v/>
      </c>
      <c r="C238">
        <f>C237-0.1*B238+0</f>
        <v/>
      </c>
      <c r="D238">
        <f>D237-0.1*B238+0</f>
        <v/>
      </c>
      <c r="E238">
        <f>Parameters!$B$25</f>
        <v/>
      </c>
    </row>
    <row r="239">
      <c r="A239" t="n">
        <v>23.7</v>
      </c>
      <c r="B239">
        <f>IF(A239&gt;162.1,Parameters!$B$5,Parameters!$B$4)</f>
        <v/>
      </c>
      <c r="C239">
        <f>C238-0.1*B239+0</f>
        <v/>
      </c>
      <c r="D239">
        <f>D238-0.1*B239+0</f>
        <v/>
      </c>
      <c r="E239">
        <f>Parameters!$B$25</f>
        <v/>
      </c>
    </row>
    <row r="240">
      <c r="A240" t="n">
        <v>23.8</v>
      </c>
      <c r="B240">
        <f>IF(A240&gt;162.1,Parameters!$B$5,Parameters!$B$4)</f>
        <v/>
      </c>
      <c r="C240">
        <f>C239-0.1*B240+0</f>
        <v/>
      </c>
      <c r="D240">
        <f>D239-0.1*B240+0</f>
        <v/>
      </c>
      <c r="E240">
        <f>Parameters!$B$25</f>
        <v/>
      </c>
    </row>
    <row r="241">
      <c r="A241" t="n">
        <v>23.9</v>
      </c>
      <c r="B241">
        <f>IF(A241&gt;162.1,Parameters!$B$5,Parameters!$B$4)</f>
        <v/>
      </c>
      <c r="C241">
        <f>C240-0.1*B241+0</f>
        <v/>
      </c>
      <c r="D241">
        <f>D240-0.1*B241+0</f>
        <v/>
      </c>
      <c r="E241">
        <f>Parameters!$B$25</f>
        <v/>
      </c>
    </row>
    <row r="242">
      <c r="A242" t="n">
        <v>24</v>
      </c>
      <c r="B242">
        <f>IF(A242&gt;162.1,Parameters!$B$5,Parameters!$B$4)</f>
        <v/>
      </c>
      <c r="C242">
        <f>C241-0.1*B242+0</f>
        <v/>
      </c>
      <c r="D242">
        <f>D241-0.1*B242+0</f>
        <v/>
      </c>
      <c r="E242">
        <f>Parameters!$B$25</f>
        <v/>
      </c>
    </row>
    <row r="243">
      <c r="A243" t="n">
        <v>24.1</v>
      </c>
      <c r="B243">
        <f>IF(A243&gt;162.1,Parameters!$B$5,Parameters!$B$4)</f>
        <v/>
      </c>
      <c r="C243">
        <f>C242-0.1*B243+0</f>
        <v/>
      </c>
      <c r="D243">
        <f>D242-0.1*B243+0</f>
        <v/>
      </c>
      <c r="E243">
        <f>Parameters!$B$25</f>
        <v/>
      </c>
    </row>
    <row r="244">
      <c r="A244" t="n">
        <v>24.2</v>
      </c>
      <c r="B244">
        <f>IF(A244&gt;162.1,Parameters!$B$5,Parameters!$B$4)</f>
        <v/>
      </c>
      <c r="C244">
        <f>C243-0.1*B244+0</f>
        <v/>
      </c>
      <c r="D244">
        <f>D243-0.1*B244+0</f>
        <v/>
      </c>
      <c r="E244">
        <f>Parameters!$B$25</f>
        <v/>
      </c>
    </row>
    <row r="245">
      <c r="A245" t="n">
        <v>24.3</v>
      </c>
      <c r="B245">
        <f>IF(A245&gt;162.1,Parameters!$B$5,Parameters!$B$4)</f>
        <v/>
      </c>
      <c r="C245">
        <f>C244-0.1*B245+0</f>
        <v/>
      </c>
      <c r="D245">
        <f>D244-0.1*B245+0</f>
        <v/>
      </c>
      <c r="E245">
        <f>Parameters!$B$25</f>
        <v/>
      </c>
    </row>
    <row r="246">
      <c r="A246" t="n">
        <v>24.4</v>
      </c>
      <c r="B246">
        <f>IF(A246&gt;162.1,Parameters!$B$5,Parameters!$B$4)</f>
        <v/>
      </c>
      <c r="C246">
        <f>C245-0.1*B246+0</f>
        <v/>
      </c>
      <c r="D246">
        <f>D245-0.1*B246+0</f>
        <v/>
      </c>
      <c r="E246">
        <f>Parameters!$B$25</f>
        <v/>
      </c>
    </row>
    <row r="247">
      <c r="A247" t="n">
        <v>24.5</v>
      </c>
      <c r="B247">
        <f>IF(A247&gt;162.1,Parameters!$B$5,Parameters!$B$4)</f>
        <v/>
      </c>
      <c r="C247">
        <f>C246-0.1*B247+0</f>
        <v/>
      </c>
      <c r="D247">
        <f>D246-0.1*B247+0</f>
        <v/>
      </c>
      <c r="E247">
        <f>Parameters!$B$25</f>
        <v/>
      </c>
    </row>
    <row r="248">
      <c r="A248" t="n">
        <v>24.6</v>
      </c>
      <c r="B248">
        <f>IF(A248&gt;162.1,Parameters!$B$5,Parameters!$B$4)</f>
        <v/>
      </c>
      <c r="C248">
        <f>C247-0.1*B248+0</f>
        <v/>
      </c>
      <c r="D248">
        <f>D247-0.1*B248+0</f>
        <v/>
      </c>
      <c r="E248">
        <f>Parameters!$B$25</f>
        <v/>
      </c>
    </row>
    <row r="249">
      <c r="A249" t="n">
        <v>24.7</v>
      </c>
      <c r="B249">
        <f>IF(A249&gt;162.1,Parameters!$B$5,Parameters!$B$4)</f>
        <v/>
      </c>
      <c r="C249">
        <f>C248-0.1*B249+0</f>
        <v/>
      </c>
      <c r="D249">
        <f>D248-0.1*B249+0</f>
        <v/>
      </c>
      <c r="E249">
        <f>Parameters!$B$25</f>
        <v/>
      </c>
    </row>
    <row r="250">
      <c r="A250" t="n">
        <v>24.8</v>
      </c>
      <c r="B250">
        <f>IF(A250&gt;162.1,Parameters!$B$5,Parameters!$B$4)</f>
        <v/>
      </c>
      <c r="C250">
        <f>C249-0.1*B250+0</f>
        <v/>
      </c>
      <c r="D250">
        <f>D249-0.1*B250+0</f>
        <v/>
      </c>
      <c r="E250">
        <f>Parameters!$B$25</f>
        <v/>
      </c>
    </row>
    <row r="251">
      <c r="A251" t="n">
        <v>24.9</v>
      </c>
      <c r="B251">
        <f>IF(A251&gt;162.1,Parameters!$B$5,Parameters!$B$4)</f>
        <v/>
      </c>
      <c r="C251">
        <f>C250-0.1*B251+0</f>
        <v/>
      </c>
      <c r="D251">
        <f>D250-0.1*B251+0</f>
        <v/>
      </c>
      <c r="E251">
        <f>Parameters!$B$25</f>
        <v/>
      </c>
    </row>
    <row r="252">
      <c r="A252" t="n">
        <v>25</v>
      </c>
      <c r="B252">
        <f>IF(A252&gt;162.1,Parameters!$B$5,Parameters!$B$4)</f>
        <v/>
      </c>
      <c r="C252">
        <f>C251-0.1*B252+0</f>
        <v/>
      </c>
      <c r="D252">
        <f>D251-0.1*B252+0</f>
        <v/>
      </c>
      <c r="E252">
        <f>Parameters!$B$25</f>
        <v/>
      </c>
    </row>
    <row r="253">
      <c r="A253" t="n">
        <v>25.1</v>
      </c>
      <c r="B253">
        <f>IF(A253&gt;162.1,Parameters!$B$5,Parameters!$B$4)</f>
        <v/>
      </c>
      <c r="C253">
        <f>C252-0.1*B253+0</f>
        <v/>
      </c>
      <c r="D253">
        <f>D252-0.1*B253+0</f>
        <v/>
      </c>
      <c r="E253">
        <f>Parameters!$B$25</f>
        <v/>
      </c>
    </row>
    <row r="254">
      <c r="A254" t="n">
        <v>25.2</v>
      </c>
      <c r="B254">
        <f>IF(A254&gt;162.1,Parameters!$B$5,Parameters!$B$4)</f>
        <v/>
      </c>
      <c r="C254">
        <f>C253-0.1*B254+0</f>
        <v/>
      </c>
      <c r="D254">
        <f>D253-0.1*B254+0</f>
        <v/>
      </c>
      <c r="E254">
        <f>Parameters!$B$25</f>
        <v/>
      </c>
    </row>
    <row r="255">
      <c r="A255" t="n">
        <v>25.3</v>
      </c>
      <c r="B255">
        <f>IF(A255&gt;162.1,Parameters!$B$5,Parameters!$B$4)</f>
        <v/>
      </c>
      <c r="C255">
        <f>C254-0.1*B255+0</f>
        <v/>
      </c>
      <c r="D255">
        <f>D254-0.1*B255+0</f>
        <v/>
      </c>
      <c r="E255">
        <f>Parameters!$B$25</f>
        <v/>
      </c>
    </row>
    <row r="256">
      <c r="A256" t="n">
        <v>25.4</v>
      </c>
      <c r="B256">
        <f>IF(A256&gt;162.1,Parameters!$B$5,Parameters!$B$4)</f>
        <v/>
      </c>
      <c r="C256">
        <f>C255-0.1*B256+0</f>
        <v/>
      </c>
      <c r="D256">
        <f>D255-0.1*B256+0</f>
        <v/>
      </c>
      <c r="E256">
        <f>Parameters!$B$25</f>
        <v/>
      </c>
    </row>
    <row r="257">
      <c r="A257" t="n">
        <v>25.5</v>
      </c>
      <c r="B257">
        <f>IF(A257&gt;162.1,Parameters!$B$5,Parameters!$B$4)</f>
        <v/>
      </c>
      <c r="C257">
        <f>C256-0.1*B257+0</f>
        <v/>
      </c>
      <c r="D257">
        <f>D256-0.1*B257+0</f>
        <v/>
      </c>
      <c r="E257">
        <f>Parameters!$B$25</f>
        <v/>
      </c>
    </row>
    <row r="258">
      <c r="A258" t="n">
        <v>25.6</v>
      </c>
      <c r="B258">
        <f>IF(A258&gt;162.1,Parameters!$B$5,Parameters!$B$4)</f>
        <v/>
      </c>
      <c r="C258">
        <f>C257-0.1*B258+0</f>
        <v/>
      </c>
      <c r="D258">
        <f>D257-0.1*B258+0</f>
        <v/>
      </c>
      <c r="E258">
        <f>Parameters!$B$25</f>
        <v/>
      </c>
    </row>
    <row r="259">
      <c r="A259" t="n">
        <v>25.7</v>
      </c>
      <c r="B259">
        <f>IF(A259&gt;162.1,Parameters!$B$5,Parameters!$B$4)</f>
        <v/>
      </c>
      <c r="C259">
        <f>C258-0.1*B259+0</f>
        <v/>
      </c>
      <c r="D259">
        <f>D258-0.1*B259+0</f>
        <v/>
      </c>
      <c r="E259">
        <f>Parameters!$B$25</f>
        <v/>
      </c>
    </row>
    <row r="260">
      <c r="A260" t="n">
        <v>25.8</v>
      </c>
      <c r="B260">
        <f>IF(A260&gt;162.1,Parameters!$B$5,Parameters!$B$4)</f>
        <v/>
      </c>
      <c r="C260">
        <f>C259-0.1*B260+0</f>
        <v/>
      </c>
      <c r="D260">
        <f>D259-0.1*B260+0</f>
        <v/>
      </c>
      <c r="E260">
        <f>Parameters!$B$25</f>
        <v/>
      </c>
    </row>
    <row r="261">
      <c r="A261" t="n">
        <v>25.9</v>
      </c>
      <c r="B261">
        <f>IF(A261&gt;162.1,Parameters!$B$5,Parameters!$B$4)</f>
        <v/>
      </c>
      <c r="C261">
        <f>C260-0.1*B261+0</f>
        <v/>
      </c>
      <c r="D261">
        <f>D260-0.1*B261+0</f>
        <v/>
      </c>
      <c r="E261">
        <f>Parameters!$B$25</f>
        <v/>
      </c>
    </row>
    <row r="262">
      <c r="A262" t="n">
        <v>26</v>
      </c>
      <c r="B262">
        <f>IF(A262&gt;162.1,Parameters!$B$5,Parameters!$B$4)</f>
        <v/>
      </c>
      <c r="C262">
        <f>C261-0.1*B262+0</f>
        <v/>
      </c>
      <c r="D262">
        <f>D261-0.1*B262+0</f>
        <v/>
      </c>
      <c r="E262">
        <f>Parameters!$B$25</f>
        <v/>
      </c>
    </row>
    <row r="263">
      <c r="A263" t="n">
        <v>26.1</v>
      </c>
      <c r="B263">
        <f>IF(A263&gt;162.1,Parameters!$B$5,Parameters!$B$4)</f>
        <v/>
      </c>
      <c r="C263">
        <f>C262-0.1*B263+0</f>
        <v/>
      </c>
      <c r="D263">
        <f>D262-0.1*B263+0</f>
        <v/>
      </c>
      <c r="E263">
        <f>Parameters!$B$25</f>
        <v/>
      </c>
    </row>
    <row r="264">
      <c r="A264" t="n">
        <v>26.2</v>
      </c>
      <c r="B264">
        <f>IF(A264&gt;162.1,Parameters!$B$5,Parameters!$B$4)</f>
        <v/>
      </c>
      <c r="C264">
        <f>C263-0.1*B264+0</f>
        <v/>
      </c>
      <c r="D264">
        <f>D263-0.1*B264+0</f>
        <v/>
      </c>
      <c r="E264">
        <f>Parameters!$B$25</f>
        <v/>
      </c>
    </row>
    <row r="265">
      <c r="A265" t="n">
        <v>26.3</v>
      </c>
      <c r="B265">
        <f>IF(A265&gt;162.1,Parameters!$B$5,Parameters!$B$4)</f>
        <v/>
      </c>
      <c r="C265">
        <f>C264-0.1*B265+0</f>
        <v/>
      </c>
      <c r="D265">
        <f>D264-0.1*B265+0</f>
        <v/>
      </c>
      <c r="E265">
        <f>Parameters!$B$25</f>
        <v/>
      </c>
    </row>
    <row r="266">
      <c r="A266" t="n">
        <v>26.4</v>
      </c>
      <c r="B266">
        <f>IF(A266&gt;162.1,Parameters!$B$5,Parameters!$B$4)</f>
        <v/>
      </c>
      <c r="C266">
        <f>C265-0.1*B266+0</f>
        <v/>
      </c>
      <c r="D266">
        <f>D265-0.1*B266+0</f>
        <v/>
      </c>
      <c r="E266">
        <f>Parameters!$B$25</f>
        <v/>
      </c>
    </row>
    <row r="267">
      <c r="A267" t="n">
        <v>26.5</v>
      </c>
      <c r="B267">
        <f>IF(A267&gt;162.1,Parameters!$B$5,Parameters!$B$4)</f>
        <v/>
      </c>
      <c r="C267">
        <f>C266-0.1*B267+0</f>
        <v/>
      </c>
      <c r="D267">
        <f>D266-0.1*B267+0</f>
        <v/>
      </c>
      <c r="E267">
        <f>Parameters!$B$25</f>
        <v/>
      </c>
    </row>
    <row r="268">
      <c r="A268" t="n">
        <v>26.6</v>
      </c>
      <c r="B268">
        <f>IF(A268&gt;162.1,Parameters!$B$5,Parameters!$B$4)</f>
        <v/>
      </c>
      <c r="C268">
        <f>C267-0.1*B268+0</f>
        <v/>
      </c>
      <c r="D268">
        <f>D267-0.1*B268+0</f>
        <v/>
      </c>
      <c r="E268">
        <f>Parameters!$B$25</f>
        <v/>
      </c>
    </row>
    <row r="269">
      <c r="A269" t="n">
        <v>26.7</v>
      </c>
      <c r="B269">
        <f>IF(A269&gt;162.1,Parameters!$B$5,Parameters!$B$4)</f>
        <v/>
      </c>
      <c r="C269">
        <f>C268-0.1*B269+0</f>
        <v/>
      </c>
      <c r="D269">
        <f>D268-0.1*B269+0</f>
        <v/>
      </c>
      <c r="E269">
        <f>Parameters!$B$25</f>
        <v/>
      </c>
    </row>
    <row r="270">
      <c r="A270" t="n">
        <v>26.8</v>
      </c>
      <c r="B270">
        <f>IF(A270&gt;162.1,Parameters!$B$5,Parameters!$B$4)</f>
        <v/>
      </c>
      <c r="C270">
        <f>C269-0.1*B270+0</f>
        <v/>
      </c>
      <c r="D270">
        <f>D269-0.1*B270+0</f>
        <v/>
      </c>
      <c r="E270">
        <f>Parameters!$B$25</f>
        <v/>
      </c>
    </row>
    <row r="271">
      <c r="A271" t="n">
        <v>26.9</v>
      </c>
      <c r="B271">
        <f>IF(A271&gt;162.1,Parameters!$B$5,Parameters!$B$4)</f>
        <v/>
      </c>
      <c r="C271">
        <f>C270-0.1*B271+0</f>
        <v/>
      </c>
      <c r="D271">
        <f>D270-0.1*B271+0</f>
        <v/>
      </c>
      <c r="E271">
        <f>Parameters!$B$25</f>
        <v/>
      </c>
    </row>
    <row r="272">
      <c r="A272" t="n">
        <v>27</v>
      </c>
      <c r="B272">
        <f>IF(A272&gt;162.1,Parameters!$B$5,Parameters!$B$4)</f>
        <v/>
      </c>
      <c r="C272">
        <f>C271-0.1*B272+0</f>
        <v/>
      </c>
      <c r="D272">
        <f>D271-0.1*B272+0</f>
        <v/>
      </c>
      <c r="E272">
        <f>Parameters!$B$25</f>
        <v/>
      </c>
    </row>
    <row r="273">
      <c r="A273" t="n">
        <v>27.1</v>
      </c>
      <c r="B273">
        <f>IF(A273&gt;162.1,Parameters!$B$5,Parameters!$B$4)</f>
        <v/>
      </c>
      <c r="C273">
        <f>C272-0.1*B273+0</f>
        <v/>
      </c>
      <c r="D273">
        <f>D272-0.1*B273+0</f>
        <v/>
      </c>
      <c r="E273">
        <f>Parameters!$B$25</f>
        <v/>
      </c>
    </row>
    <row r="274">
      <c r="A274" t="n">
        <v>27.2</v>
      </c>
      <c r="B274">
        <f>IF(A274&gt;162.1,Parameters!$B$5,Parameters!$B$4)</f>
        <v/>
      </c>
      <c r="C274">
        <f>C273-0.1*B274+0</f>
        <v/>
      </c>
      <c r="D274">
        <f>D273-0.1*B274+0</f>
        <v/>
      </c>
      <c r="E274">
        <f>Parameters!$B$25</f>
        <v/>
      </c>
    </row>
    <row r="275">
      <c r="A275" t="n">
        <v>27.3</v>
      </c>
      <c r="B275">
        <f>IF(A275&gt;162.1,Parameters!$B$5,Parameters!$B$4)</f>
        <v/>
      </c>
      <c r="C275">
        <f>C274-0.1*B275+0</f>
        <v/>
      </c>
      <c r="D275">
        <f>D274-0.1*B275+0</f>
        <v/>
      </c>
      <c r="E275">
        <f>Parameters!$B$25</f>
        <v/>
      </c>
    </row>
    <row r="276">
      <c r="A276" t="n">
        <v>27.4</v>
      </c>
      <c r="B276">
        <f>IF(A276&gt;162.1,Parameters!$B$5,Parameters!$B$4)</f>
        <v/>
      </c>
      <c r="C276">
        <f>C275-0.1*B276+0</f>
        <v/>
      </c>
      <c r="D276">
        <f>D275-0.1*B276+0</f>
        <v/>
      </c>
      <c r="E276">
        <f>Parameters!$B$25</f>
        <v/>
      </c>
    </row>
    <row r="277">
      <c r="A277" t="n">
        <v>27.5</v>
      </c>
      <c r="B277">
        <f>IF(A277&gt;162.1,Parameters!$B$5,Parameters!$B$4)</f>
        <v/>
      </c>
      <c r="C277">
        <f>C276-0.1*B277+0</f>
        <v/>
      </c>
      <c r="D277">
        <f>D276-0.1*B277+0</f>
        <v/>
      </c>
      <c r="E277">
        <f>Parameters!$B$25</f>
        <v/>
      </c>
    </row>
    <row r="278">
      <c r="A278" t="n">
        <v>27.6</v>
      </c>
      <c r="B278">
        <f>IF(A278&gt;162.1,Parameters!$B$5,Parameters!$B$4)</f>
        <v/>
      </c>
      <c r="C278">
        <f>C277-0.1*B278+0</f>
        <v/>
      </c>
      <c r="D278">
        <f>D277-0.1*B278+0</f>
        <v/>
      </c>
      <c r="E278">
        <f>Parameters!$B$25</f>
        <v/>
      </c>
    </row>
    <row r="279">
      <c r="A279" t="n">
        <v>27.7</v>
      </c>
      <c r="B279">
        <f>IF(A279&gt;162.1,Parameters!$B$5,Parameters!$B$4)</f>
        <v/>
      </c>
      <c r="C279">
        <f>C278-0.1*B279+0</f>
        <v/>
      </c>
      <c r="D279">
        <f>D278-0.1*B279+0</f>
        <v/>
      </c>
      <c r="E279">
        <f>Parameters!$B$25</f>
        <v/>
      </c>
    </row>
    <row r="280">
      <c r="A280" t="n">
        <v>27.8</v>
      </c>
      <c r="B280">
        <f>IF(A280&gt;162.1,Parameters!$B$5,Parameters!$B$4)</f>
        <v/>
      </c>
      <c r="C280">
        <f>C279-0.1*B280+0</f>
        <v/>
      </c>
      <c r="D280">
        <f>D279-0.1*B280+0</f>
        <v/>
      </c>
      <c r="E280">
        <f>Parameters!$B$25</f>
        <v/>
      </c>
    </row>
    <row r="281">
      <c r="A281" t="n">
        <v>27.9</v>
      </c>
      <c r="B281">
        <f>IF(A281&gt;162.1,Parameters!$B$5,Parameters!$B$4)</f>
        <v/>
      </c>
      <c r="C281">
        <f>C280-0.1*B281+0</f>
        <v/>
      </c>
      <c r="D281">
        <f>D280-0.1*B281+0</f>
        <v/>
      </c>
      <c r="E281">
        <f>Parameters!$B$25</f>
        <v/>
      </c>
    </row>
    <row r="282">
      <c r="A282" t="n">
        <v>28</v>
      </c>
      <c r="B282">
        <f>IF(A282&gt;162.1,Parameters!$B$5,Parameters!$B$4)</f>
        <v/>
      </c>
      <c r="C282">
        <f>C281-0.1*B282+0</f>
        <v/>
      </c>
      <c r="D282">
        <f>D281-0.1*B282+0</f>
        <v/>
      </c>
      <c r="E282">
        <f>Parameters!$B$25</f>
        <v/>
      </c>
    </row>
    <row r="283">
      <c r="A283" t="n">
        <v>28.1</v>
      </c>
      <c r="B283">
        <f>IF(A283&gt;162.1,Parameters!$B$5,Parameters!$B$4)</f>
        <v/>
      </c>
      <c r="C283">
        <f>C282-0.1*B283+0</f>
        <v/>
      </c>
      <c r="D283">
        <f>D282-0.1*B283+0</f>
        <v/>
      </c>
      <c r="E283">
        <f>Parameters!$B$25</f>
        <v/>
      </c>
    </row>
    <row r="284">
      <c r="A284" t="n">
        <v>28.2</v>
      </c>
      <c r="B284">
        <f>IF(A284&gt;162.1,Parameters!$B$5,Parameters!$B$4)</f>
        <v/>
      </c>
      <c r="C284">
        <f>C283-0.1*B284+0</f>
        <v/>
      </c>
      <c r="D284">
        <f>D283-0.1*B284+0</f>
        <v/>
      </c>
      <c r="E284">
        <f>Parameters!$B$25</f>
        <v/>
      </c>
    </row>
    <row r="285">
      <c r="A285" t="n">
        <v>28.3</v>
      </c>
      <c r="B285">
        <f>IF(A285&gt;162.1,Parameters!$B$5,Parameters!$B$4)</f>
        <v/>
      </c>
      <c r="C285">
        <f>C284-0.1*B285+0</f>
        <v/>
      </c>
      <c r="D285">
        <f>D284-0.1*B285+0</f>
        <v/>
      </c>
      <c r="E285">
        <f>Parameters!$B$25</f>
        <v/>
      </c>
    </row>
    <row r="286">
      <c r="A286" t="n">
        <v>28.4</v>
      </c>
      <c r="B286">
        <f>IF(A286&gt;162.1,Parameters!$B$5,Parameters!$B$4)</f>
        <v/>
      </c>
      <c r="C286">
        <f>C285-0.1*B286+0</f>
        <v/>
      </c>
      <c r="D286">
        <f>D285-0.1*B286+0</f>
        <v/>
      </c>
      <c r="E286">
        <f>Parameters!$B$25</f>
        <v/>
      </c>
    </row>
    <row r="287">
      <c r="A287" t="n">
        <v>28.5</v>
      </c>
      <c r="B287">
        <f>IF(A287&gt;162.1,Parameters!$B$5,Parameters!$B$4)</f>
        <v/>
      </c>
      <c r="C287">
        <f>C286-0.1*B287+0</f>
        <v/>
      </c>
      <c r="D287">
        <f>D286-0.1*B287+0</f>
        <v/>
      </c>
      <c r="E287">
        <f>Parameters!$B$25</f>
        <v/>
      </c>
    </row>
    <row r="288">
      <c r="A288" t="n">
        <v>28.6</v>
      </c>
      <c r="B288">
        <f>IF(A288&gt;162.1,Parameters!$B$5,Parameters!$B$4)</f>
        <v/>
      </c>
      <c r="C288">
        <f>C287-0.1*B288+0</f>
        <v/>
      </c>
      <c r="D288">
        <f>D287-0.1*B288+0</f>
        <v/>
      </c>
      <c r="E288">
        <f>Parameters!$B$25</f>
        <v/>
      </c>
    </row>
    <row r="289">
      <c r="A289" t="n">
        <v>28.7</v>
      </c>
      <c r="B289">
        <f>IF(A289&gt;162.1,Parameters!$B$5,Parameters!$B$4)</f>
        <v/>
      </c>
      <c r="C289">
        <f>C288-0.1*B289+0</f>
        <v/>
      </c>
      <c r="D289">
        <f>D288-0.1*B289+0</f>
        <v/>
      </c>
      <c r="E289">
        <f>Parameters!$B$25</f>
        <v/>
      </c>
    </row>
    <row r="290">
      <c r="A290" t="n">
        <v>28.8</v>
      </c>
      <c r="B290">
        <f>IF(A290&gt;162.1,Parameters!$B$5,Parameters!$B$4)</f>
        <v/>
      </c>
      <c r="C290">
        <f>C289-0.1*B290+0</f>
        <v/>
      </c>
      <c r="D290">
        <f>D289-0.1*B290+0</f>
        <v/>
      </c>
      <c r="E290">
        <f>Parameters!$B$25</f>
        <v/>
      </c>
    </row>
    <row r="291">
      <c r="A291" t="n">
        <v>28.9</v>
      </c>
      <c r="B291">
        <f>IF(A291&gt;162.1,Parameters!$B$5,Parameters!$B$4)</f>
        <v/>
      </c>
      <c r="C291">
        <f>C290-0.1*B291+0</f>
        <v/>
      </c>
      <c r="D291">
        <f>D290-0.1*B291+0</f>
        <v/>
      </c>
      <c r="E291">
        <f>Parameters!$B$25</f>
        <v/>
      </c>
    </row>
    <row r="292">
      <c r="A292" t="n">
        <v>29</v>
      </c>
      <c r="B292">
        <f>IF(A292&gt;162.1,Parameters!$B$5,Parameters!$B$4)</f>
        <v/>
      </c>
      <c r="C292">
        <f>C291-0.1*B292+0</f>
        <v/>
      </c>
      <c r="D292">
        <f>D291-0.1*B292+0</f>
        <v/>
      </c>
      <c r="E292">
        <f>Parameters!$B$25</f>
        <v/>
      </c>
    </row>
    <row r="293">
      <c r="A293" t="n">
        <v>29.1</v>
      </c>
      <c r="B293">
        <f>IF(A293&gt;162.1,Parameters!$B$5,Parameters!$B$4)</f>
        <v/>
      </c>
      <c r="C293">
        <f>C292-0.1*B293+0</f>
        <v/>
      </c>
      <c r="D293">
        <f>D292-0.1*B293+0</f>
        <v/>
      </c>
      <c r="E293">
        <f>Parameters!$B$25</f>
        <v/>
      </c>
    </row>
    <row r="294">
      <c r="A294" t="n">
        <v>29.2</v>
      </c>
      <c r="B294">
        <f>IF(A294&gt;162.1,Parameters!$B$5,Parameters!$B$4)</f>
        <v/>
      </c>
      <c r="C294">
        <f>C293-0.1*B294+0</f>
        <v/>
      </c>
      <c r="D294">
        <f>D293-0.1*B294+0</f>
        <v/>
      </c>
      <c r="E294">
        <f>Parameters!$B$25</f>
        <v/>
      </c>
    </row>
    <row r="295">
      <c r="A295" t="n">
        <v>29.3</v>
      </c>
      <c r="B295">
        <f>IF(A295&gt;162.1,Parameters!$B$5,Parameters!$B$4)</f>
        <v/>
      </c>
      <c r="C295">
        <f>C294-0.1*B295+0</f>
        <v/>
      </c>
      <c r="D295">
        <f>D294-0.1*B295+0</f>
        <v/>
      </c>
      <c r="E295">
        <f>Parameters!$B$25</f>
        <v/>
      </c>
    </row>
    <row r="296">
      <c r="A296" t="n">
        <v>29.4</v>
      </c>
      <c r="B296">
        <f>IF(A296&gt;162.1,Parameters!$B$5,Parameters!$B$4)</f>
        <v/>
      </c>
      <c r="C296">
        <f>C295-0.1*B296+0</f>
        <v/>
      </c>
      <c r="D296">
        <f>D295-0.1*B296+0</f>
        <v/>
      </c>
      <c r="E296">
        <f>Parameters!$B$25</f>
        <v/>
      </c>
    </row>
    <row r="297">
      <c r="A297" t="n">
        <v>29.5</v>
      </c>
      <c r="B297">
        <f>IF(A297&gt;162.1,Parameters!$B$5,Parameters!$B$4)</f>
        <v/>
      </c>
      <c r="C297">
        <f>C296-0.1*B297+0</f>
        <v/>
      </c>
      <c r="D297">
        <f>D296-0.1*B297+0</f>
        <v/>
      </c>
      <c r="E297">
        <f>Parameters!$B$25</f>
        <v/>
      </c>
    </row>
    <row r="298">
      <c r="A298" t="n">
        <v>29.6</v>
      </c>
      <c r="B298">
        <f>IF(A298&gt;162.1,Parameters!$B$5,Parameters!$B$4)</f>
        <v/>
      </c>
      <c r="C298">
        <f>C297-0.1*B298+0</f>
        <v/>
      </c>
      <c r="D298">
        <f>D297-0.1*B298+0</f>
        <v/>
      </c>
      <c r="E298">
        <f>Parameters!$B$25</f>
        <v/>
      </c>
    </row>
    <row r="299">
      <c r="A299" t="n">
        <v>29.7</v>
      </c>
      <c r="B299">
        <f>IF(A299&gt;162.1,Parameters!$B$5,Parameters!$B$4)</f>
        <v/>
      </c>
      <c r="C299">
        <f>C298-0.1*B299+0</f>
        <v/>
      </c>
      <c r="D299">
        <f>D298-0.1*B299+0</f>
        <v/>
      </c>
      <c r="E299">
        <f>Parameters!$B$25</f>
        <v/>
      </c>
    </row>
    <row r="300">
      <c r="A300" t="n">
        <v>29.8</v>
      </c>
      <c r="B300">
        <f>IF(A300&gt;162.1,Parameters!$B$5,Parameters!$B$4)</f>
        <v/>
      </c>
      <c r="C300">
        <f>C299-0.1*B300+0</f>
        <v/>
      </c>
      <c r="D300">
        <f>D299-0.1*B300+0</f>
        <v/>
      </c>
      <c r="E300">
        <f>Parameters!$B$25</f>
        <v/>
      </c>
    </row>
    <row r="301">
      <c r="A301" t="n">
        <v>29.9</v>
      </c>
      <c r="B301">
        <f>IF(A301&gt;162.1,Parameters!$B$5,Parameters!$B$4)</f>
        <v/>
      </c>
      <c r="C301">
        <f>C300-0.1*B301+0</f>
        <v/>
      </c>
      <c r="D301">
        <f>D300-0.1*B301+0</f>
        <v/>
      </c>
      <c r="E301">
        <f>Parameters!$B$25</f>
        <v/>
      </c>
    </row>
    <row r="302">
      <c r="A302" t="n">
        <v>30</v>
      </c>
      <c r="B302">
        <f>IF(A302&gt;162.1,Parameters!$B$5,Parameters!$B$4)</f>
        <v/>
      </c>
      <c r="C302">
        <f>C301-0.1*B302+0</f>
        <v/>
      </c>
      <c r="D302">
        <f>D301-0.1*B302+0</f>
        <v/>
      </c>
      <c r="E302">
        <f>Parameters!$B$25</f>
        <v/>
      </c>
    </row>
    <row r="303">
      <c r="A303" t="n">
        <v>30.1</v>
      </c>
      <c r="B303">
        <f>IF(A303&gt;162.1,Parameters!$B$5,Parameters!$B$4)</f>
        <v/>
      </c>
      <c r="C303">
        <f>C302-0.1*B303+0</f>
        <v/>
      </c>
      <c r="D303">
        <f>D302-0.1*B303+0</f>
        <v/>
      </c>
      <c r="E303">
        <f>Parameters!$B$25</f>
        <v/>
      </c>
    </row>
    <row r="304">
      <c r="A304" t="n">
        <v>30.2</v>
      </c>
      <c r="B304">
        <f>IF(A304&gt;162.1,Parameters!$B$5,Parameters!$B$4)</f>
        <v/>
      </c>
      <c r="C304">
        <f>C303-0.1*B304+0</f>
        <v/>
      </c>
      <c r="D304">
        <f>D303-0.1*B304+0</f>
        <v/>
      </c>
      <c r="E304">
        <f>Parameters!$B$25</f>
        <v/>
      </c>
    </row>
    <row r="305">
      <c r="A305" t="n">
        <v>30.3</v>
      </c>
      <c r="B305">
        <f>IF(A305&gt;162.1,Parameters!$B$5,Parameters!$B$4)</f>
        <v/>
      </c>
      <c r="C305">
        <f>C304-0.1*B305+0</f>
        <v/>
      </c>
      <c r="D305">
        <f>D304-0.1*B305+0</f>
        <v/>
      </c>
      <c r="E305">
        <f>Parameters!$B$25</f>
        <v/>
      </c>
    </row>
    <row r="306">
      <c r="A306" t="n">
        <v>30.4</v>
      </c>
      <c r="B306">
        <f>IF(A306&gt;162.1,Parameters!$B$5,Parameters!$B$4)</f>
        <v/>
      </c>
      <c r="C306">
        <f>C305-0.1*B306+0</f>
        <v/>
      </c>
      <c r="D306">
        <f>D305-0.1*B306+0</f>
        <v/>
      </c>
      <c r="E306">
        <f>Parameters!$B$25</f>
        <v/>
      </c>
    </row>
    <row r="307">
      <c r="A307" t="n">
        <v>30.5</v>
      </c>
      <c r="B307">
        <f>IF(A307&gt;162.1,Parameters!$B$5,Parameters!$B$4)</f>
        <v/>
      </c>
      <c r="C307">
        <f>C306-0.1*B307+0</f>
        <v/>
      </c>
      <c r="D307">
        <f>D306-0.1*B307+0</f>
        <v/>
      </c>
      <c r="E307">
        <f>Parameters!$B$25</f>
        <v/>
      </c>
    </row>
    <row r="308">
      <c r="A308" t="n">
        <v>30.6</v>
      </c>
      <c r="B308">
        <f>IF(A308&gt;162.1,Parameters!$B$5,Parameters!$B$4)</f>
        <v/>
      </c>
      <c r="C308">
        <f>C307-0.1*B308+0</f>
        <v/>
      </c>
      <c r="D308">
        <f>D307-0.1*B308+0</f>
        <v/>
      </c>
      <c r="E308">
        <f>Parameters!$B$25</f>
        <v/>
      </c>
    </row>
    <row r="309">
      <c r="A309" t="n">
        <v>30.7</v>
      </c>
      <c r="B309">
        <f>IF(A309&gt;162.1,Parameters!$B$5,Parameters!$B$4)</f>
        <v/>
      </c>
      <c r="C309">
        <f>C308-0.1*B309+0</f>
        <v/>
      </c>
      <c r="D309">
        <f>D308-0.1*B309+0</f>
        <v/>
      </c>
      <c r="E309">
        <f>Parameters!$B$25</f>
        <v/>
      </c>
    </row>
    <row r="310">
      <c r="A310" t="n">
        <v>30.8</v>
      </c>
      <c r="B310">
        <f>IF(A310&gt;162.1,Parameters!$B$5,Parameters!$B$4)</f>
        <v/>
      </c>
      <c r="C310">
        <f>C309-0.1*B310+0</f>
        <v/>
      </c>
      <c r="D310">
        <f>D309-0.1*B310+0</f>
        <v/>
      </c>
      <c r="E310">
        <f>Parameters!$B$25</f>
        <v/>
      </c>
    </row>
    <row r="311">
      <c r="A311" t="n">
        <v>30.9</v>
      </c>
      <c r="B311">
        <f>IF(A311&gt;162.1,Parameters!$B$5,Parameters!$B$4)</f>
        <v/>
      </c>
      <c r="C311">
        <f>C310-0.1*B311+0</f>
        <v/>
      </c>
      <c r="D311">
        <f>D310-0.1*B311+0</f>
        <v/>
      </c>
      <c r="E311">
        <f>Parameters!$B$25</f>
        <v/>
      </c>
    </row>
    <row r="312">
      <c r="A312" t="n">
        <v>31</v>
      </c>
      <c r="B312">
        <f>IF(A312&gt;162.1,Parameters!$B$5,Parameters!$B$4)</f>
        <v/>
      </c>
      <c r="C312">
        <f>C311-0.1*B312+0</f>
        <v/>
      </c>
      <c r="D312">
        <f>D311-0.1*B312+0</f>
        <v/>
      </c>
      <c r="E312">
        <f>Parameters!$B$25</f>
        <v/>
      </c>
    </row>
    <row r="313">
      <c r="A313" t="n">
        <v>31.1</v>
      </c>
      <c r="B313">
        <f>IF(A313&gt;162.1,Parameters!$B$5,Parameters!$B$4)</f>
        <v/>
      </c>
      <c r="C313">
        <f>C312-0.1*B313+0</f>
        <v/>
      </c>
      <c r="D313">
        <f>D312-0.1*B313+0</f>
        <v/>
      </c>
      <c r="E313">
        <f>Parameters!$B$25</f>
        <v/>
      </c>
    </row>
    <row r="314">
      <c r="A314" t="n">
        <v>31.2</v>
      </c>
      <c r="B314">
        <f>IF(A314&gt;162.1,Parameters!$B$5,Parameters!$B$4)</f>
        <v/>
      </c>
      <c r="C314">
        <f>C313-0.1*B314+0</f>
        <v/>
      </c>
      <c r="D314">
        <f>D313-0.1*B314+0</f>
        <v/>
      </c>
      <c r="E314">
        <f>Parameters!$B$25</f>
        <v/>
      </c>
    </row>
    <row r="315">
      <c r="A315" t="n">
        <v>31.3</v>
      </c>
      <c r="B315">
        <f>IF(A315&gt;162.1,Parameters!$B$5,Parameters!$B$4)</f>
        <v/>
      </c>
      <c r="C315">
        <f>C314-0.1*B315+0</f>
        <v/>
      </c>
      <c r="D315">
        <f>D314-0.1*B315+0</f>
        <v/>
      </c>
      <c r="E315">
        <f>Parameters!$B$25</f>
        <v/>
      </c>
    </row>
    <row r="316">
      <c r="A316" t="n">
        <v>31.4</v>
      </c>
      <c r="B316">
        <f>IF(A316&gt;162.1,Parameters!$B$5,Parameters!$B$4)</f>
        <v/>
      </c>
      <c r="C316">
        <f>C315-0.1*B316+0</f>
        <v/>
      </c>
      <c r="D316">
        <f>D315-0.1*B316+0</f>
        <v/>
      </c>
      <c r="E316">
        <f>Parameters!$B$25</f>
        <v/>
      </c>
    </row>
    <row r="317">
      <c r="A317" t="n">
        <v>31.5</v>
      </c>
      <c r="B317">
        <f>IF(A317&gt;162.1,Parameters!$B$5,Parameters!$B$4)</f>
        <v/>
      </c>
      <c r="C317">
        <f>C316-0.1*B317+0</f>
        <v/>
      </c>
      <c r="D317">
        <f>D316-0.1*B317+0</f>
        <v/>
      </c>
      <c r="E317">
        <f>Parameters!$B$25</f>
        <v/>
      </c>
    </row>
    <row r="318">
      <c r="A318" t="n">
        <v>31.6</v>
      </c>
      <c r="B318">
        <f>IF(A318&gt;162.1,Parameters!$B$5,Parameters!$B$4)</f>
        <v/>
      </c>
      <c r="C318">
        <f>C317-0.1*B318+0</f>
        <v/>
      </c>
      <c r="D318">
        <f>D317-0.1*B318+0</f>
        <v/>
      </c>
      <c r="E318">
        <f>Parameters!$B$25</f>
        <v/>
      </c>
    </row>
    <row r="319">
      <c r="A319" t="n">
        <v>31.7</v>
      </c>
      <c r="B319">
        <f>IF(A319&gt;162.1,Parameters!$B$5,Parameters!$B$4)</f>
        <v/>
      </c>
      <c r="C319">
        <f>C318-0.1*B319+0</f>
        <v/>
      </c>
      <c r="D319">
        <f>D318-0.1*B319+0</f>
        <v/>
      </c>
      <c r="E319">
        <f>Parameters!$B$25</f>
        <v/>
      </c>
    </row>
    <row r="320">
      <c r="A320" t="n">
        <v>31.8</v>
      </c>
      <c r="B320">
        <f>IF(A320&gt;162.1,Parameters!$B$5,Parameters!$B$4)</f>
        <v/>
      </c>
      <c r="C320">
        <f>C319-0.1*B320+0</f>
        <v/>
      </c>
      <c r="D320">
        <f>D319-0.1*B320+0</f>
        <v/>
      </c>
      <c r="E320">
        <f>Parameters!$B$25</f>
        <v/>
      </c>
    </row>
    <row r="321">
      <c r="A321" t="n">
        <v>31.9</v>
      </c>
      <c r="B321">
        <f>IF(A321&gt;162.1,Parameters!$B$5,Parameters!$B$4)</f>
        <v/>
      </c>
      <c r="C321">
        <f>C320-0.1*B321+0</f>
        <v/>
      </c>
      <c r="D321">
        <f>D320-0.1*B321+0</f>
        <v/>
      </c>
      <c r="E321">
        <f>Parameters!$B$25</f>
        <v/>
      </c>
    </row>
    <row r="322">
      <c r="A322" t="n">
        <v>32</v>
      </c>
      <c r="B322">
        <f>IF(A322&gt;162.1,Parameters!$B$5,Parameters!$B$4)</f>
        <v/>
      </c>
      <c r="C322">
        <f>C321-0.1*B322+0</f>
        <v/>
      </c>
      <c r="D322">
        <f>D321-0.1*B322+0</f>
        <v/>
      </c>
      <c r="E322">
        <f>Parameters!$B$25</f>
        <v/>
      </c>
    </row>
    <row r="323">
      <c r="A323" t="n">
        <v>32.1</v>
      </c>
      <c r="B323">
        <f>IF(A323&gt;162.1,Parameters!$B$5,Parameters!$B$4)</f>
        <v/>
      </c>
      <c r="C323">
        <f>C322-0.1*B323+0</f>
        <v/>
      </c>
      <c r="D323">
        <f>D322-0.1*B323+0</f>
        <v/>
      </c>
      <c r="E323">
        <f>Parameters!$B$25</f>
        <v/>
      </c>
    </row>
    <row r="324">
      <c r="A324" t="n">
        <v>32.2</v>
      </c>
      <c r="B324">
        <f>IF(A324&gt;162.1,Parameters!$B$5,Parameters!$B$4)</f>
        <v/>
      </c>
      <c r="C324">
        <f>C323-0.1*B324+0</f>
        <v/>
      </c>
      <c r="D324">
        <f>D323-0.1*B324+0</f>
        <v/>
      </c>
      <c r="E324">
        <f>Parameters!$B$25</f>
        <v/>
      </c>
    </row>
    <row r="325">
      <c r="A325" t="n">
        <v>32.3</v>
      </c>
      <c r="B325">
        <f>IF(A325&gt;162.1,Parameters!$B$5,Parameters!$B$4)</f>
        <v/>
      </c>
      <c r="C325">
        <f>C324-0.1*B325+0</f>
        <v/>
      </c>
      <c r="D325">
        <f>D324-0.1*B325+0</f>
        <v/>
      </c>
      <c r="E325">
        <f>Parameters!$B$25</f>
        <v/>
      </c>
    </row>
    <row r="326">
      <c r="A326" t="n">
        <v>32.4</v>
      </c>
      <c r="B326">
        <f>IF(A326&gt;162.1,Parameters!$B$5,Parameters!$B$4)</f>
        <v/>
      </c>
      <c r="C326">
        <f>C325-0.1*B326+0</f>
        <v/>
      </c>
      <c r="D326">
        <f>D325-0.1*B326+0</f>
        <v/>
      </c>
      <c r="E326">
        <f>Parameters!$B$25</f>
        <v/>
      </c>
    </row>
    <row r="327">
      <c r="A327" t="n">
        <v>32.5</v>
      </c>
      <c r="B327">
        <f>IF(A327&gt;162.1,Parameters!$B$5,Parameters!$B$4)</f>
        <v/>
      </c>
      <c r="C327">
        <f>C326-0.1*B327+0</f>
        <v/>
      </c>
      <c r="D327">
        <f>D326-0.1*B327+0</f>
        <v/>
      </c>
      <c r="E327">
        <f>Parameters!$B$25</f>
        <v/>
      </c>
    </row>
    <row r="328">
      <c r="A328" t="n">
        <v>32.6</v>
      </c>
      <c r="B328">
        <f>IF(A328&gt;162.1,Parameters!$B$5,Parameters!$B$4)</f>
        <v/>
      </c>
      <c r="C328">
        <f>C327-0.1*B328+0</f>
        <v/>
      </c>
      <c r="D328">
        <f>D327-0.1*B328+0</f>
        <v/>
      </c>
      <c r="E328">
        <f>Parameters!$B$25</f>
        <v/>
      </c>
    </row>
    <row r="329">
      <c r="A329" t="n">
        <v>32.7</v>
      </c>
      <c r="B329">
        <f>IF(A329&gt;162.1,Parameters!$B$5,Parameters!$B$4)</f>
        <v/>
      </c>
      <c r="C329">
        <f>C328-0.1*B329+0</f>
        <v/>
      </c>
      <c r="D329">
        <f>D328-0.1*B329+0</f>
        <v/>
      </c>
      <c r="E329">
        <f>Parameters!$B$25</f>
        <v/>
      </c>
    </row>
    <row r="330">
      <c r="A330" t="n">
        <v>32.8</v>
      </c>
      <c r="B330">
        <f>IF(A330&gt;162.1,Parameters!$B$5,Parameters!$B$4)</f>
        <v/>
      </c>
      <c r="C330">
        <f>C329-0.1*B330+0</f>
        <v/>
      </c>
      <c r="D330">
        <f>D329-0.1*B330+0</f>
        <v/>
      </c>
      <c r="E330">
        <f>Parameters!$B$25</f>
        <v/>
      </c>
    </row>
    <row r="331">
      <c r="A331" t="n">
        <v>32.9</v>
      </c>
      <c r="B331">
        <f>IF(A331&gt;162.1,Parameters!$B$5,Parameters!$B$4)</f>
        <v/>
      </c>
      <c r="C331">
        <f>C330-0.1*B331+0</f>
        <v/>
      </c>
      <c r="D331">
        <f>D330-0.1*B331+0</f>
        <v/>
      </c>
      <c r="E331">
        <f>Parameters!$B$25</f>
        <v/>
      </c>
    </row>
    <row r="332">
      <c r="A332" t="n">
        <v>33</v>
      </c>
      <c r="B332">
        <f>IF(A332&gt;162.1,Parameters!$B$5,Parameters!$B$4)</f>
        <v/>
      </c>
      <c r="C332">
        <f>C331-0.1*B332+0</f>
        <v/>
      </c>
      <c r="D332">
        <f>D331-0.1*B332+0</f>
        <v/>
      </c>
      <c r="E332">
        <f>Parameters!$B$25</f>
        <v/>
      </c>
    </row>
    <row r="333">
      <c r="A333" t="n">
        <v>33.1</v>
      </c>
      <c r="B333">
        <f>IF(A333&gt;162.1,Parameters!$B$5,Parameters!$B$4)</f>
        <v/>
      </c>
      <c r="C333">
        <f>C332-0.1*B333+0</f>
        <v/>
      </c>
      <c r="D333">
        <f>D332-0.1*B333+0</f>
        <v/>
      </c>
      <c r="E333">
        <f>Parameters!$B$25</f>
        <v/>
      </c>
    </row>
    <row r="334">
      <c r="A334" t="n">
        <v>33.2</v>
      </c>
      <c r="B334">
        <f>IF(A334&gt;162.1,Parameters!$B$5,Parameters!$B$4)</f>
        <v/>
      </c>
      <c r="C334">
        <f>C333-0.1*B334+0</f>
        <v/>
      </c>
      <c r="D334">
        <f>D333-0.1*B334+0</f>
        <v/>
      </c>
      <c r="E334">
        <f>Parameters!$B$25</f>
        <v/>
      </c>
    </row>
    <row r="335">
      <c r="A335" t="n">
        <v>33.3</v>
      </c>
      <c r="B335">
        <f>IF(A335&gt;162.1,Parameters!$B$5,Parameters!$B$4)</f>
        <v/>
      </c>
      <c r="C335">
        <f>C334-0.1*B335+0</f>
        <v/>
      </c>
      <c r="D335">
        <f>D334-0.1*B335+0</f>
        <v/>
      </c>
      <c r="E335">
        <f>Parameters!$B$25</f>
        <v/>
      </c>
    </row>
    <row r="336">
      <c r="A336" t="n">
        <v>33.4</v>
      </c>
      <c r="B336">
        <f>IF(A336&gt;162.1,Parameters!$B$5,Parameters!$B$4)</f>
        <v/>
      </c>
      <c r="C336">
        <f>C335-0.1*B336+0</f>
        <v/>
      </c>
      <c r="D336">
        <f>D335-0.1*B336+0</f>
        <v/>
      </c>
      <c r="E336">
        <f>Parameters!$B$25</f>
        <v/>
      </c>
    </row>
    <row r="337">
      <c r="A337" t="n">
        <v>33.5</v>
      </c>
      <c r="B337">
        <f>IF(A337&gt;162.1,Parameters!$B$5,Parameters!$B$4)</f>
        <v/>
      </c>
      <c r="C337">
        <f>C336-0.1*B337+0</f>
        <v/>
      </c>
      <c r="D337">
        <f>D336-0.1*B337+0</f>
        <v/>
      </c>
      <c r="E337">
        <f>Parameters!$B$25</f>
        <v/>
      </c>
    </row>
    <row r="338">
      <c r="A338" t="n">
        <v>33.6</v>
      </c>
      <c r="B338">
        <f>IF(A338&gt;162.1,Parameters!$B$5,Parameters!$B$4)</f>
        <v/>
      </c>
      <c r="C338">
        <f>C337-0.1*B338+0</f>
        <v/>
      </c>
      <c r="D338">
        <f>D337-0.1*B338+0</f>
        <v/>
      </c>
      <c r="E338">
        <f>Parameters!$B$25</f>
        <v/>
      </c>
    </row>
    <row r="339">
      <c r="A339" t="n">
        <v>33.7</v>
      </c>
      <c r="B339">
        <f>IF(A339&gt;162.1,Parameters!$B$5,Parameters!$B$4)</f>
        <v/>
      </c>
      <c r="C339">
        <f>C338-0.1*B339+0</f>
        <v/>
      </c>
      <c r="D339">
        <f>D338-0.1*B339+0</f>
        <v/>
      </c>
      <c r="E339">
        <f>Parameters!$B$25</f>
        <v/>
      </c>
    </row>
    <row r="340">
      <c r="A340" t="n">
        <v>33.8</v>
      </c>
      <c r="B340">
        <f>IF(A340&gt;162.1,Parameters!$B$5,Parameters!$B$4)</f>
        <v/>
      </c>
      <c r="C340">
        <f>C339-0.1*B340+0</f>
        <v/>
      </c>
      <c r="D340">
        <f>D339-0.1*B340+0</f>
        <v/>
      </c>
      <c r="E340">
        <f>Parameters!$B$25</f>
        <v/>
      </c>
    </row>
    <row r="341">
      <c r="A341" t="n">
        <v>33.9</v>
      </c>
      <c r="B341">
        <f>IF(A341&gt;162.1,Parameters!$B$5,Parameters!$B$4)</f>
        <v/>
      </c>
      <c r="C341">
        <f>C340-0.1*B341+0</f>
        <v/>
      </c>
      <c r="D341">
        <f>D340-0.1*B341+0</f>
        <v/>
      </c>
      <c r="E341">
        <f>Parameters!$B$25</f>
        <v/>
      </c>
    </row>
    <row r="342">
      <c r="A342" t="n">
        <v>34</v>
      </c>
      <c r="B342">
        <f>IF(A342&gt;162.1,Parameters!$B$5,Parameters!$B$4)</f>
        <v/>
      </c>
      <c r="C342">
        <f>C341-0.1*B342+0</f>
        <v/>
      </c>
      <c r="D342">
        <f>D341-0.1*B342+0</f>
        <v/>
      </c>
      <c r="E342">
        <f>Parameters!$B$25</f>
        <v/>
      </c>
    </row>
    <row r="343">
      <c r="A343" t="n">
        <v>34.1</v>
      </c>
      <c r="B343">
        <f>IF(A343&gt;162.1,Parameters!$B$5,Parameters!$B$4)</f>
        <v/>
      </c>
      <c r="C343">
        <f>C342-0.1*B343+0</f>
        <v/>
      </c>
      <c r="D343">
        <f>D342-0.1*B343+0</f>
        <v/>
      </c>
      <c r="E343">
        <f>Parameters!$B$25</f>
        <v/>
      </c>
    </row>
    <row r="344">
      <c r="A344" t="n">
        <v>34.2</v>
      </c>
      <c r="B344">
        <f>IF(A344&gt;162.1,Parameters!$B$5,Parameters!$B$4)</f>
        <v/>
      </c>
      <c r="C344">
        <f>C343-0.1*B344+0</f>
        <v/>
      </c>
      <c r="D344">
        <f>D343-0.1*B344+0</f>
        <v/>
      </c>
      <c r="E344">
        <f>Parameters!$B$25</f>
        <v/>
      </c>
    </row>
    <row r="345">
      <c r="A345" t="n">
        <v>34.3</v>
      </c>
      <c r="B345">
        <f>IF(A345&gt;162.1,Parameters!$B$5,Parameters!$B$4)</f>
        <v/>
      </c>
      <c r="C345">
        <f>C344-0.1*B345+0</f>
        <v/>
      </c>
      <c r="D345">
        <f>D344-0.1*B345+0</f>
        <v/>
      </c>
      <c r="E345">
        <f>Parameters!$B$25</f>
        <v/>
      </c>
    </row>
    <row r="346">
      <c r="A346" t="n">
        <v>34.4</v>
      </c>
      <c r="B346">
        <f>IF(A346&gt;162.1,Parameters!$B$5,Parameters!$B$4)</f>
        <v/>
      </c>
      <c r="C346">
        <f>C345-0.1*B346+0</f>
        <v/>
      </c>
      <c r="D346">
        <f>D345-0.1*B346+0</f>
        <v/>
      </c>
      <c r="E346">
        <f>Parameters!$B$25</f>
        <v/>
      </c>
    </row>
    <row r="347">
      <c r="A347" t="n">
        <v>34.5</v>
      </c>
      <c r="B347">
        <f>IF(A347&gt;162.1,Parameters!$B$5,Parameters!$B$4)</f>
        <v/>
      </c>
      <c r="C347">
        <f>C346-0.1*B347+0</f>
        <v/>
      </c>
      <c r="D347">
        <f>D346-0.1*B347+0</f>
        <v/>
      </c>
      <c r="E347">
        <f>Parameters!$B$25</f>
        <v/>
      </c>
    </row>
    <row r="348">
      <c r="A348" t="n">
        <v>34.6</v>
      </c>
      <c r="B348">
        <f>IF(A348&gt;162.1,Parameters!$B$5,Parameters!$B$4)</f>
        <v/>
      </c>
      <c r="C348">
        <f>C347-0.1*B348+0</f>
        <v/>
      </c>
      <c r="D348">
        <f>D347-0.1*B348+0</f>
        <v/>
      </c>
      <c r="E348">
        <f>Parameters!$B$25</f>
        <v/>
      </c>
    </row>
    <row r="349">
      <c r="A349" t="n">
        <v>34.7</v>
      </c>
      <c r="B349">
        <f>IF(A349&gt;162.1,Parameters!$B$5,Parameters!$B$4)</f>
        <v/>
      </c>
      <c r="C349">
        <f>C348-0.1*B349+0</f>
        <v/>
      </c>
      <c r="D349">
        <f>D348-0.1*B349+0</f>
        <v/>
      </c>
      <c r="E349">
        <f>Parameters!$B$25</f>
        <v/>
      </c>
    </row>
    <row r="350">
      <c r="A350" t="n">
        <v>34.8</v>
      </c>
      <c r="B350">
        <f>IF(A350&gt;162.1,Parameters!$B$5,Parameters!$B$4)</f>
        <v/>
      </c>
      <c r="C350">
        <f>C349-0.1*B350+0</f>
        <v/>
      </c>
      <c r="D350">
        <f>D349-0.1*B350+0</f>
        <v/>
      </c>
      <c r="E350">
        <f>Parameters!$B$25</f>
        <v/>
      </c>
    </row>
    <row r="351">
      <c r="A351" t="n">
        <v>34.9</v>
      </c>
      <c r="B351">
        <f>IF(A351&gt;162.1,Parameters!$B$5,Parameters!$B$4)</f>
        <v/>
      </c>
      <c r="C351">
        <f>C350-0.1*B351+0</f>
        <v/>
      </c>
      <c r="D351">
        <f>D350-0.1*B351+0</f>
        <v/>
      </c>
      <c r="E351">
        <f>Parameters!$B$25</f>
        <v/>
      </c>
    </row>
    <row r="352">
      <c r="A352" t="n">
        <v>35</v>
      </c>
      <c r="B352">
        <f>IF(A352&gt;162.1,Parameters!$B$5,Parameters!$B$4)</f>
        <v/>
      </c>
      <c r="C352">
        <f>C351-0.1*B352+0</f>
        <v/>
      </c>
      <c r="D352">
        <f>D351-0.1*B352+0</f>
        <v/>
      </c>
      <c r="E352">
        <f>Parameters!$B$25</f>
        <v/>
      </c>
    </row>
    <row r="353">
      <c r="A353" t="n">
        <v>35.1</v>
      </c>
      <c r="B353">
        <f>IF(A353&gt;162.1,Parameters!$B$5,Parameters!$B$4)</f>
        <v/>
      </c>
      <c r="C353">
        <f>C352-0.1*B353+0</f>
        <v/>
      </c>
      <c r="D353">
        <f>D352-0.1*B353+0</f>
        <v/>
      </c>
      <c r="E353">
        <f>Parameters!$B$25</f>
        <v/>
      </c>
    </row>
    <row r="354">
      <c r="A354" t="n">
        <v>35.2</v>
      </c>
      <c r="B354">
        <f>IF(A354&gt;162.1,Parameters!$B$5,Parameters!$B$4)</f>
        <v/>
      </c>
      <c r="C354">
        <f>C353-0.1*B354+0</f>
        <v/>
      </c>
      <c r="D354">
        <f>D353-0.1*B354+0</f>
        <v/>
      </c>
      <c r="E354">
        <f>Parameters!$B$25</f>
        <v/>
      </c>
    </row>
    <row r="355">
      <c r="A355" t="n">
        <v>35.3</v>
      </c>
      <c r="B355">
        <f>IF(A355&gt;162.1,Parameters!$B$5,Parameters!$B$4)</f>
        <v/>
      </c>
      <c r="C355">
        <f>C354-0.1*B355+0</f>
        <v/>
      </c>
      <c r="D355">
        <f>D354-0.1*B355+0</f>
        <v/>
      </c>
      <c r="E355">
        <f>Parameters!$B$25</f>
        <v/>
      </c>
    </row>
    <row r="356">
      <c r="A356" t="n">
        <v>35.4</v>
      </c>
      <c r="B356">
        <f>IF(A356&gt;162.1,Parameters!$B$5,Parameters!$B$4)</f>
        <v/>
      </c>
      <c r="C356">
        <f>C355-0.1*B356+0</f>
        <v/>
      </c>
      <c r="D356">
        <f>D355-0.1*B356+0</f>
        <v/>
      </c>
      <c r="E356">
        <f>Parameters!$B$25</f>
        <v/>
      </c>
    </row>
    <row r="357">
      <c r="A357" t="n">
        <v>35.5</v>
      </c>
      <c r="B357">
        <f>IF(A357&gt;162.1,Parameters!$B$5,Parameters!$B$4)</f>
        <v/>
      </c>
      <c r="C357">
        <f>C356-0.1*B357+0</f>
        <v/>
      </c>
      <c r="D357">
        <f>D356-0.1*B357+0</f>
        <v/>
      </c>
      <c r="E357">
        <f>Parameters!$B$25</f>
        <v/>
      </c>
    </row>
    <row r="358">
      <c r="A358" t="n">
        <v>35.6</v>
      </c>
      <c r="B358">
        <f>IF(A358&gt;162.1,Parameters!$B$5,Parameters!$B$4)</f>
        <v/>
      </c>
      <c r="C358">
        <f>C357-0.1*B358+0</f>
        <v/>
      </c>
      <c r="D358">
        <f>D357-0.1*B358+0</f>
        <v/>
      </c>
      <c r="E358">
        <f>Parameters!$B$25</f>
        <v/>
      </c>
    </row>
    <row r="359">
      <c r="A359" t="n">
        <v>35.7</v>
      </c>
      <c r="B359">
        <f>IF(A359&gt;162.1,Parameters!$B$5,Parameters!$B$4)</f>
        <v/>
      </c>
      <c r="C359">
        <f>C358-0.1*B359+0</f>
        <v/>
      </c>
      <c r="D359">
        <f>D358-0.1*B359+0</f>
        <v/>
      </c>
      <c r="E359">
        <f>Parameters!$B$25</f>
        <v/>
      </c>
    </row>
    <row r="360">
      <c r="A360" t="n">
        <v>35.8</v>
      </c>
      <c r="B360">
        <f>IF(A360&gt;162.1,Parameters!$B$5,Parameters!$B$4)</f>
        <v/>
      </c>
      <c r="C360">
        <f>C359-0.1*B360+0</f>
        <v/>
      </c>
      <c r="D360">
        <f>D359-0.1*B360+0</f>
        <v/>
      </c>
      <c r="E360">
        <f>Parameters!$B$25</f>
        <v/>
      </c>
    </row>
    <row r="361">
      <c r="A361" t="n">
        <v>35.9</v>
      </c>
      <c r="B361">
        <f>IF(A361&gt;162.1,Parameters!$B$5,Parameters!$B$4)</f>
        <v/>
      </c>
      <c r="C361">
        <f>C360-0.1*B361+0</f>
        <v/>
      </c>
      <c r="D361">
        <f>D360-0.1*B361+0</f>
        <v/>
      </c>
      <c r="E361">
        <f>Parameters!$B$25</f>
        <v/>
      </c>
    </row>
    <row r="362">
      <c r="A362" t="n">
        <v>36</v>
      </c>
      <c r="B362">
        <f>IF(A362&gt;162.1,Parameters!$B$5,Parameters!$B$4)</f>
        <v/>
      </c>
      <c r="C362">
        <f>C361-0.1*B362+0</f>
        <v/>
      </c>
      <c r="D362">
        <f>D361-0.1*B362+0</f>
        <v/>
      </c>
      <c r="E362">
        <f>Parameters!$B$25</f>
        <v/>
      </c>
    </row>
    <row r="363">
      <c r="A363" t="n">
        <v>36.1</v>
      </c>
      <c r="B363">
        <f>IF(A363&gt;162.1,Parameters!$B$5,Parameters!$B$4)</f>
        <v/>
      </c>
      <c r="C363">
        <f>C362-0.1*B363+0</f>
        <v/>
      </c>
      <c r="D363">
        <f>D362-0.1*B363+0</f>
        <v/>
      </c>
      <c r="E363">
        <f>Parameters!$B$25</f>
        <v/>
      </c>
    </row>
    <row r="364">
      <c r="A364" t="n">
        <v>36.2</v>
      </c>
      <c r="B364">
        <f>IF(A364&gt;162.1,Parameters!$B$5,Parameters!$B$4)</f>
        <v/>
      </c>
      <c r="C364">
        <f>C363-0.1*B364+0</f>
        <v/>
      </c>
      <c r="D364">
        <f>D363-0.1*B364+0</f>
        <v/>
      </c>
      <c r="E364">
        <f>Parameters!$B$25</f>
        <v/>
      </c>
    </row>
    <row r="365">
      <c r="A365" t="n">
        <v>36.3</v>
      </c>
      <c r="B365">
        <f>IF(A365&gt;162.1,Parameters!$B$5,Parameters!$B$4)</f>
        <v/>
      </c>
      <c r="C365">
        <f>C364-0.1*B365+0</f>
        <v/>
      </c>
      <c r="D365">
        <f>D364-0.1*B365+0</f>
        <v/>
      </c>
      <c r="E365">
        <f>Parameters!$B$25</f>
        <v/>
      </c>
    </row>
    <row r="366">
      <c r="A366" t="n">
        <v>36.4</v>
      </c>
      <c r="B366">
        <f>IF(A366&gt;162.1,Parameters!$B$5,Parameters!$B$4)</f>
        <v/>
      </c>
      <c r="C366">
        <f>C365-0.1*B366+0</f>
        <v/>
      </c>
      <c r="D366">
        <f>D365-0.1*B366+0</f>
        <v/>
      </c>
      <c r="E366">
        <f>Parameters!$B$25</f>
        <v/>
      </c>
    </row>
    <row r="367">
      <c r="A367" t="n">
        <v>36.5</v>
      </c>
      <c r="B367">
        <f>IF(A367&gt;162.1,Parameters!$B$5,Parameters!$B$4)</f>
        <v/>
      </c>
      <c r="C367">
        <f>C366-0.1*B367+0</f>
        <v/>
      </c>
      <c r="D367">
        <f>D366-0.1*B367+0</f>
        <v/>
      </c>
      <c r="E367">
        <f>Parameters!$B$25</f>
        <v/>
      </c>
    </row>
    <row r="368">
      <c r="A368" t="n">
        <v>36.6</v>
      </c>
      <c r="B368">
        <f>IF(A368&gt;162.1,Parameters!$B$5,Parameters!$B$4)</f>
        <v/>
      </c>
      <c r="C368">
        <f>C367-0.1*B368+0</f>
        <v/>
      </c>
      <c r="D368">
        <f>D367-0.1*B368+0</f>
        <v/>
      </c>
      <c r="E368">
        <f>Parameters!$B$25</f>
        <v/>
      </c>
    </row>
    <row r="369">
      <c r="A369" t="n">
        <v>36.7</v>
      </c>
      <c r="B369">
        <f>IF(A369&gt;162.1,Parameters!$B$5,Parameters!$B$4)</f>
        <v/>
      </c>
      <c r="C369">
        <f>C368-0.1*B369+0</f>
        <v/>
      </c>
      <c r="D369">
        <f>D368-0.1*B369+0</f>
        <v/>
      </c>
      <c r="E369">
        <f>Parameters!$B$25</f>
        <v/>
      </c>
    </row>
    <row r="370">
      <c r="A370" t="n">
        <v>36.8</v>
      </c>
      <c r="B370">
        <f>IF(A370&gt;162.1,Parameters!$B$5,Parameters!$B$4)</f>
        <v/>
      </c>
      <c r="C370">
        <f>C369-0.1*B370+0</f>
        <v/>
      </c>
      <c r="D370">
        <f>D369-0.1*B370+0</f>
        <v/>
      </c>
      <c r="E370">
        <f>Parameters!$B$25</f>
        <v/>
      </c>
    </row>
    <row r="371">
      <c r="A371" t="n">
        <v>36.9</v>
      </c>
      <c r="B371">
        <f>IF(A371&gt;162.1,Parameters!$B$5,Parameters!$B$4)</f>
        <v/>
      </c>
      <c r="C371">
        <f>C370-0.1*B371+0</f>
        <v/>
      </c>
      <c r="D371">
        <f>D370-0.1*B371+0</f>
        <v/>
      </c>
      <c r="E371">
        <f>Parameters!$B$25</f>
        <v/>
      </c>
    </row>
    <row r="372">
      <c r="A372" t="n">
        <v>37</v>
      </c>
      <c r="B372">
        <f>IF(A372&gt;162.1,Parameters!$B$5,Parameters!$B$4)</f>
        <v/>
      </c>
      <c r="C372">
        <f>C371-0.1*B372+0</f>
        <v/>
      </c>
      <c r="D372">
        <f>D371-0.1*B372+0</f>
        <v/>
      </c>
      <c r="E372">
        <f>Parameters!$B$25</f>
        <v/>
      </c>
    </row>
    <row r="373">
      <c r="A373" t="n">
        <v>37.1</v>
      </c>
      <c r="B373">
        <f>IF(A373&gt;162.1,Parameters!$B$5,Parameters!$B$4)</f>
        <v/>
      </c>
      <c r="C373">
        <f>C372-0.1*B373+0</f>
        <v/>
      </c>
      <c r="D373">
        <f>D372-0.1*B373+0</f>
        <v/>
      </c>
      <c r="E373">
        <f>Parameters!$B$25</f>
        <v/>
      </c>
    </row>
    <row r="374">
      <c r="A374" t="n">
        <v>37.2</v>
      </c>
      <c r="B374">
        <f>IF(A374&gt;162.1,Parameters!$B$5,Parameters!$B$4)</f>
        <v/>
      </c>
      <c r="C374">
        <f>C373-0.1*B374+0</f>
        <v/>
      </c>
      <c r="D374">
        <f>D373-0.1*B374+0</f>
        <v/>
      </c>
      <c r="E374">
        <f>Parameters!$B$25</f>
        <v/>
      </c>
    </row>
    <row r="375">
      <c r="A375" t="n">
        <v>37.3</v>
      </c>
      <c r="B375">
        <f>IF(A375&gt;162.1,Parameters!$B$5,Parameters!$B$4)</f>
        <v/>
      </c>
      <c r="C375">
        <f>C374-0.1*B375+0</f>
        <v/>
      </c>
      <c r="D375">
        <f>D374-0.1*B375+0</f>
        <v/>
      </c>
      <c r="E375">
        <f>Parameters!$B$25</f>
        <v/>
      </c>
    </row>
    <row r="376">
      <c r="A376" t="n">
        <v>37.4</v>
      </c>
      <c r="B376">
        <f>IF(A376&gt;162.1,Parameters!$B$5,Parameters!$B$4)</f>
        <v/>
      </c>
      <c r="C376">
        <f>C375-0.1*B376+0</f>
        <v/>
      </c>
      <c r="D376">
        <f>D375-0.1*B376+0</f>
        <v/>
      </c>
      <c r="E376">
        <f>Parameters!$B$25</f>
        <v/>
      </c>
    </row>
    <row r="377">
      <c r="A377" t="n">
        <v>37.5</v>
      </c>
      <c r="B377">
        <f>IF(A377&gt;162.1,Parameters!$B$5,Parameters!$B$4)</f>
        <v/>
      </c>
      <c r="C377">
        <f>C376-0.1*B377+0</f>
        <v/>
      </c>
      <c r="D377">
        <f>D376-0.1*B377+0</f>
        <v/>
      </c>
      <c r="E377">
        <f>Parameters!$B$25</f>
        <v/>
      </c>
    </row>
    <row r="378">
      <c r="A378" t="n">
        <v>37.6</v>
      </c>
      <c r="B378">
        <f>IF(A378&gt;162.1,Parameters!$B$5,Parameters!$B$4)</f>
        <v/>
      </c>
      <c r="C378">
        <f>C377-0.1*B378+0</f>
        <v/>
      </c>
      <c r="D378">
        <f>D377-0.1*B378+0</f>
        <v/>
      </c>
      <c r="E378">
        <f>Parameters!$B$25</f>
        <v/>
      </c>
    </row>
    <row r="379">
      <c r="A379" t="n">
        <v>37.7</v>
      </c>
      <c r="B379">
        <f>IF(A379&gt;162.1,Parameters!$B$5,Parameters!$B$4)</f>
        <v/>
      </c>
      <c r="C379">
        <f>C378-0.1*B379+0</f>
        <v/>
      </c>
      <c r="D379">
        <f>D378-0.1*B379+0</f>
        <v/>
      </c>
      <c r="E379">
        <f>Parameters!$B$25</f>
        <v/>
      </c>
    </row>
    <row r="380">
      <c r="A380" t="n">
        <v>37.8</v>
      </c>
      <c r="B380">
        <f>IF(A380&gt;162.1,Parameters!$B$5,Parameters!$B$4)</f>
        <v/>
      </c>
      <c r="C380">
        <f>C379-0.1*B380+0</f>
        <v/>
      </c>
      <c r="D380">
        <f>D379-0.1*B380+0</f>
        <v/>
      </c>
      <c r="E380">
        <f>Parameters!$B$25</f>
        <v/>
      </c>
    </row>
    <row r="381">
      <c r="A381" t="n">
        <v>37.9</v>
      </c>
      <c r="B381">
        <f>IF(A381&gt;162.1,Parameters!$B$5,Parameters!$B$4)</f>
        <v/>
      </c>
      <c r="C381">
        <f>C380-0.1*B381+0</f>
        <v/>
      </c>
      <c r="D381">
        <f>D380-0.1*B381+0</f>
        <v/>
      </c>
      <c r="E381">
        <f>Parameters!$B$25</f>
        <v/>
      </c>
    </row>
    <row r="382">
      <c r="A382" t="n">
        <v>38</v>
      </c>
      <c r="B382">
        <f>IF(A382&gt;162.1,Parameters!$B$5,Parameters!$B$4)</f>
        <v/>
      </c>
      <c r="C382">
        <f>C381-0.1*B382+0</f>
        <v/>
      </c>
      <c r="D382">
        <f>D381-0.1*B382+0</f>
        <v/>
      </c>
      <c r="E382">
        <f>Parameters!$B$25</f>
        <v/>
      </c>
    </row>
    <row r="383">
      <c r="A383" t="n">
        <v>38.1</v>
      </c>
      <c r="B383">
        <f>IF(A383&gt;162.1,Parameters!$B$5,Parameters!$B$4)</f>
        <v/>
      </c>
      <c r="C383">
        <f>C382-0.1*B383+0</f>
        <v/>
      </c>
      <c r="D383">
        <f>D382-0.1*B383+0</f>
        <v/>
      </c>
      <c r="E383">
        <f>Parameters!$B$25</f>
        <v/>
      </c>
    </row>
    <row r="384">
      <c r="A384" t="n">
        <v>38.2</v>
      </c>
      <c r="B384">
        <f>IF(A384&gt;162.1,Parameters!$B$5,Parameters!$B$4)</f>
        <v/>
      </c>
      <c r="C384">
        <f>C383-0.1*B384+0</f>
        <v/>
      </c>
      <c r="D384">
        <f>D383-0.1*B384+0</f>
        <v/>
      </c>
      <c r="E384">
        <f>Parameters!$B$25</f>
        <v/>
      </c>
    </row>
    <row r="385">
      <c r="A385" t="n">
        <v>38.3</v>
      </c>
      <c r="B385">
        <f>IF(A385&gt;162.1,Parameters!$B$5,Parameters!$B$4)</f>
        <v/>
      </c>
      <c r="C385">
        <f>C384-0.1*B385+0</f>
        <v/>
      </c>
      <c r="D385">
        <f>D384-0.1*B385+0</f>
        <v/>
      </c>
      <c r="E385">
        <f>Parameters!$B$25</f>
        <v/>
      </c>
    </row>
    <row r="386">
      <c r="A386" t="n">
        <v>38.4</v>
      </c>
      <c r="B386">
        <f>IF(A386&gt;162.1,Parameters!$B$5,Parameters!$B$4)</f>
        <v/>
      </c>
      <c r="C386">
        <f>C385-0.1*B386+0</f>
        <v/>
      </c>
      <c r="D386">
        <f>D385-0.1*B386+0</f>
        <v/>
      </c>
      <c r="E386">
        <f>Parameters!$B$25</f>
        <v/>
      </c>
    </row>
    <row r="387">
      <c r="A387" t="n">
        <v>38.5</v>
      </c>
      <c r="B387">
        <f>IF(A387&gt;162.1,Parameters!$B$5,Parameters!$B$4)</f>
        <v/>
      </c>
      <c r="C387">
        <f>C386-0.1*B387+0</f>
        <v/>
      </c>
      <c r="D387">
        <f>D386-0.1*B387+0</f>
        <v/>
      </c>
      <c r="E387">
        <f>Parameters!$B$25</f>
        <v/>
      </c>
    </row>
    <row r="388">
      <c r="A388" t="n">
        <v>38.6</v>
      </c>
      <c r="B388">
        <f>IF(A388&gt;162.1,Parameters!$B$5,Parameters!$B$4)</f>
        <v/>
      </c>
      <c r="C388">
        <f>C387-0.1*B388+0</f>
        <v/>
      </c>
      <c r="D388">
        <f>D387-0.1*B388+0</f>
        <v/>
      </c>
      <c r="E388">
        <f>Parameters!$B$25</f>
        <v/>
      </c>
    </row>
    <row r="389">
      <c r="A389" t="n">
        <v>38.7</v>
      </c>
      <c r="B389">
        <f>IF(A389&gt;162.1,Parameters!$B$5,Parameters!$B$4)</f>
        <v/>
      </c>
      <c r="C389">
        <f>C388-0.1*B389+0</f>
        <v/>
      </c>
      <c r="D389">
        <f>D388-0.1*B389+0</f>
        <v/>
      </c>
      <c r="E389">
        <f>Parameters!$B$25</f>
        <v/>
      </c>
    </row>
    <row r="390">
      <c r="A390" t="n">
        <v>38.8</v>
      </c>
      <c r="B390">
        <f>IF(A390&gt;162.1,Parameters!$B$5,Parameters!$B$4)</f>
        <v/>
      </c>
      <c r="C390">
        <f>C389-0.1*B390+0</f>
        <v/>
      </c>
      <c r="D390">
        <f>D389-0.1*B390+0</f>
        <v/>
      </c>
      <c r="E390">
        <f>Parameters!$B$25</f>
        <v/>
      </c>
    </row>
    <row r="391">
      <c r="A391" t="n">
        <v>38.9</v>
      </c>
      <c r="B391">
        <f>IF(A391&gt;162.1,Parameters!$B$5,Parameters!$B$4)</f>
        <v/>
      </c>
      <c r="C391">
        <f>C390-0.1*B391+0</f>
        <v/>
      </c>
      <c r="D391">
        <f>D390-0.1*B391+0</f>
        <v/>
      </c>
      <c r="E391">
        <f>Parameters!$B$25</f>
        <v/>
      </c>
    </row>
    <row r="392">
      <c r="A392" t="n">
        <v>39</v>
      </c>
      <c r="B392">
        <f>IF(A392&gt;162.1,Parameters!$B$5,Parameters!$B$4)</f>
        <v/>
      </c>
      <c r="C392">
        <f>C391-0.1*B392+0</f>
        <v/>
      </c>
      <c r="D392">
        <f>D391-0.1*B392+0</f>
        <v/>
      </c>
      <c r="E392">
        <f>Parameters!$B$25</f>
        <v/>
      </c>
    </row>
    <row r="393">
      <c r="A393" t="n">
        <v>39.1</v>
      </c>
      <c r="B393">
        <f>IF(A393&gt;162.1,Parameters!$B$5,Parameters!$B$4)</f>
        <v/>
      </c>
      <c r="C393">
        <f>C392-0.1*B393+0</f>
        <v/>
      </c>
      <c r="D393">
        <f>D392-0.1*B393+0</f>
        <v/>
      </c>
      <c r="E393">
        <f>Parameters!$B$25</f>
        <v/>
      </c>
    </row>
    <row r="394">
      <c r="A394" t="n">
        <v>39.2</v>
      </c>
      <c r="B394">
        <f>IF(A394&gt;162.1,Parameters!$B$5,Parameters!$B$4)</f>
        <v/>
      </c>
      <c r="C394">
        <f>C393-0.1*B394+0</f>
        <v/>
      </c>
      <c r="D394">
        <f>D393-0.1*B394+0</f>
        <v/>
      </c>
      <c r="E394">
        <f>Parameters!$B$25</f>
        <v/>
      </c>
    </row>
    <row r="395">
      <c r="A395" t="n">
        <v>39.3</v>
      </c>
      <c r="B395">
        <f>IF(A395&gt;162.1,Parameters!$B$5,Parameters!$B$4)</f>
        <v/>
      </c>
      <c r="C395">
        <f>C394-0.1*B395+0</f>
        <v/>
      </c>
      <c r="D395">
        <f>D394-0.1*B395+0</f>
        <v/>
      </c>
      <c r="E395">
        <f>Parameters!$B$25</f>
        <v/>
      </c>
    </row>
    <row r="396">
      <c r="A396" t="n">
        <v>39.4</v>
      </c>
      <c r="B396">
        <f>IF(A396&gt;162.1,Parameters!$B$5,Parameters!$B$4)</f>
        <v/>
      </c>
      <c r="C396">
        <f>C395-0.1*B396+0</f>
        <v/>
      </c>
      <c r="D396">
        <f>D395-0.1*B396+0</f>
        <v/>
      </c>
      <c r="E396">
        <f>Parameters!$B$25</f>
        <v/>
      </c>
    </row>
    <row r="397">
      <c r="A397" t="n">
        <v>39.5</v>
      </c>
      <c r="B397">
        <f>IF(A397&gt;162.1,Parameters!$B$5,Parameters!$B$4)</f>
        <v/>
      </c>
      <c r="C397">
        <f>C396-0.1*B397+0</f>
        <v/>
      </c>
      <c r="D397">
        <f>D396-0.1*B397+0</f>
        <v/>
      </c>
      <c r="E397">
        <f>Parameters!$B$25</f>
        <v/>
      </c>
    </row>
    <row r="398">
      <c r="A398" t="n">
        <v>39.6</v>
      </c>
      <c r="B398">
        <f>IF(A398&gt;162.1,Parameters!$B$5,Parameters!$B$4)</f>
        <v/>
      </c>
      <c r="C398">
        <f>C397-0.1*B398+0</f>
        <v/>
      </c>
      <c r="D398">
        <f>D397-0.1*B398+0</f>
        <v/>
      </c>
      <c r="E398">
        <f>Parameters!$B$25</f>
        <v/>
      </c>
    </row>
    <row r="399">
      <c r="A399" t="n">
        <v>39.7</v>
      </c>
      <c r="B399">
        <f>IF(A399&gt;162.1,Parameters!$B$5,Parameters!$B$4)</f>
        <v/>
      </c>
      <c r="C399">
        <f>C398-0.1*B399+0</f>
        <v/>
      </c>
      <c r="D399">
        <f>D398-0.1*B399+0</f>
        <v/>
      </c>
      <c r="E399">
        <f>Parameters!$B$25</f>
        <v/>
      </c>
    </row>
    <row r="400">
      <c r="A400" t="n">
        <v>39.8</v>
      </c>
      <c r="B400">
        <f>IF(A400&gt;162.1,Parameters!$B$5,Parameters!$B$4)</f>
        <v/>
      </c>
      <c r="C400">
        <f>C399-0.1*B400+0</f>
        <v/>
      </c>
      <c r="D400">
        <f>D399-0.1*B400+0</f>
        <v/>
      </c>
      <c r="E400">
        <f>Parameters!$B$25</f>
        <v/>
      </c>
    </row>
    <row r="401">
      <c r="A401" t="n">
        <v>39.9</v>
      </c>
      <c r="B401">
        <f>IF(A401&gt;162.1,Parameters!$B$5,Parameters!$B$4)</f>
        <v/>
      </c>
      <c r="C401">
        <f>C400-0.1*B401+0</f>
        <v/>
      </c>
      <c r="D401">
        <f>D400-0.1*B401+0</f>
        <v/>
      </c>
      <c r="E401">
        <f>Parameters!$B$25</f>
        <v/>
      </c>
    </row>
    <row r="402">
      <c r="A402" t="n">
        <v>40</v>
      </c>
      <c r="B402">
        <f>IF(A402&gt;162.1,Parameters!$B$5,Parameters!$B$4)</f>
        <v/>
      </c>
      <c r="C402">
        <f>C401-0.1*B402+0</f>
        <v/>
      </c>
      <c r="D402">
        <f>D401-0.1*B402+0</f>
        <v/>
      </c>
      <c r="E402">
        <f>Parameters!$B$25</f>
        <v/>
      </c>
    </row>
    <row r="403">
      <c r="A403" t="n">
        <v>40.1</v>
      </c>
      <c r="B403">
        <f>IF(A403&gt;162.1,Parameters!$B$5,Parameters!$B$4)</f>
        <v/>
      </c>
      <c r="C403">
        <f>C402-0.1*B403+0</f>
        <v/>
      </c>
      <c r="D403">
        <f>D402-0.1*B403+0</f>
        <v/>
      </c>
      <c r="E403">
        <f>Parameters!$B$25</f>
        <v/>
      </c>
    </row>
    <row r="404">
      <c r="A404" t="n">
        <v>40.2</v>
      </c>
      <c r="B404">
        <f>IF(A404&gt;162.1,Parameters!$B$5,Parameters!$B$4)</f>
        <v/>
      </c>
      <c r="C404">
        <f>C403-0.1*B404+0</f>
        <v/>
      </c>
      <c r="D404">
        <f>D403-0.1*B404+0</f>
        <v/>
      </c>
      <c r="E404">
        <f>Parameters!$B$25</f>
        <v/>
      </c>
    </row>
    <row r="405">
      <c r="A405" t="n">
        <v>40.3</v>
      </c>
      <c r="B405">
        <f>IF(A405&gt;162.1,Parameters!$B$5,Parameters!$B$4)</f>
        <v/>
      </c>
      <c r="C405">
        <f>C404-0.1*B405+0</f>
        <v/>
      </c>
      <c r="D405">
        <f>D404-0.1*B405+0</f>
        <v/>
      </c>
      <c r="E405">
        <f>Parameters!$B$25</f>
        <v/>
      </c>
    </row>
    <row r="406">
      <c r="A406" t="n">
        <v>40.4</v>
      </c>
      <c r="B406">
        <f>IF(A406&gt;162.1,Parameters!$B$5,Parameters!$B$4)</f>
        <v/>
      </c>
      <c r="C406">
        <f>C405-0.1*B406+0</f>
        <v/>
      </c>
      <c r="D406">
        <f>D405-0.1*B406+0</f>
        <v/>
      </c>
      <c r="E406">
        <f>Parameters!$B$25</f>
        <v/>
      </c>
    </row>
    <row r="407">
      <c r="A407" t="n">
        <v>40.5</v>
      </c>
      <c r="B407">
        <f>IF(A407&gt;162.1,Parameters!$B$5,Parameters!$B$4)</f>
        <v/>
      </c>
      <c r="C407">
        <f>C406-0.1*B407+0</f>
        <v/>
      </c>
      <c r="D407">
        <f>D406-0.1*B407+0</f>
        <v/>
      </c>
      <c r="E407">
        <f>Parameters!$B$25</f>
        <v/>
      </c>
    </row>
    <row r="408">
      <c r="A408" t="n">
        <v>40.6</v>
      </c>
      <c r="B408">
        <f>IF(A408&gt;162.1,Parameters!$B$5,Parameters!$B$4)</f>
        <v/>
      </c>
      <c r="C408">
        <f>C407-0.1*B408+0</f>
        <v/>
      </c>
      <c r="D408">
        <f>D407-0.1*B408+0</f>
        <v/>
      </c>
      <c r="E408">
        <f>Parameters!$B$25</f>
        <v/>
      </c>
    </row>
    <row r="409">
      <c r="A409" t="n">
        <v>40.7</v>
      </c>
      <c r="B409">
        <f>IF(A409&gt;162.1,Parameters!$B$5,Parameters!$B$4)</f>
        <v/>
      </c>
      <c r="C409">
        <f>C408-0.1*B409+0</f>
        <v/>
      </c>
      <c r="D409">
        <f>D408-0.1*B409+0</f>
        <v/>
      </c>
      <c r="E409">
        <f>Parameters!$B$25</f>
        <v/>
      </c>
    </row>
    <row r="410">
      <c r="A410" t="n">
        <v>40.8</v>
      </c>
      <c r="B410">
        <f>IF(A410&gt;162.1,Parameters!$B$5,Parameters!$B$4)</f>
        <v/>
      </c>
      <c r="C410">
        <f>C409-0.1*B410+0</f>
        <v/>
      </c>
      <c r="D410">
        <f>D409-0.1*B410+0</f>
        <v/>
      </c>
      <c r="E410">
        <f>Parameters!$B$25</f>
        <v/>
      </c>
    </row>
    <row r="411">
      <c r="A411" t="n">
        <v>40.9</v>
      </c>
      <c r="B411">
        <f>IF(A411&gt;162.1,Parameters!$B$5,Parameters!$B$4)</f>
        <v/>
      </c>
      <c r="C411">
        <f>C410-0.1*B411+0</f>
        <v/>
      </c>
      <c r="D411">
        <f>D410-0.1*B411+0</f>
        <v/>
      </c>
      <c r="E411">
        <f>Parameters!$B$25</f>
        <v/>
      </c>
    </row>
    <row r="412">
      <c r="A412" t="n">
        <v>41</v>
      </c>
      <c r="B412">
        <f>IF(A412&gt;162.1,Parameters!$B$5,Parameters!$B$4)</f>
        <v/>
      </c>
      <c r="C412">
        <f>C411-0.1*B412+0</f>
        <v/>
      </c>
      <c r="D412">
        <f>D411-0.1*B412+0</f>
        <v/>
      </c>
      <c r="E412">
        <f>Parameters!$B$25</f>
        <v/>
      </c>
    </row>
    <row r="413">
      <c r="A413" t="n">
        <v>41.1</v>
      </c>
      <c r="B413">
        <f>IF(A413&gt;162.1,Parameters!$B$5,Parameters!$B$4)</f>
        <v/>
      </c>
      <c r="C413">
        <f>C412-0.1*B413+0</f>
        <v/>
      </c>
      <c r="D413">
        <f>D412-0.1*B413+0</f>
        <v/>
      </c>
      <c r="E413">
        <f>Parameters!$B$25</f>
        <v/>
      </c>
    </row>
    <row r="414">
      <c r="A414" t="n">
        <v>41.2</v>
      </c>
      <c r="B414">
        <f>IF(A414&gt;162.1,Parameters!$B$5,Parameters!$B$4)</f>
        <v/>
      </c>
      <c r="C414">
        <f>C413-0.1*B414+0</f>
        <v/>
      </c>
      <c r="D414">
        <f>D413-0.1*B414+0</f>
        <v/>
      </c>
      <c r="E414">
        <f>Parameters!$B$25</f>
        <v/>
      </c>
    </row>
    <row r="415">
      <c r="A415" t="n">
        <v>41.3</v>
      </c>
      <c r="B415">
        <f>IF(A415&gt;162.1,Parameters!$B$5,Parameters!$B$4)</f>
        <v/>
      </c>
      <c r="C415">
        <f>C414-0.1*B415+0</f>
        <v/>
      </c>
      <c r="D415">
        <f>D414-0.1*B415+0</f>
        <v/>
      </c>
      <c r="E415">
        <f>Parameters!$B$25</f>
        <v/>
      </c>
    </row>
    <row r="416">
      <c r="A416" t="n">
        <v>41.4</v>
      </c>
      <c r="B416">
        <f>IF(A416&gt;162.1,Parameters!$B$5,Parameters!$B$4)</f>
        <v/>
      </c>
      <c r="C416">
        <f>C415-0.1*B416+0</f>
        <v/>
      </c>
      <c r="D416">
        <f>D415-0.1*B416+0</f>
        <v/>
      </c>
      <c r="E416">
        <f>Parameters!$B$25</f>
        <v/>
      </c>
    </row>
    <row r="417">
      <c r="A417" t="n">
        <v>41.5</v>
      </c>
      <c r="B417">
        <f>IF(A417&gt;162.1,Parameters!$B$5,Parameters!$B$4)</f>
        <v/>
      </c>
      <c r="C417">
        <f>C416-0.1*B417+0</f>
        <v/>
      </c>
      <c r="D417">
        <f>D416-0.1*B417+0</f>
        <v/>
      </c>
      <c r="E417">
        <f>Parameters!$B$25</f>
        <v/>
      </c>
    </row>
    <row r="418">
      <c r="A418" t="n">
        <v>41.6</v>
      </c>
      <c r="B418">
        <f>IF(A418&gt;162.1,Parameters!$B$5,Parameters!$B$4)</f>
        <v/>
      </c>
      <c r="C418">
        <f>C417-0.1*B418+0</f>
        <v/>
      </c>
      <c r="D418">
        <f>D417-0.1*B418+0</f>
        <v/>
      </c>
      <c r="E418">
        <f>Parameters!$B$25</f>
        <v/>
      </c>
    </row>
    <row r="419">
      <c r="A419" t="n">
        <v>41.7</v>
      </c>
      <c r="B419">
        <f>IF(A419&gt;162.1,Parameters!$B$5,Parameters!$B$4)</f>
        <v/>
      </c>
      <c r="C419">
        <f>C418-0.1*B419+0</f>
        <v/>
      </c>
      <c r="D419">
        <f>D418-0.1*B419+0</f>
        <v/>
      </c>
      <c r="E419">
        <f>Parameters!$B$25</f>
        <v/>
      </c>
    </row>
    <row r="420">
      <c r="A420" t="n">
        <v>41.8</v>
      </c>
      <c r="B420">
        <f>IF(A420&gt;162.1,Parameters!$B$5,Parameters!$B$4)</f>
        <v/>
      </c>
      <c r="C420">
        <f>C419-0.1*B420+0</f>
        <v/>
      </c>
      <c r="D420">
        <f>D419-0.1*B420+0</f>
        <v/>
      </c>
      <c r="E420">
        <f>Parameters!$B$25</f>
        <v/>
      </c>
    </row>
    <row r="421">
      <c r="A421" t="n">
        <v>41.9</v>
      </c>
      <c r="B421">
        <f>IF(A421&gt;162.1,Parameters!$B$5,Parameters!$B$4)</f>
        <v/>
      </c>
      <c r="C421">
        <f>C420-0.1*B421+0</f>
        <v/>
      </c>
      <c r="D421">
        <f>D420-0.1*B421+0</f>
        <v/>
      </c>
      <c r="E421">
        <f>Parameters!$B$25</f>
        <v/>
      </c>
    </row>
    <row r="422">
      <c r="A422" t="n">
        <v>42</v>
      </c>
      <c r="B422">
        <f>IF(A422&gt;162.1,Parameters!$B$5,Parameters!$B$4)</f>
        <v/>
      </c>
      <c r="C422">
        <f>C421-0.1*B422+0</f>
        <v/>
      </c>
      <c r="D422">
        <f>D421-0.1*B422+0</f>
        <v/>
      </c>
      <c r="E422">
        <f>Parameters!$B$25</f>
        <v/>
      </c>
    </row>
    <row r="423">
      <c r="A423" t="n">
        <v>42.1</v>
      </c>
      <c r="B423">
        <f>IF(A423&gt;162.1,Parameters!$B$5,Parameters!$B$4)</f>
        <v/>
      </c>
      <c r="C423">
        <f>C422-0.1*B423+0</f>
        <v/>
      </c>
      <c r="D423">
        <f>D422-0.1*B423+0</f>
        <v/>
      </c>
      <c r="E423">
        <f>Parameters!$B$25</f>
        <v/>
      </c>
    </row>
    <row r="424">
      <c r="A424" t="n">
        <v>42.2</v>
      </c>
      <c r="B424">
        <f>IF(A424&gt;162.1,Parameters!$B$5,Parameters!$B$4)</f>
        <v/>
      </c>
      <c r="C424">
        <f>C423-0.1*B424+0</f>
        <v/>
      </c>
      <c r="D424">
        <f>D423-0.1*B424+0</f>
        <v/>
      </c>
      <c r="E424">
        <f>Parameters!$B$25</f>
        <v/>
      </c>
    </row>
    <row r="425">
      <c r="A425" t="n">
        <v>42.3</v>
      </c>
      <c r="B425">
        <f>IF(A425&gt;162.1,Parameters!$B$5,Parameters!$B$4)</f>
        <v/>
      </c>
      <c r="C425">
        <f>C424-0.1*B425+0</f>
        <v/>
      </c>
      <c r="D425">
        <f>D424-0.1*B425+0</f>
        <v/>
      </c>
      <c r="E425">
        <f>Parameters!$B$25</f>
        <v/>
      </c>
    </row>
    <row r="426">
      <c r="A426" t="n">
        <v>42.4</v>
      </c>
      <c r="B426">
        <f>IF(A426&gt;162.1,Parameters!$B$5,Parameters!$B$4)</f>
        <v/>
      </c>
      <c r="C426">
        <f>C425-0.1*B426+0</f>
        <v/>
      </c>
      <c r="D426">
        <f>D425-0.1*B426+0</f>
        <v/>
      </c>
      <c r="E426">
        <f>Parameters!$B$25</f>
        <v/>
      </c>
    </row>
    <row r="427">
      <c r="A427" t="n">
        <v>42.5</v>
      </c>
      <c r="B427">
        <f>IF(A427&gt;162.1,Parameters!$B$5,Parameters!$B$4)</f>
        <v/>
      </c>
      <c r="C427">
        <f>C426-0.1*B427+0</f>
        <v/>
      </c>
      <c r="D427">
        <f>D426-0.1*B427+0</f>
        <v/>
      </c>
      <c r="E427">
        <f>Parameters!$B$25</f>
        <v/>
      </c>
    </row>
    <row r="428">
      <c r="A428" t="n">
        <v>42.6</v>
      </c>
      <c r="B428">
        <f>IF(A428&gt;162.1,Parameters!$B$5,Parameters!$B$4)</f>
        <v/>
      </c>
      <c r="C428">
        <f>C427-0.1*B428+0</f>
        <v/>
      </c>
      <c r="D428">
        <f>D427-0.1*B428+0</f>
        <v/>
      </c>
      <c r="E428">
        <f>Parameters!$B$25</f>
        <v/>
      </c>
    </row>
    <row r="429">
      <c r="A429" t="n">
        <v>42.7</v>
      </c>
      <c r="B429">
        <f>IF(A429&gt;162.1,Parameters!$B$5,Parameters!$B$4)</f>
        <v/>
      </c>
      <c r="C429">
        <f>C428-0.1*B429+0</f>
        <v/>
      </c>
      <c r="D429">
        <f>D428-0.1*B429+0</f>
        <v/>
      </c>
      <c r="E429">
        <f>Parameters!$B$25</f>
        <v/>
      </c>
    </row>
    <row r="430">
      <c r="A430" t="n">
        <v>42.8</v>
      </c>
      <c r="B430">
        <f>IF(A430&gt;162.1,Parameters!$B$5,Parameters!$B$4)</f>
        <v/>
      </c>
      <c r="C430">
        <f>C429-0.1*B430+0</f>
        <v/>
      </c>
      <c r="D430">
        <f>D429-0.1*B430+0</f>
        <v/>
      </c>
      <c r="E430">
        <f>Parameters!$B$25</f>
        <v/>
      </c>
    </row>
    <row r="431">
      <c r="A431" t="n">
        <v>42.9</v>
      </c>
      <c r="B431">
        <f>IF(A431&gt;162.1,Parameters!$B$5,Parameters!$B$4)</f>
        <v/>
      </c>
      <c r="C431">
        <f>C430-0.1*B431+0</f>
        <v/>
      </c>
      <c r="D431">
        <f>D430-0.1*B431+0</f>
        <v/>
      </c>
      <c r="E431">
        <f>Parameters!$B$25</f>
        <v/>
      </c>
    </row>
    <row r="432">
      <c r="A432" t="n">
        <v>43</v>
      </c>
      <c r="B432">
        <f>IF(A432&gt;162.1,Parameters!$B$5,Parameters!$B$4)</f>
        <v/>
      </c>
      <c r="C432">
        <f>C431-0.1*B432+0</f>
        <v/>
      </c>
      <c r="D432">
        <f>D431-0.1*B432+0</f>
        <v/>
      </c>
      <c r="E432">
        <f>Parameters!$B$25</f>
        <v/>
      </c>
    </row>
    <row r="433">
      <c r="A433" t="n">
        <v>43.1</v>
      </c>
      <c r="B433">
        <f>IF(A433&gt;162.1,Parameters!$B$5,Parameters!$B$4)</f>
        <v/>
      </c>
      <c r="C433">
        <f>C432-0.1*B433+0</f>
        <v/>
      </c>
      <c r="D433">
        <f>D432-0.1*B433+0</f>
        <v/>
      </c>
      <c r="E433">
        <f>Parameters!$B$25</f>
        <v/>
      </c>
    </row>
    <row r="434">
      <c r="A434" t="n">
        <v>43.2</v>
      </c>
      <c r="B434">
        <f>IF(A434&gt;162.1,Parameters!$B$5,Parameters!$B$4)</f>
        <v/>
      </c>
      <c r="C434">
        <f>C433-0.1*B434+0</f>
        <v/>
      </c>
      <c r="D434">
        <f>D433-0.1*B434+0</f>
        <v/>
      </c>
      <c r="E434">
        <f>Parameters!$B$25</f>
        <v/>
      </c>
    </row>
    <row r="435">
      <c r="A435" t="n">
        <v>43.3</v>
      </c>
      <c r="B435">
        <f>IF(A435&gt;162.1,Parameters!$B$5,Parameters!$B$4)</f>
        <v/>
      </c>
      <c r="C435">
        <f>C434-0.1*B435+0</f>
        <v/>
      </c>
      <c r="D435">
        <f>D434-0.1*B435+0</f>
        <v/>
      </c>
      <c r="E435">
        <f>Parameters!$B$25</f>
        <v/>
      </c>
    </row>
    <row r="436">
      <c r="A436" t="n">
        <v>43.4</v>
      </c>
      <c r="B436">
        <f>IF(A436&gt;162.1,Parameters!$B$5,Parameters!$B$4)</f>
        <v/>
      </c>
      <c r="C436">
        <f>C435-0.1*B436+0</f>
        <v/>
      </c>
      <c r="D436">
        <f>D435-0.1*B436+0</f>
        <v/>
      </c>
      <c r="E436">
        <f>Parameters!$B$25</f>
        <v/>
      </c>
    </row>
    <row r="437">
      <c r="A437" t="n">
        <v>43.5</v>
      </c>
      <c r="B437">
        <f>IF(A437&gt;162.1,Parameters!$B$5,Parameters!$B$4)</f>
        <v/>
      </c>
      <c r="C437">
        <f>C436-0.1*B437+0</f>
        <v/>
      </c>
      <c r="D437">
        <f>D436-0.1*B437+0</f>
        <v/>
      </c>
      <c r="E437">
        <f>Parameters!$B$25</f>
        <v/>
      </c>
    </row>
    <row r="438">
      <c r="A438" t="n">
        <v>43.6</v>
      </c>
      <c r="B438">
        <f>IF(A438&gt;162.1,Parameters!$B$5,Parameters!$B$4)</f>
        <v/>
      </c>
      <c r="C438">
        <f>C437-0.1*B438+0</f>
        <v/>
      </c>
      <c r="D438">
        <f>D437-0.1*B438+0</f>
        <v/>
      </c>
      <c r="E438">
        <f>Parameters!$B$25</f>
        <v/>
      </c>
    </row>
    <row r="439">
      <c r="A439" t="n">
        <v>43.7</v>
      </c>
      <c r="B439">
        <f>IF(A439&gt;162.1,Parameters!$B$5,Parameters!$B$4)</f>
        <v/>
      </c>
      <c r="C439">
        <f>C438-0.1*B439+0</f>
        <v/>
      </c>
      <c r="D439">
        <f>D438-0.1*B439+0</f>
        <v/>
      </c>
      <c r="E439">
        <f>Parameters!$B$25</f>
        <v/>
      </c>
    </row>
    <row r="440">
      <c r="A440" t="n">
        <v>43.8</v>
      </c>
      <c r="B440">
        <f>IF(A440&gt;162.1,Parameters!$B$5,Parameters!$B$4)</f>
        <v/>
      </c>
      <c r="C440">
        <f>C439-0.1*B440+0</f>
        <v/>
      </c>
      <c r="D440">
        <f>D439-0.1*B440+0</f>
        <v/>
      </c>
      <c r="E440">
        <f>Parameters!$B$25</f>
        <v/>
      </c>
    </row>
    <row r="441">
      <c r="A441" t="n">
        <v>43.9</v>
      </c>
      <c r="B441">
        <f>IF(A441&gt;162.1,Parameters!$B$5,Parameters!$B$4)</f>
        <v/>
      </c>
      <c r="C441">
        <f>C440-0.1*B441+0</f>
        <v/>
      </c>
      <c r="D441">
        <f>D440-0.1*B441+0</f>
        <v/>
      </c>
      <c r="E441">
        <f>Parameters!$B$25</f>
        <v/>
      </c>
    </row>
    <row r="442">
      <c r="A442" t="n">
        <v>44</v>
      </c>
      <c r="B442">
        <f>IF(A442&gt;162.1,Parameters!$B$5,Parameters!$B$4)</f>
        <v/>
      </c>
      <c r="C442">
        <f>C441-0.1*B442+0</f>
        <v/>
      </c>
      <c r="D442">
        <f>D441-0.1*B442+0</f>
        <v/>
      </c>
      <c r="E442">
        <f>Parameters!$B$25</f>
        <v/>
      </c>
    </row>
    <row r="443">
      <c r="A443" t="n">
        <v>44.1</v>
      </c>
      <c r="B443">
        <f>IF(A443&gt;162.1,Parameters!$B$5,Parameters!$B$4)</f>
        <v/>
      </c>
      <c r="C443">
        <f>C442-0.1*B443+0</f>
        <v/>
      </c>
      <c r="D443">
        <f>D442-0.1*B443+0</f>
        <v/>
      </c>
      <c r="E443">
        <f>Parameters!$B$25</f>
        <v/>
      </c>
    </row>
    <row r="444">
      <c r="A444" t="n">
        <v>44.2</v>
      </c>
      <c r="B444">
        <f>IF(A444&gt;162.1,Parameters!$B$5,Parameters!$B$4)</f>
        <v/>
      </c>
      <c r="C444">
        <f>C443-0.1*B444+0</f>
        <v/>
      </c>
      <c r="D444">
        <f>D443-0.1*B444+0</f>
        <v/>
      </c>
      <c r="E444">
        <f>Parameters!$B$25</f>
        <v/>
      </c>
    </row>
    <row r="445">
      <c r="A445" t="n">
        <v>44.3</v>
      </c>
      <c r="B445">
        <f>IF(A445&gt;162.1,Parameters!$B$5,Parameters!$B$4)</f>
        <v/>
      </c>
      <c r="C445">
        <f>C444-0.1*B445+0</f>
        <v/>
      </c>
      <c r="D445">
        <f>D444-0.1*B445+0</f>
        <v/>
      </c>
      <c r="E445">
        <f>Parameters!$B$25</f>
        <v/>
      </c>
    </row>
    <row r="446">
      <c r="A446" t="n">
        <v>44.4</v>
      </c>
      <c r="B446">
        <f>IF(A446&gt;162.1,Parameters!$B$5,Parameters!$B$4)</f>
        <v/>
      </c>
      <c r="C446">
        <f>C445-0.1*B446+0</f>
        <v/>
      </c>
      <c r="D446">
        <f>D445-0.1*B446+0</f>
        <v/>
      </c>
      <c r="E446">
        <f>Parameters!$B$25</f>
        <v/>
      </c>
    </row>
    <row r="447">
      <c r="A447" t="n">
        <v>44.5</v>
      </c>
      <c r="B447">
        <f>IF(A447&gt;162.1,Parameters!$B$5,Parameters!$B$4)</f>
        <v/>
      </c>
      <c r="C447">
        <f>C446-0.1*B447+0</f>
        <v/>
      </c>
      <c r="D447">
        <f>D446-0.1*B447+0</f>
        <v/>
      </c>
      <c r="E447">
        <f>Parameters!$B$25</f>
        <v/>
      </c>
    </row>
    <row r="448">
      <c r="A448" t="n">
        <v>44.6</v>
      </c>
      <c r="B448">
        <f>IF(A448&gt;162.1,Parameters!$B$5,Parameters!$B$4)</f>
        <v/>
      </c>
      <c r="C448">
        <f>C447-0.1*B448+0</f>
        <v/>
      </c>
      <c r="D448">
        <f>D447-0.1*B448+0</f>
        <v/>
      </c>
      <c r="E448">
        <f>Parameters!$B$25</f>
        <v/>
      </c>
    </row>
    <row r="449">
      <c r="A449" t="n">
        <v>44.7</v>
      </c>
      <c r="B449">
        <f>IF(A449&gt;162.1,Parameters!$B$5,Parameters!$B$4)</f>
        <v/>
      </c>
      <c r="C449">
        <f>C448-0.1*B449+0</f>
        <v/>
      </c>
      <c r="D449">
        <f>D448-0.1*B449+0</f>
        <v/>
      </c>
      <c r="E449">
        <f>Parameters!$B$25</f>
        <v/>
      </c>
    </row>
    <row r="450">
      <c r="A450" t="n">
        <v>44.8</v>
      </c>
      <c r="B450">
        <f>IF(A450&gt;162.1,Parameters!$B$5,Parameters!$B$4)</f>
        <v/>
      </c>
      <c r="C450">
        <f>C449-0.1*B450+0</f>
        <v/>
      </c>
      <c r="D450">
        <f>D449-0.1*B450+0</f>
        <v/>
      </c>
      <c r="E450">
        <f>Parameters!$B$25</f>
        <v/>
      </c>
    </row>
    <row r="451">
      <c r="A451" t="n">
        <v>44.9</v>
      </c>
      <c r="B451">
        <f>IF(A451&gt;162.1,Parameters!$B$5,Parameters!$B$4)</f>
        <v/>
      </c>
      <c r="C451">
        <f>C450-0.1*B451+0</f>
        <v/>
      </c>
      <c r="D451">
        <f>D450-0.1*B451+0</f>
        <v/>
      </c>
      <c r="E451">
        <f>Parameters!$B$25</f>
        <v/>
      </c>
    </row>
    <row r="452">
      <c r="A452" t="n">
        <v>45</v>
      </c>
      <c r="B452">
        <f>IF(A452&gt;162.1,Parameters!$B$5,Parameters!$B$4)</f>
        <v/>
      </c>
      <c r="C452">
        <f>C451-0.1*B452+0</f>
        <v/>
      </c>
      <c r="D452">
        <f>D451-0.1*B452+0</f>
        <v/>
      </c>
      <c r="E452">
        <f>Parameters!$B$25</f>
        <v/>
      </c>
    </row>
    <row r="453">
      <c r="A453" t="n">
        <v>45.1</v>
      </c>
      <c r="B453">
        <f>IF(A453&gt;162.1,Parameters!$B$5,Parameters!$B$4)</f>
        <v/>
      </c>
      <c r="C453">
        <f>C452-0.1*B453+0</f>
        <v/>
      </c>
      <c r="D453">
        <f>D452-0.1*B453+0</f>
        <v/>
      </c>
      <c r="E453">
        <f>Parameters!$B$25</f>
        <v/>
      </c>
    </row>
    <row r="454">
      <c r="A454" t="n">
        <v>45.2</v>
      </c>
      <c r="B454">
        <f>IF(A454&gt;162.1,Parameters!$B$5,Parameters!$B$4)</f>
        <v/>
      </c>
      <c r="C454">
        <f>C453-0.1*B454+0</f>
        <v/>
      </c>
      <c r="D454">
        <f>D453-0.1*B454+0</f>
        <v/>
      </c>
      <c r="E454">
        <f>Parameters!$B$25</f>
        <v/>
      </c>
    </row>
    <row r="455">
      <c r="A455" t="n">
        <v>45.3</v>
      </c>
      <c r="B455">
        <f>IF(A455&gt;162.1,Parameters!$B$5,Parameters!$B$4)</f>
        <v/>
      </c>
      <c r="C455">
        <f>C454-0.1*B455+0</f>
        <v/>
      </c>
      <c r="D455">
        <f>D454-0.1*B455+0</f>
        <v/>
      </c>
      <c r="E455">
        <f>Parameters!$B$25</f>
        <v/>
      </c>
    </row>
    <row r="456">
      <c r="A456" t="n">
        <v>45.4</v>
      </c>
      <c r="B456">
        <f>IF(A456&gt;162.1,Parameters!$B$5,Parameters!$B$4)</f>
        <v/>
      </c>
      <c r="C456">
        <f>C455-0.1*B456+0</f>
        <v/>
      </c>
      <c r="D456">
        <f>D455-0.1*B456+0</f>
        <v/>
      </c>
      <c r="E456">
        <f>Parameters!$B$25</f>
        <v/>
      </c>
    </row>
    <row r="457">
      <c r="A457" t="n">
        <v>45.5</v>
      </c>
      <c r="B457">
        <f>IF(A457&gt;162.1,Parameters!$B$5,Parameters!$B$4)</f>
        <v/>
      </c>
      <c r="C457">
        <f>C456-0.1*B457+0</f>
        <v/>
      </c>
      <c r="D457">
        <f>D456-0.1*B457+0</f>
        <v/>
      </c>
      <c r="E457">
        <f>Parameters!$B$25</f>
        <v/>
      </c>
    </row>
    <row r="458">
      <c r="A458" t="n">
        <v>45.6</v>
      </c>
      <c r="B458">
        <f>IF(A458&gt;162.1,Parameters!$B$5,Parameters!$B$4)</f>
        <v/>
      </c>
      <c r="C458">
        <f>C457-0.1*B458+0</f>
        <v/>
      </c>
      <c r="D458">
        <f>D457-0.1*B458+0</f>
        <v/>
      </c>
      <c r="E458">
        <f>Parameters!$B$25</f>
        <v/>
      </c>
    </row>
    <row r="459">
      <c r="A459" t="n">
        <v>45.7</v>
      </c>
      <c r="B459">
        <f>IF(A459&gt;162.1,Parameters!$B$5,Parameters!$B$4)</f>
        <v/>
      </c>
      <c r="C459">
        <f>C458-0.1*B459+0</f>
        <v/>
      </c>
      <c r="D459">
        <f>D458-0.1*B459+0</f>
        <v/>
      </c>
      <c r="E459">
        <f>Parameters!$B$25</f>
        <v/>
      </c>
    </row>
    <row r="460">
      <c r="A460" t="n">
        <v>45.8</v>
      </c>
      <c r="B460">
        <f>IF(A460&gt;162.1,Parameters!$B$5,Parameters!$B$4)</f>
        <v/>
      </c>
      <c r="C460">
        <f>C459-0.1*B460+0</f>
        <v/>
      </c>
      <c r="D460">
        <f>D459-0.1*B460+0</f>
        <v/>
      </c>
      <c r="E460">
        <f>Parameters!$B$25</f>
        <v/>
      </c>
    </row>
    <row r="461">
      <c r="A461" t="n">
        <v>45.9</v>
      </c>
      <c r="B461">
        <f>IF(A461&gt;162.1,Parameters!$B$5,Parameters!$B$4)</f>
        <v/>
      </c>
      <c r="C461">
        <f>C460-0.1*B461+0</f>
        <v/>
      </c>
      <c r="D461">
        <f>D460-0.1*B461+0</f>
        <v/>
      </c>
      <c r="E461">
        <f>Parameters!$B$25</f>
        <v/>
      </c>
    </row>
    <row r="462">
      <c r="A462" t="n">
        <v>46</v>
      </c>
      <c r="B462">
        <f>IF(A462&gt;162.1,Parameters!$B$5,Parameters!$B$4)</f>
        <v/>
      </c>
      <c r="C462">
        <f>C461-0.1*B462+0</f>
        <v/>
      </c>
      <c r="D462">
        <f>D461-0.1*B462+0</f>
        <v/>
      </c>
      <c r="E462">
        <f>Parameters!$B$25</f>
        <v/>
      </c>
    </row>
    <row r="463">
      <c r="A463" t="n">
        <v>46.1</v>
      </c>
      <c r="B463">
        <f>IF(A463&gt;162.1,Parameters!$B$5,Parameters!$B$4)</f>
        <v/>
      </c>
      <c r="C463">
        <f>C462-0.1*B463+0</f>
        <v/>
      </c>
      <c r="D463">
        <f>D462-0.1*B463+0</f>
        <v/>
      </c>
      <c r="E463">
        <f>Parameters!$B$25</f>
        <v/>
      </c>
    </row>
    <row r="464">
      <c r="A464" t="n">
        <v>46.2</v>
      </c>
      <c r="B464">
        <f>IF(A464&gt;162.1,Parameters!$B$5,Parameters!$B$4)</f>
        <v/>
      </c>
      <c r="C464">
        <f>C463-0.1*B464+0</f>
        <v/>
      </c>
      <c r="D464">
        <f>D463-0.1*B464+0</f>
        <v/>
      </c>
      <c r="E464">
        <f>Parameters!$B$25</f>
        <v/>
      </c>
    </row>
    <row r="465">
      <c r="A465" t="n">
        <v>46.3</v>
      </c>
      <c r="B465">
        <f>IF(A465&gt;162.1,Parameters!$B$5,Parameters!$B$4)</f>
        <v/>
      </c>
      <c r="C465">
        <f>C464-0.1*B465+0</f>
        <v/>
      </c>
      <c r="D465">
        <f>D464-0.1*B465+0</f>
        <v/>
      </c>
      <c r="E465">
        <f>Parameters!$B$25</f>
        <v/>
      </c>
    </row>
    <row r="466">
      <c r="A466" t="n">
        <v>46.4</v>
      </c>
      <c r="B466">
        <f>IF(A466&gt;162.1,Parameters!$B$5,Parameters!$B$4)</f>
        <v/>
      </c>
      <c r="C466">
        <f>C465-0.1*B466+0</f>
        <v/>
      </c>
      <c r="D466">
        <f>D465-0.1*B466+0</f>
        <v/>
      </c>
      <c r="E466">
        <f>Parameters!$B$25</f>
        <v/>
      </c>
    </row>
    <row r="467">
      <c r="A467" t="n">
        <v>46.5</v>
      </c>
      <c r="B467">
        <f>IF(A467&gt;162.1,Parameters!$B$5,Parameters!$B$4)</f>
        <v/>
      </c>
      <c r="C467">
        <f>C466-0.1*B467+0</f>
        <v/>
      </c>
      <c r="D467">
        <f>D466-0.1*B467+0</f>
        <v/>
      </c>
      <c r="E467">
        <f>Parameters!$B$25</f>
        <v/>
      </c>
    </row>
    <row r="468">
      <c r="A468" t="n">
        <v>46.6</v>
      </c>
      <c r="B468">
        <f>IF(A468&gt;162.1,Parameters!$B$5,Parameters!$B$4)</f>
        <v/>
      </c>
      <c r="C468">
        <f>C467-0.1*B468+0</f>
        <v/>
      </c>
      <c r="D468">
        <f>D467-0.1*B468+0</f>
        <v/>
      </c>
      <c r="E468">
        <f>Parameters!$B$25</f>
        <v/>
      </c>
    </row>
    <row r="469">
      <c r="A469" t="n">
        <v>46.7</v>
      </c>
      <c r="B469">
        <f>IF(A469&gt;162.1,Parameters!$B$5,Parameters!$B$4)</f>
        <v/>
      </c>
      <c r="C469">
        <f>C468-0.1*B469+0</f>
        <v/>
      </c>
      <c r="D469">
        <f>D468-0.1*B469+0</f>
        <v/>
      </c>
      <c r="E469">
        <f>Parameters!$B$25</f>
        <v/>
      </c>
    </row>
    <row r="470">
      <c r="A470" t="n">
        <v>46.8</v>
      </c>
      <c r="B470">
        <f>IF(A470&gt;162.1,Parameters!$B$5,Parameters!$B$4)</f>
        <v/>
      </c>
      <c r="C470">
        <f>C469-0.1*B470+0</f>
        <v/>
      </c>
      <c r="D470">
        <f>D469-0.1*B470+0</f>
        <v/>
      </c>
      <c r="E470">
        <f>Parameters!$B$25</f>
        <v/>
      </c>
    </row>
    <row r="471">
      <c r="A471" t="n">
        <v>46.9</v>
      </c>
      <c r="B471">
        <f>IF(A471&gt;162.1,Parameters!$B$5,Parameters!$B$4)</f>
        <v/>
      </c>
      <c r="C471">
        <f>C470-0.1*B471+0</f>
        <v/>
      </c>
      <c r="D471">
        <f>D470-0.1*B471+0</f>
        <v/>
      </c>
      <c r="E471">
        <f>Parameters!$B$25</f>
        <v/>
      </c>
    </row>
    <row r="472">
      <c r="A472" t="n">
        <v>47</v>
      </c>
      <c r="B472">
        <f>IF(A472&gt;162.1,Parameters!$B$5,Parameters!$B$4)</f>
        <v/>
      </c>
      <c r="C472">
        <f>C471-0.1*B472+0</f>
        <v/>
      </c>
      <c r="D472">
        <f>D471-0.1*B472+0</f>
        <v/>
      </c>
      <c r="E472">
        <f>Parameters!$B$25</f>
        <v/>
      </c>
    </row>
    <row r="473">
      <c r="A473" t="n">
        <v>47.1</v>
      </c>
      <c r="B473">
        <f>IF(A473&gt;162.1,Parameters!$B$5,Parameters!$B$4)</f>
        <v/>
      </c>
      <c r="C473">
        <f>C472-0.1*B473+0</f>
        <v/>
      </c>
      <c r="D473">
        <f>D472-0.1*B473+0</f>
        <v/>
      </c>
      <c r="E473">
        <f>Parameters!$B$25</f>
        <v/>
      </c>
    </row>
    <row r="474">
      <c r="A474" t="n">
        <v>47.2</v>
      </c>
      <c r="B474">
        <f>IF(A474&gt;162.1,Parameters!$B$5,Parameters!$B$4)</f>
        <v/>
      </c>
      <c r="C474">
        <f>C473-0.1*B474+0</f>
        <v/>
      </c>
      <c r="D474">
        <f>D473-0.1*B474+0</f>
        <v/>
      </c>
      <c r="E474">
        <f>Parameters!$B$25</f>
        <v/>
      </c>
    </row>
    <row r="475">
      <c r="A475" t="n">
        <v>47.3</v>
      </c>
      <c r="B475">
        <f>IF(A475&gt;162.1,Parameters!$B$5,Parameters!$B$4)</f>
        <v/>
      </c>
      <c r="C475">
        <f>C474-0.1*B475+0</f>
        <v/>
      </c>
      <c r="D475">
        <f>D474-0.1*B475+0</f>
        <v/>
      </c>
      <c r="E475">
        <f>Parameters!$B$25</f>
        <v/>
      </c>
    </row>
    <row r="476">
      <c r="A476" t="n">
        <v>47.4</v>
      </c>
      <c r="B476">
        <f>IF(A476&gt;162.1,Parameters!$B$5,Parameters!$B$4)</f>
        <v/>
      </c>
      <c r="C476">
        <f>C475-0.1*B476+0</f>
        <v/>
      </c>
      <c r="D476">
        <f>D475-0.1*B476+0</f>
        <v/>
      </c>
      <c r="E476">
        <f>Parameters!$B$25</f>
        <v/>
      </c>
    </row>
    <row r="477">
      <c r="A477" t="n">
        <v>47.5</v>
      </c>
      <c r="B477">
        <f>IF(A477&gt;162.1,Parameters!$B$5,Parameters!$B$4)</f>
        <v/>
      </c>
      <c r="C477">
        <f>C476-0.1*B477+0</f>
        <v/>
      </c>
      <c r="D477">
        <f>D476-0.1*B477+0</f>
        <v/>
      </c>
      <c r="E477">
        <f>Parameters!$B$25</f>
        <v/>
      </c>
    </row>
    <row r="478">
      <c r="A478" t="n">
        <v>47.6</v>
      </c>
      <c r="B478">
        <f>IF(A478&gt;162.1,Parameters!$B$5,Parameters!$B$4)</f>
        <v/>
      </c>
      <c r="C478">
        <f>C477-0.1*B478+0</f>
        <v/>
      </c>
      <c r="D478">
        <f>D477-0.1*B478+0</f>
        <v/>
      </c>
      <c r="E478">
        <f>Parameters!$B$25</f>
        <v/>
      </c>
    </row>
    <row r="479">
      <c r="A479" t="n">
        <v>47.7</v>
      </c>
      <c r="B479">
        <f>IF(A479&gt;162.1,Parameters!$B$5,Parameters!$B$4)</f>
        <v/>
      </c>
      <c r="C479">
        <f>C478-0.1*B479+0</f>
        <v/>
      </c>
      <c r="D479">
        <f>D478-0.1*B479+0</f>
        <v/>
      </c>
      <c r="E479">
        <f>Parameters!$B$25</f>
        <v/>
      </c>
    </row>
    <row r="480">
      <c r="A480" t="n">
        <v>47.8</v>
      </c>
      <c r="B480">
        <f>IF(A480&gt;162.1,Parameters!$B$5,Parameters!$B$4)</f>
        <v/>
      </c>
      <c r="C480">
        <f>C479-0.1*B480+0</f>
        <v/>
      </c>
      <c r="D480">
        <f>D479-0.1*B480+0</f>
        <v/>
      </c>
      <c r="E480">
        <f>Parameters!$B$25</f>
        <v/>
      </c>
    </row>
    <row r="481">
      <c r="A481" t="n">
        <v>47.9</v>
      </c>
      <c r="B481">
        <f>IF(A481&gt;162.1,Parameters!$B$5,Parameters!$B$4)</f>
        <v/>
      </c>
      <c r="C481">
        <f>C480-0.1*B481+0</f>
        <v/>
      </c>
      <c r="D481">
        <f>D480-0.1*B481+0</f>
        <v/>
      </c>
      <c r="E481">
        <f>Parameters!$B$25</f>
        <v/>
      </c>
    </row>
    <row r="482">
      <c r="A482" t="n">
        <v>48</v>
      </c>
      <c r="B482">
        <f>IF(A482&gt;162.1,Parameters!$B$5,Parameters!$B$4)</f>
        <v/>
      </c>
      <c r="C482">
        <f>C481-0.1*B482+0</f>
        <v/>
      </c>
      <c r="D482">
        <f>D481-0.1*B482+0</f>
        <v/>
      </c>
      <c r="E482">
        <f>Parameters!$B$25</f>
        <v/>
      </c>
    </row>
    <row r="483">
      <c r="A483" t="n">
        <v>48.1</v>
      </c>
      <c r="B483">
        <f>IF(A483&gt;162.1,Parameters!$B$5,Parameters!$B$4)</f>
        <v/>
      </c>
      <c r="C483">
        <f>C482-0.1*B483+0</f>
        <v/>
      </c>
      <c r="D483">
        <f>D482-0.1*B483+0</f>
        <v/>
      </c>
      <c r="E483">
        <f>Parameters!$B$25</f>
        <v/>
      </c>
    </row>
    <row r="484">
      <c r="A484" t="n">
        <v>48.2</v>
      </c>
      <c r="B484">
        <f>IF(A484&gt;162.1,Parameters!$B$5,Parameters!$B$4)</f>
        <v/>
      </c>
      <c r="C484">
        <f>C483-0.1*B484+0</f>
        <v/>
      </c>
      <c r="D484">
        <f>D483-0.1*B484+0</f>
        <v/>
      </c>
      <c r="E484">
        <f>Parameters!$B$25</f>
        <v/>
      </c>
    </row>
    <row r="485">
      <c r="A485" t="n">
        <v>48.3</v>
      </c>
      <c r="B485">
        <f>IF(A485&gt;162.1,Parameters!$B$5,Parameters!$B$4)</f>
        <v/>
      </c>
      <c r="C485">
        <f>C484-0.1*B485+0</f>
        <v/>
      </c>
      <c r="D485">
        <f>D484-0.1*B485+0</f>
        <v/>
      </c>
      <c r="E485">
        <f>Parameters!$B$25</f>
        <v/>
      </c>
    </row>
    <row r="486">
      <c r="A486" t="n">
        <v>48.4</v>
      </c>
      <c r="B486">
        <f>IF(A486&gt;162.1,Parameters!$B$5,Parameters!$B$4)</f>
        <v/>
      </c>
      <c r="C486">
        <f>C485-0.1*B486+0</f>
        <v/>
      </c>
      <c r="D486">
        <f>D485-0.1*B486+0</f>
        <v/>
      </c>
      <c r="E486">
        <f>Parameters!$B$25</f>
        <v/>
      </c>
    </row>
    <row r="487">
      <c r="A487" t="n">
        <v>48.5</v>
      </c>
      <c r="B487">
        <f>IF(A487&gt;162.1,Parameters!$B$5,Parameters!$B$4)</f>
        <v/>
      </c>
      <c r="C487">
        <f>C486-0.1*B487+0</f>
        <v/>
      </c>
      <c r="D487">
        <f>D486-0.1*B487+0</f>
        <v/>
      </c>
      <c r="E487">
        <f>Parameters!$B$25</f>
        <v/>
      </c>
    </row>
    <row r="488">
      <c r="A488" t="n">
        <v>48.6</v>
      </c>
      <c r="B488">
        <f>IF(A488&gt;162.1,Parameters!$B$5,Parameters!$B$4)</f>
        <v/>
      </c>
      <c r="C488">
        <f>C487-0.1*B488+0</f>
        <v/>
      </c>
      <c r="D488">
        <f>D487-0.1*B488+0</f>
        <v/>
      </c>
      <c r="E488">
        <f>Parameters!$B$25</f>
        <v/>
      </c>
    </row>
    <row r="489">
      <c r="A489" t="n">
        <v>48.7</v>
      </c>
      <c r="B489">
        <f>IF(A489&gt;162.1,Parameters!$B$5,Parameters!$B$4)</f>
        <v/>
      </c>
      <c r="C489">
        <f>C488-0.1*B489+0</f>
        <v/>
      </c>
      <c r="D489">
        <f>D488-0.1*B489+0</f>
        <v/>
      </c>
      <c r="E489">
        <f>Parameters!$B$25</f>
        <v/>
      </c>
    </row>
    <row r="490">
      <c r="A490" t="n">
        <v>48.8</v>
      </c>
      <c r="B490">
        <f>IF(A490&gt;162.1,Parameters!$B$5,Parameters!$B$4)</f>
        <v/>
      </c>
      <c r="C490">
        <f>C489-0.1*B490+0</f>
        <v/>
      </c>
      <c r="D490">
        <f>D489-0.1*B490+0</f>
        <v/>
      </c>
      <c r="E490">
        <f>Parameters!$B$25</f>
        <v/>
      </c>
    </row>
    <row r="491">
      <c r="A491" t="n">
        <v>48.9</v>
      </c>
      <c r="B491">
        <f>IF(A491&gt;162.1,Parameters!$B$5,Parameters!$B$4)</f>
        <v/>
      </c>
      <c r="C491">
        <f>C490-0.1*B491+0</f>
        <v/>
      </c>
      <c r="D491">
        <f>D490-0.1*B491+0</f>
        <v/>
      </c>
      <c r="E491">
        <f>Parameters!$B$25</f>
        <v/>
      </c>
    </row>
    <row r="492">
      <c r="A492" t="n">
        <v>49</v>
      </c>
      <c r="B492">
        <f>IF(A492&gt;162.1,Parameters!$B$5,Parameters!$B$4)</f>
        <v/>
      </c>
      <c r="C492">
        <f>C491-0.1*B492+0</f>
        <v/>
      </c>
      <c r="D492">
        <f>D491-0.1*B492+0</f>
        <v/>
      </c>
      <c r="E492">
        <f>Parameters!$B$25</f>
        <v/>
      </c>
    </row>
    <row r="493">
      <c r="A493" t="n">
        <v>49.1</v>
      </c>
      <c r="B493">
        <f>IF(A493&gt;162.1,Parameters!$B$5,Parameters!$B$4)</f>
        <v/>
      </c>
      <c r="C493">
        <f>C492-0.1*B493+0</f>
        <v/>
      </c>
      <c r="D493">
        <f>D492-0.1*B493+0</f>
        <v/>
      </c>
      <c r="E493">
        <f>Parameters!$B$25</f>
        <v/>
      </c>
    </row>
    <row r="494">
      <c r="A494" t="n">
        <v>49.2</v>
      </c>
      <c r="B494">
        <f>IF(A494&gt;162.1,Parameters!$B$5,Parameters!$B$4)</f>
        <v/>
      </c>
      <c r="C494">
        <f>C493-0.1*B494+0</f>
        <v/>
      </c>
      <c r="D494">
        <f>D493-0.1*B494+0</f>
        <v/>
      </c>
      <c r="E494">
        <f>Parameters!$B$25</f>
        <v/>
      </c>
    </row>
    <row r="495">
      <c r="A495" t="n">
        <v>49.3</v>
      </c>
      <c r="B495">
        <f>IF(A495&gt;162.1,Parameters!$B$5,Parameters!$B$4)</f>
        <v/>
      </c>
      <c r="C495">
        <f>C494-0.1*B495+0</f>
        <v/>
      </c>
      <c r="D495">
        <f>D494-0.1*B495+0</f>
        <v/>
      </c>
      <c r="E495">
        <f>Parameters!$B$25</f>
        <v/>
      </c>
    </row>
    <row r="496">
      <c r="A496" t="n">
        <v>49.4</v>
      </c>
      <c r="B496">
        <f>IF(A496&gt;162.1,Parameters!$B$5,Parameters!$B$4)</f>
        <v/>
      </c>
      <c r="C496">
        <f>C495-0.1*B496+0</f>
        <v/>
      </c>
      <c r="D496">
        <f>D495-0.1*B496+0</f>
        <v/>
      </c>
      <c r="E496">
        <f>Parameters!$B$25</f>
        <v/>
      </c>
    </row>
    <row r="497">
      <c r="A497" t="n">
        <v>49.5</v>
      </c>
      <c r="B497">
        <f>IF(A497&gt;162.1,Parameters!$B$5,Parameters!$B$4)</f>
        <v/>
      </c>
      <c r="C497">
        <f>C496-0.1*B497+0</f>
        <v/>
      </c>
      <c r="D497">
        <f>D496-0.1*B497+0</f>
        <v/>
      </c>
      <c r="E497">
        <f>Parameters!$B$25</f>
        <v/>
      </c>
    </row>
    <row r="498">
      <c r="A498" t="n">
        <v>49.6</v>
      </c>
      <c r="B498">
        <f>IF(A498&gt;162.1,Parameters!$B$5,Parameters!$B$4)</f>
        <v/>
      </c>
      <c r="C498">
        <f>C497-0.1*B498+0</f>
        <v/>
      </c>
      <c r="D498">
        <f>D497-0.1*B498+0</f>
        <v/>
      </c>
      <c r="E498">
        <f>Parameters!$B$25</f>
        <v/>
      </c>
    </row>
    <row r="499">
      <c r="A499" t="n">
        <v>49.7</v>
      </c>
      <c r="B499">
        <f>IF(A499&gt;162.1,Parameters!$B$5,Parameters!$B$4)</f>
        <v/>
      </c>
      <c r="C499">
        <f>C498-0.1*B499+0</f>
        <v/>
      </c>
      <c r="D499">
        <f>D498-0.1*B499+0</f>
        <v/>
      </c>
      <c r="E499">
        <f>Parameters!$B$25</f>
        <v/>
      </c>
    </row>
    <row r="500">
      <c r="A500" t="n">
        <v>49.8</v>
      </c>
      <c r="B500">
        <f>IF(A500&gt;162.1,Parameters!$B$5,Parameters!$B$4)</f>
        <v/>
      </c>
      <c r="C500">
        <f>C499-0.1*B500+0</f>
        <v/>
      </c>
      <c r="D500">
        <f>D499-0.1*B500+0</f>
        <v/>
      </c>
      <c r="E500">
        <f>Parameters!$B$25</f>
        <v/>
      </c>
    </row>
    <row r="501">
      <c r="A501" t="n">
        <v>49.9</v>
      </c>
      <c r="B501">
        <f>IF(A501&gt;162.1,Parameters!$B$5,Parameters!$B$4)</f>
        <v/>
      </c>
      <c r="C501">
        <f>C500-0.1*B501+0</f>
        <v/>
      </c>
      <c r="D501">
        <f>D500-0.1*B501+0</f>
        <v/>
      </c>
      <c r="E501">
        <f>Parameters!$B$25</f>
        <v/>
      </c>
    </row>
    <row r="502">
      <c r="A502" t="n">
        <v>50</v>
      </c>
      <c r="B502">
        <f>IF(A502&gt;162.1,Parameters!$B$5,Parameters!$B$4)</f>
        <v/>
      </c>
      <c r="C502">
        <f>C501-0.1*B502+0</f>
        <v/>
      </c>
      <c r="D502">
        <f>D501-0.1*B502+0</f>
        <v/>
      </c>
      <c r="E502">
        <f>Parameters!$B$25</f>
        <v/>
      </c>
    </row>
    <row r="503">
      <c r="A503" t="n">
        <v>50.1</v>
      </c>
      <c r="B503">
        <f>IF(A503&gt;162.1,Parameters!$B$5,Parameters!$B$4)</f>
        <v/>
      </c>
      <c r="C503">
        <f>C502-0.1*B503+0</f>
        <v/>
      </c>
      <c r="D503">
        <f>D502-0.1*B503+0</f>
        <v/>
      </c>
      <c r="E503">
        <f>Parameters!$B$25</f>
        <v/>
      </c>
    </row>
    <row r="504">
      <c r="A504" t="n">
        <v>50.2</v>
      </c>
      <c r="B504">
        <f>IF(A504&gt;162.1,Parameters!$B$5,Parameters!$B$4)</f>
        <v/>
      </c>
      <c r="C504">
        <f>C503-0.1*B504+0</f>
        <v/>
      </c>
      <c r="D504">
        <f>D503-0.1*B504+0</f>
        <v/>
      </c>
      <c r="E504">
        <f>Parameters!$B$25</f>
        <v/>
      </c>
    </row>
    <row r="505">
      <c r="A505" t="n">
        <v>50.3</v>
      </c>
      <c r="B505">
        <f>IF(A505&gt;162.1,Parameters!$B$5,Parameters!$B$4)</f>
        <v/>
      </c>
      <c r="C505">
        <f>C504-0.1*B505+0</f>
        <v/>
      </c>
      <c r="D505">
        <f>D504-0.1*B505+0</f>
        <v/>
      </c>
      <c r="E505">
        <f>Parameters!$B$25</f>
        <v/>
      </c>
    </row>
    <row r="506">
      <c r="A506" t="n">
        <v>50.4</v>
      </c>
      <c r="B506">
        <f>IF(A506&gt;162.1,Parameters!$B$5,Parameters!$B$4)</f>
        <v/>
      </c>
      <c r="C506">
        <f>C505-0.1*B506+0</f>
        <v/>
      </c>
      <c r="D506">
        <f>D505-0.1*B506+0</f>
        <v/>
      </c>
      <c r="E506">
        <f>Parameters!$B$25</f>
        <v/>
      </c>
    </row>
    <row r="507">
      <c r="A507" t="n">
        <v>50.5</v>
      </c>
      <c r="B507">
        <f>IF(A507&gt;162.1,Parameters!$B$5,Parameters!$B$4)</f>
        <v/>
      </c>
      <c r="C507">
        <f>C506-0.1*B507+0</f>
        <v/>
      </c>
      <c r="D507">
        <f>D506-0.1*B507+0</f>
        <v/>
      </c>
      <c r="E507">
        <f>Parameters!$B$25</f>
        <v/>
      </c>
    </row>
    <row r="508">
      <c r="A508" t="n">
        <v>50.6</v>
      </c>
      <c r="B508">
        <f>IF(A508&gt;162.1,Parameters!$B$5,Parameters!$B$4)</f>
        <v/>
      </c>
      <c r="C508">
        <f>C507-0.1*B508+0</f>
        <v/>
      </c>
      <c r="D508">
        <f>D507-0.1*B508+0</f>
        <v/>
      </c>
      <c r="E508">
        <f>Parameters!$B$25</f>
        <v/>
      </c>
    </row>
    <row r="509">
      <c r="A509" t="n">
        <v>50.7</v>
      </c>
      <c r="B509">
        <f>IF(A509&gt;162.1,Parameters!$B$5,Parameters!$B$4)</f>
        <v/>
      </c>
      <c r="C509">
        <f>C508-0.1*B509+0</f>
        <v/>
      </c>
      <c r="D509">
        <f>D508-0.1*B509+0</f>
        <v/>
      </c>
      <c r="E509">
        <f>Parameters!$B$25</f>
        <v/>
      </c>
    </row>
    <row r="510">
      <c r="A510" t="n">
        <v>50.8</v>
      </c>
      <c r="B510">
        <f>IF(A510&gt;162.1,Parameters!$B$5,Parameters!$B$4)</f>
        <v/>
      </c>
      <c r="C510">
        <f>C509-0.1*B510+0</f>
        <v/>
      </c>
      <c r="D510">
        <f>D509-0.1*B510+0</f>
        <v/>
      </c>
      <c r="E510">
        <f>Parameters!$B$25</f>
        <v/>
      </c>
    </row>
    <row r="511">
      <c r="A511" t="n">
        <v>50.9</v>
      </c>
      <c r="B511">
        <f>IF(A511&gt;162.1,Parameters!$B$5,Parameters!$B$4)</f>
        <v/>
      </c>
      <c r="C511">
        <f>C510-0.1*B511+0</f>
        <v/>
      </c>
      <c r="D511">
        <f>D510-0.1*B511+0</f>
        <v/>
      </c>
      <c r="E511">
        <f>Parameters!$B$25</f>
        <v/>
      </c>
    </row>
    <row r="512">
      <c r="A512" t="n">
        <v>51</v>
      </c>
      <c r="B512">
        <f>IF(A512&gt;162.1,Parameters!$B$5,Parameters!$B$4)</f>
        <v/>
      </c>
      <c r="C512">
        <f>C511-0.1*B512+0</f>
        <v/>
      </c>
      <c r="D512">
        <f>D511-0.1*B512+0</f>
        <v/>
      </c>
      <c r="E512">
        <f>Parameters!$B$25</f>
        <v/>
      </c>
    </row>
    <row r="513">
      <c r="A513" t="n">
        <v>51.1</v>
      </c>
      <c r="B513">
        <f>IF(A513&gt;162.1,Parameters!$B$5,Parameters!$B$4)</f>
        <v/>
      </c>
      <c r="C513">
        <f>C512-0.1*B513+0</f>
        <v/>
      </c>
      <c r="D513">
        <f>D512-0.1*B513+0</f>
        <v/>
      </c>
      <c r="E513">
        <f>Parameters!$B$25</f>
        <v/>
      </c>
    </row>
    <row r="514">
      <c r="A514" t="n">
        <v>51.2</v>
      </c>
      <c r="B514">
        <f>IF(A514&gt;162.1,Parameters!$B$5,Parameters!$B$4)</f>
        <v/>
      </c>
      <c r="C514">
        <f>C513-0.1*B514+0</f>
        <v/>
      </c>
      <c r="D514">
        <f>D513-0.1*B514+0</f>
        <v/>
      </c>
      <c r="E514">
        <f>Parameters!$B$25</f>
        <v/>
      </c>
    </row>
    <row r="515">
      <c r="A515" t="n">
        <v>51.3</v>
      </c>
      <c r="B515">
        <f>IF(A515&gt;162.1,Parameters!$B$5,Parameters!$B$4)</f>
        <v/>
      </c>
      <c r="C515">
        <f>C514-0.1*B515+0</f>
        <v/>
      </c>
      <c r="D515">
        <f>D514-0.1*B515+0</f>
        <v/>
      </c>
      <c r="E515">
        <f>Parameters!$B$25</f>
        <v/>
      </c>
    </row>
    <row r="516">
      <c r="A516" t="n">
        <v>51.4</v>
      </c>
      <c r="B516">
        <f>IF(A516&gt;162.1,Parameters!$B$5,Parameters!$B$4)</f>
        <v/>
      </c>
      <c r="C516">
        <f>C515-0.1*B516+0</f>
        <v/>
      </c>
      <c r="D516">
        <f>D515-0.1*B516+0</f>
        <v/>
      </c>
      <c r="E516">
        <f>Parameters!$B$25</f>
        <v/>
      </c>
    </row>
    <row r="517">
      <c r="A517" t="n">
        <v>51.5</v>
      </c>
      <c r="B517">
        <f>IF(A517&gt;162.1,Parameters!$B$5,Parameters!$B$4)</f>
        <v/>
      </c>
      <c r="C517">
        <f>C516-0.1*B517+0</f>
        <v/>
      </c>
      <c r="D517">
        <f>D516-0.1*B517+0</f>
        <v/>
      </c>
      <c r="E517">
        <f>Parameters!$B$25</f>
        <v/>
      </c>
    </row>
    <row r="518">
      <c r="A518" t="n">
        <v>51.6</v>
      </c>
      <c r="B518">
        <f>IF(A518&gt;162.1,Parameters!$B$5,Parameters!$B$4)</f>
        <v/>
      </c>
      <c r="C518">
        <f>C517-0.1*B518+0</f>
        <v/>
      </c>
      <c r="D518">
        <f>D517-0.1*B518+0</f>
        <v/>
      </c>
      <c r="E518">
        <f>Parameters!$B$25</f>
        <v/>
      </c>
    </row>
    <row r="519">
      <c r="A519" t="n">
        <v>51.7</v>
      </c>
      <c r="B519">
        <f>IF(A519&gt;162.1,Parameters!$B$5,Parameters!$B$4)</f>
        <v/>
      </c>
      <c r="C519">
        <f>C518-0.1*B519+0</f>
        <v/>
      </c>
      <c r="D519">
        <f>D518-0.1*B519+0</f>
        <v/>
      </c>
      <c r="E519">
        <f>Parameters!$B$25</f>
        <v/>
      </c>
    </row>
    <row r="520">
      <c r="A520" t="n">
        <v>51.8</v>
      </c>
      <c r="B520">
        <f>IF(A520&gt;162.1,Parameters!$B$5,Parameters!$B$4)</f>
        <v/>
      </c>
      <c r="C520">
        <f>C519-0.1*B520+0</f>
        <v/>
      </c>
      <c r="D520">
        <f>D519-0.1*B520+0</f>
        <v/>
      </c>
      <c r="E520">
        <f>Parameters!$B$25</f>
        <v/>
      </c>
    </row>
    <row r="521">
      <c r="A521" t="n">
        <v>51.9</v>
      </c>
      <c r="B521">
        <f>IF(A521&gt;162.1,Parameters!$B$5,Parameters!$B$4)</f>
        <v/>
      </c>
      <c r="C521">
        <f>C520-0.1*B521+0</f>
        <v/>
      </c>
      <c r="D521">
        <f>D520-0.1*B521+0</f>
        <v/>
      </c>
      <c r="E521">
        <f>Parameters!$B$25</f>
        <v/>
      </c>
    </row>
    <row r="522">
      <c r="A522" t="n">
        <v>52</v>
      </c>
      <c r="B522">
        <f>IF(A522&gt;162.1,Parameters!$B$5,Parameters!$B$4)</f>
        <v/>
      </c>
      <c r="C522">
        <f>C521-0.1*B522+0</f>
        <v/>
      </c>
      <c r="D522">
        <f>D521-0.1*B522+0</f>
        <v/>
      </c>
      <c r="E522">
        <f>Parameters!$B$25</f>
        <v/>
      </c>
    </row>
    <row r="523">
      <c r="A523" t="n">
        <v>52.1</v>
      </c>
      <c r="B523">
        <f>IF(A523&gt;162.1,Parameters!$B$5,Parameters!$B$4)</f>
        <v/>
      </c>
      <c r="C523">
        <f>C522-0.1*B523+0</f>
        <v/>
      </c>
      <c r="D523">
        <f>D522-0.1*B523+0</f>
        <v/>
      </c>
      <c r="E523">
        <f>Parameters!$B$25</f>
        <v/>
      </c>
    </row>
    <row r="524">
      <c r="A524" t="n">
        <v>52.2</v>
      </c>
      <c r="B524">
        <f>IF(A524&gt;162.1,Parameters!$B$5,Parameters!$B$4)</f>
        <v/>
      </c>
      <c r="C524">
        <f>C523-0.1*B524+0</f>
        <v/>
      </c>
      <c r="D524">
        <f>D523-0.1*B524+0</f>
        <v/>
      </c>
      <c r="E524">
        <f>Parameters!$B$25</f>
        <v/>
      </c>
    </row>
    <row r="525">
      <c r="A525" t="n">
        <v>52.3</v>
      </c>
      <c r="B525">
        <f>IF(A525&gt;162.1,Parameters!$B$5,Parameters!$B$4)</f>
        <v/>
      </c>
      <c r="C525">
        <f>C524-0.1*B525+0</f>
        <v/>
      </c>
      <c r="D525">
        <f>D524-0.1*B525+0</f>
        <v/>
      </c>
      <c r="E525">
        <f>Parameters!$B$25</f>
        <v/>
      </c>
    </row>
    <row r="526">
      <c r="A526" t="n">
        <v>52.4</v>
      </c>
      <c r="B526">
        <f>IF(A526&gt;162.1,Parameters!$B$5,Parameters!$B$4)</f>
        <v/>
      </c>
      <c r="C526">
        <f>C525-0.1*B526+0</f>
        <v/>
      </c>
      <c r="D526">
        <f>D525-0.1*B526+0</f>
        <v/>
      </c>
      <c r="E526">
        <f>Parameters!$B$25</f>
        <v/>
      </c>
    </row>
    <row r="527">
      <c r="A527" t="n">
        <v>52.5</v>
      </c>
      <c r="B527">
        <f>IF(A527&gt;162.1,Parameters!$B$5,Parameters!$B$4)</f>
        <v/>
      </c>
      <c r="C527">
        <f>C526-0.1*B527+0</f>
        <v/>
      </c>
      <c r="D527">
        <f>D526-0.1*B527+0</f>
        <v/>
      </c>
      <c r="E527">
        <f>Parameters!$B$25</f>
        <v/>
      </c>
    </row>
    <row r="528">
      <c r="A528" t="n">
        <v>52.6</v>
      </c>
      <c r="B528">
        <f>IF(A528&gt;162.1,Parameters!$B$5,Parameters!$B$4)</f>
        <v/>
      </c>
      <c r="C528">
        <f>C527-0.1*B528+0</f>
        <v/>
      </c>
      <c r="D528">
        <f>D527-0.1*B528+0</f>
        <v/>
      </c>
      <c r="E528">
        <f>Parameters!$B$25</f>
        <v/>
      </c>
    </row>
    <row r="529">
      <c r="A529" t="n">
        <v>52.7</v>
      </c>
      <c r="B529">
        <f>IF(A529&gt;162.1,Parameters!$B$5,Parameters!$B$4)</f>
        <v/>
      </c>
      <c r="C529">
        <f>C528-0.1*B529+0</f>
        <v/>
      </c>
      <c r="D529">
        <f>D528-0.1*B529+0</f>
        <v/>
      </c>
      <c r="E529">
        <f>Parameters!$B$25</f>
        <v/>
      </c>
    </row>
    <row r="530">
      <c r="A530" t="n">
        <v>52.8</v>
      </c>
      <c r="B530">
        <f>IF(A530&gt;162.1,Parameters!$B$5,Parameters!$B$4)</f>
        <v/>
      </c>
      <c r="C530">
        <f>C529-0.1*B530+0</f>
        <v/>
      </c>
      <c r="D530">
        <f>D529-0.1*B530+0</f>
        <v/>
      </c>
      <c r="E530">
        <f>Parameters!$B$25</f>
        <v/>
      </c>
    </row>
    <row r="531">
      <c r="A531" t="n">
        <v>52.9</v>
      </c>
      <c r="B531">
        <f>IF(A531&gt;162.1,Parameters!$B$5,Parameters!$B$4)</f>
        <v/>
      </c>
      <c r="C531">
        <f>C530-0.1*B531+0</f>
        <v/>
      </c>
      <c r="D531">
        <f>D530-0.1*B531+0</f>
        <v/>
      </c>
      <c r="E531">
        <f>Parameters!$B$25</f>
        <v/>
      </c>
    </row>
    <row r="532">
      <c r="A532" t="n">
        <v>53</v>
      </c>
      <c r="B532">
        <f>IF(A532&gt;162.1,Parameters!$B$5,Parameters!$B$4)</f>
        <v/>
      </c>
      <c r="C532">
        <f>C531-0.1*B532+0</f>
        <v/>
      </c>
      <c r="D532">
        <f>D531-0.1*B532+0</f>
        <v/>
      </c>
      <c r="E532">
        <f>Parameters!$B$25</f>
        <v/>
      </c>
    </row>
    <row r="533">
      <c r="A533" t="n">
        <v>53.1</v>
      </c>
      <c r="B533">
        <f>IF(A533&gt;162.1,Parameters!$B$5,Parameters!$B$4)</f>
        <v/>
      </c>
      <c r="C533">
        <f>C532-0.1*B533+0</f>
        <v/>
      </c>
      <c r="D533">
        <f>D532-0.1*B533+0</f>
        <v/>
      </c>
      <c r="E533">
        <f>Parameters!$B$25</f>
        <v/>
      </c>
    </row>
    <row r="534">
      <c r="A534" t="n">
        <v>53.2</v>
      </c>
      <c r="B534">
        <f>IF(A534&gt;162.1,Parameters!$B$5,Parameters!$B$4)</f>
        <v/>
      </c>
      <c r="C534">
        <f>C533-0.1*B534+0</f>
        <v/>
      </c>
      <c r="D534">
        <f>D533-0.1*B534+0</f>
        <v/>
      </c>
      <c r="E534">
        <f>Parameters!$B$25</f>
        <v/>
      </c>
    </row>
    <row r="535">
      <c r="A535" t="n">
        <v>53.3</v>
      </c>
      <c r="B535">
        <f>IF(A535&gt;162.1,Parameters!$B$5,Parameters!$B$4)</f>
        <v/>
      </c>
      <c r="C535">
        <f>C534-0.1*B535+0</f>
        <v/>
      </c>
      <c r="D535">
        <f>D534-0.1*B535+0</f>
        <v/>
      </c>
      <c r="E535">
        <f>Parameters!$B$25</f>
        <v/>
      </c>
    </row>
    <row r="536">
      <c r="A536" t="n">
        <v>53.4</v>
      </c>
      <c r="B536">
        <f>IF(A536&gt;162.1,Parameters!$B$5,Parameters!$B$4)</f>
        <v/>
      </c>
      <c r="C536">
        <f>C535-0.1*B536+0</f>
        <v/>
      </c>
      <c r="D536">
        <f>D535-0.1*B536+0</f>
        <v/>
      </c>
      <c r="E536">
        <f>Parameters!$B$25</f>
        <v/>
      </c>
    </row>
    <row r="537">
      <c r="A537" t="n">
        <v>53.5</v>
      </c>
      <c r="B537">
        <f>IF(A537&gt;162.1,Parameters!$B$5,Parameters!$B$4)</f>
        <v/>
      </c>
      <c r="C537">
        <f>C536-0.1*B537+0</f>
        <v/>
      </c>
      <c r="D537">
        <f>D536-0.1*B537+0</f>
        <v/>
      </c>
      <c r="E537">
        <f>Parameters!$B$25</f>
        <v/>
      </c>
    </row>
    <row r="538">
      <c r="A538" t="n">
        <v>53.6</v>
      </c>
      <c r="B538">
        <f>IF(A538&gt;162.1,Parameters!$B$5,Parameters!$B$4)</f>
        <v/>
      </c>
      <c r="C538">
        <f>C537-0.1*B538+0</f>
        <v/>
      </c>
      <c r="D538">
        <f>D537-0.1*B538+0</f>
        <v/>
      </c>
      <c r="E538">
        <f>Parameters!$B$25</f>
        <v/>
      </c>
    </row>
    <row r="539">
      <c r="A539" t="n">
        <v>53.7</v>
      </c>
      <c r="B539">
        <f>IF(A539&gt;162.1,Parameters!$B$5,Parameters!$B$4)</f>
        <v/>
      </c>
      <c r="C539">
        <f>C538-0.1*B539+0</f>
        <v/>
      </c>
      <c r="D539">
        <f>D538-0.1*B539+0</f>
        <v/>
      </c>
      <c r="E539">
        <f>Parameters!$B$25</f>
        <v/>
      </c>
    </row>
    <row r="540">
      <c r="A540" t="n">
        <v>53.8</v>
      </c>
      <c r="B540">
        <f>IF(A540&gt;162.1,Parameters!$B$5,Parameters!$B$4)</f>
        <v/>
      </c>
      <c r="C540">
        <f>C539-0.1*B540+0</f>
        <v/>
      </c>
      <c r="D540">
        <f>D539-0.1*B540+0</f>
        <v/>
      </c>
      <c r="E540">
        <f>Parameters!$B$25</f>
        <v/>
      </c>
    </row>
    <row r="541">
      <c r="A541" t="n">
        <v>53.9</v>
      </c>
      <c r="B541">
        <f>IF(A541&gt;162.1,Parameters!$B$5,Parameters!$B$4)</f>
        <v/>
      </c>
      <c r="C541">
        <f>C540-0.1*B541+0</f>
        <v/>
      </c>
      <c r="D541">
        <f>D540-0.1*B541+0</f>
        <v/>
      </c>
      <c r="E541">
        <f>Parameters!$B$25</f>
        <v/>
      </c>
    </row>
    <row r="542">
      <c r="A542" t="n">
        <v>54</v>
      </c>
      <c r="B542">
        <f>IF(A542&gt;162.1,Parameters!$B$5,Parameters!$B$4)</f>
        <v/>
      </c>
      <c r="C542">
        <f>C541-0.1*B542+0</f>
        <v/>
      </c>
      <c r="D542">
        <f>D541-0.1*B542+0</f>
        <v/>
      </c>
      <c r="E542">
        <f>Parameters!$B$25</f>
        <v/>
      </c>
    </row>
    <row r="543">
      <c r="A543" t="n">
        <v>54.1</v>
      </c>
      <c r="B543">
        <f>IF(A543&gt;162.1,Parameters!$B$5,Parameters!$B$4)</f>
        <v/>
      </c>
      <c r="C543">
        <f>C542-0.1*B543+0</f>
        <v/>
      </c>
      <c r="D543">
        <f>D542-0.1*B543+0</f>
        <v/>
      </c>
      <c r="E543">
        <f>Parameters!$B$25</f>
        <v/>
      </c>
    </row>
    <row r="544">
      <c r="A544" t="n">
        <v>54.2</v>
      </c>
      <c r="B544">
        <f>IF(A544&gt;162.1,Parameters!$B$5,Parameters!$B$4)</f>
        <v/>
      </c>
      <c r="C544">
        <f>C543-0.1*B544+0</f>
        <v/>
      </c>
      <c r="D544">
        <f>D543-0.1*B544+0</f>
        <v/>
      </c>
      <c r="E544">
        <f>Parameters!$B$25</f>
        <v/>
      </c>
    </row>
    <row r="545">
      <c r="A545" t="n">
        <v>54.3</v>
      </c>
      <c r="B545">
        <f>IF(A545&gt;162.1,Parameters!$B$5,Parameters!$B$4)</f>
        <v/>
      </c>
      <c r="C545">
        <f>C544-0.1*B545+0</f>
        <v/>
      </c>
      <c r="D545">
        <f>D544-0.1*B545+0</f>
        <v/>
      </c>
      <c r="E545">
        <f>Parameters!$B$25</f>
        <v/>
      </c>
    </row>
    <row r="546">
      <c r="A546" t="n">
        <v>54.4</v>
      </c>
      <c r="B546">
        <f>IF(A546&gt;162.1,Parameters!$B$5,Parameters!$B$4)</f>
        <v/>
      </c>
      <c r="C546">
        <f>C545-0.1*B546+0</f>
        <v/>
      </c>
      <c r="D546">
        <f>D545-0.1*B546+0</f>
        <v/>
      </c>
      <c r="E546">
        <f>Parameters!$B$25</f>
        <v/>
      </c>
    </row>
    <row r="547">
      <c r="A547" t="n">
        <v>54.5</v>
      </c>
      <c r="B547">
        <f>IF(A547&gt;162.1,Parameters!$B$5,Parameters!$B$4)</f>
        <v/>
      </c>
      <c r="C547">
        <f>C546-0.1*B547+0</f>
        <v/>
      </c>
      <c r="D547">
        <f>D546-0.1*B547+0</f>
        <v/>
      </c>
      <c r="E547">
        <f>Parameters!$B$25</f>
        <v/>
      </c>
    </row>
    <row r="548">
      <c r="A548" t="n">
        <v>54.6</v>
      </c>
      <c r="B548">
        <f>IF(A548&gt;162.1,Parameters!$B$5,Parameters!$B$4)</f>
        <v/>
      </c>
      <c r="C548">
        <f>C547-0.1*B548+0</f>
        <v/>
      </c>
      <c r="D548">
        <f>D547-0.1*B548+0</f>
        <v/>
      </c>
      <c r="E548">
        <f>Parameters!$B$25</f>
        <v/>
      </c>
    </row>
    <row r="549">
      <c r="A549" t="n">
        <v>54.7</v>
      </c>
      <c r="B549">
        <f>IF(A549&gt;162.1,Parameters!$B$5,Parameters!$B$4)</f>
        <v/>
      </c>
      <c r="C549">
        <f>C548-0.1*B549+0</f>
        <v/>
      </c>
      <c r="D549">
        <f>D548-0.1*B549+0</f>
        <v/>
      </c>
      <c r="E549">
        <f>Parameters!$B$25</f>
        <v/>
      </c>
    </row>
    <row r="550">
      <c r="A550" t="n">
        <v>54.8</v>
      </c>
      <c r="B550">
        <f>IF(A550&gt;162.1,Parameters!$B$5,Parameters!$B$4)</f>
        <v/>
      </c>
      <c r="C550">
        <f>C549-0.1*B550+0</f>
        <v/>
      </c>
      <c r="D550">
        <f>D549-0.1*B550+0</f>
        <v/>
      </c>
      <c r="E550">
        <f>Parameters!$B$25</f>
        <v/>
      </c>
    </row>
    <row r="551">
      <c r="A551" t="n">
        <v>54.9</v>
      </c>
      <c r="B551">
        <f>IF(A551&gt;162.1,Parameters!$B$5,Parameters!$B$4)</f>
        <v/>
      </c>
      <c r="C551">
        <f>C550-0.1*B551+0</f>
        <v/>
      </c>
      <c r="D551">
        <f>D550-0.1*B551+0</f>
        <v/>
      </c>
      <c r="E551">
        <f>Parameters!$B$25</f>
        <v/>
      </c>
    </row>
    <row r="552">
      <c r="A552" t="n">
        <v>55</v>
      </c>
      <c r="B552">
        <f>IF(A552&gt;162.1,Parameters!$B$5,Parameters!$B$4)</f>
        <v/>
      </c>
      <c r="C552">
        <f>C551-0.1*B552+0</f>
        <v/>
      </c>
      <c r="D552">
        <f>D551-0.1*B552+0</f>
        <v/>
      </c>
      <c r="E552">
        <f>Parameters!$B$25</f>
        <v/>
      </c>
    </row>
    <row r="553">
      <c r="A553" t="n">
        <v>55.1</v>
      </c>
      <c r="B553">
        <f>IF(A553&gt;162.1,Parameters!$B$5,Parameters!$B$4)</f>
        <v/>
      </c>
      <c r="C553">
        <f>C552-0.1*B553+0</f>
        <v/>
      </c>
      <c r="D553">
        <f>D552-0.1*B553+0</f>
        <v/>
      </c>
      <c r="E553">
        <f>Parameters!$B$25</f>
        <v/>
      </c>
    </row>
    <row r="554">
      <c r="A554" t="n">
        <v>55.2</v>
      </c>
      <c r="B554">
        <f>IF(A554&gt;162.1,Parameters!$B$5,Parameters!$B$4)</f>
        <v/>
      </c>
      <c r="C554">
        <f>C553-0.1*B554+0</f>
        <v/>
      </c>
      <c r="D554">
        <f>D553-0.1*B554+0</f>
        <v/>
      </c>
      <c r="E554">
        <f>Parameters!$B$25</f>
        <v/>
      </c>
    </row>
    <row r="555">
      <c r="A555" t="n">
        <v>55.3</v>
      </c>
      <c r="B555">
        <f>IF(A555&gt;162.1,Parameters!$B$5,Parameters!$B$4)</f>
        <v/>
      </c>
      <c r="C555">
        <f>C554-0.1*B555+0</f>
        <v/>
      </c>
      <c r="D555">
        <f>D554-0.1*B555+0</f>
        <v/>
      </c>
      <c r="E555">
        <f>Parameters!$B$25</f>
        <v/>
      </c>
    </row>
    <row r="556">
      <c r="A556" t="n">
        <v>55.4</v>
      </c>
      <c r="B556">
        <f>IF(A556&gt;162.1,Parameters!$B$5,Parameters!$B$4)</f>
        <v/>
      </c>
      <c r="C556">
        <f>C555-0.1*B556+0</f>
        <v/>
      </c>
      <c r="D556">
        <f>D555-0.1*B556+0</f>
        <v/>
      </c>
      <c r="E556">
        <f>Parameters!$B$25</f>
        <v/>
      </c>
    </row>
    <row r="557">
      <c r="A557" t="n">
        <v>55.5</v>
      </c>
      <c r="B557">
        <f>IF(A557&gt;162.1,Parameters!$B$5,Parameters!$B$4)</f>
        <v/>
      </c>
      <c r="C557">
        <f>C556-0.1*B557+0</f>
        <v/>
      </c>
      <c r="D557">
        <f>D556-0.1*B557+0</f>
        <v/>
      </c>
      <c r="E557">
        <f>Parameters!$B$25</f>
        <v/>
      </c>
    </row>
    <row r="558">
      <c r="A558" t="n">
        <v>55.6</v>
      </c>
      <c r="B558">
        <f>IF(A558&gt;162.1,Parameters!$B$5,Parameters!$B$4)</f>
        <v/>
      </c>
      <c r="C558">
        <f>C557-0.1*B558+0</f>
        <v/>
      </c>
      <c r="D558">
        <f>D557-0.1*B558+0</f>
        <v/>
      </c>
      <c r="E558">
        <f>Parameters!$B$25</f>
        <v/>
      </c>
    </row>
    <row r="559">
      <c r="A559" t="n">
        <v>55.7</v>
      </c>
      <c r="B559">
        <f>IF(A559&gt;162.1,Parameters!$B$5,Parameters!$B$4)</f>
        <v/>
      </c>
      <c r="C559">
        <f>C558-0.1*B559+0</f>
        <v/>
      </c>
      <c r="D559">
        <f>D558-0.1*B559+0</f>
        <v/>
      </c>
      <c r="E559">
        <f>Parameters!$B$25</f>
        <v/>
      </c>
    </row>
    <row r="560">
      <c r="A560" t="n">
        <v>55.8</v>
      </c>
      <c r="B560">
        <f>IF(A560&gt;162.1,Parameters!$B$5,Parameters!$B$4)</f>
        <v/>
      </c>
      <c r="C560">
        <f>C559-0.1*B560+0</f>
        <v/>
      </c>
      <c r="D560">
        <f>D559-0.1*B560+0</f>
        <v/>
      </c>
      <c r="E560">
        <f>Parameters!$B$25</f>
        <v/>
      </c>
    </row>
    <row r="561">
      <c r="A561" t="n">
        <v>55.9</v>
      </c>
      <c r="B561">
        <f>IF(A561&gt;162.1,Parameters!$B$5,Parameters!$B$4)</f>
        <v/>
      </c>
      <c r="C561">
        <f>C560-0.1*B561+0</f>
        <v/>
      </c>
      <c r="D561">
        <f>D560-0.1*B561+0</f>
        <v/>
      </c>
      <c r="E561">
        <f>Parameters!$B$25</f>
        <v/>
      </c>
    </row>
    <row r="562">
      <c r="A562" t="n">
        <v>56</v>
      </c>
      <c r="B562">
        <f>IF(A562&gt;162.1,Parameters!$B$5,Parameters!$B$4)</f>
        <v/>
      </c>
      <c r="C562">
        <f>C561-0.1*B562+0</f>
        <v/>
      </c>
      <c r="D562">
        <f>D561-0.1*B562+0</f>
        <v/>
      </c>
      <c r="E562">
        <f>Parameters!$B$25</f>
        <v/>
      </c>
    </row>
    <row r="563">
      <c r="A563" t="n">
        <v>56.1</v>
      </c>
      <c r="B563">
        <f>IF(A563&gt;162.1,Parameters!$B$5,Parameters!$B$4)</f>
        <v/>
      </c>
      <c r="C563">
        <f>C562-0.1*B563+0</f>
        <v/>
      </c>
      <c r="D563">
        <f>D562-0.1*B563+0</f>
        <v/>
      </c>
      <c r="E563">
        <f>Parameters!$B$25</f>
        <v/>
      </c>
    </row>
    <row r="564">
      <c r="A564" t="n">
        <v>56.2</v>
      </c>
      <c r="B564">
        <f>IF(A564&gt;162.1,Parameters!$B$5,Parameters!$B$4)</f>
        <v/>
      </c>
      <c r="C564">
        <f>C563-0.1*B564+0</f>
        <v/>
      </c>
      <c r="D564">
        <f>D563-0.1*B564+0</f>
        <v/>
      </c>
      <c r="E564">
        <f>Parameters!$B$25</f>
        <v/>
      </c>
    </row>
    <row r="565">
      <c r="A565" t="n">
        <v>56.3</v>
      </c>
      <c r="B565">
        <f>IF(A565&gt;162.1,Parameters!$B$5,Parameters!$B$4)</f>
        <v/>
      </c>
      <c r="C565">
        <f>C564-0.1*B565+0</f>
        <v/>
      </c>
      <c r="D565">
        <f>D564-0.1*B565+0</f>
        <v/>
      </c>
      <c r="E565">
        <f>Parameters!$B$25</f>
        <v/>
      </c>
    </row>
    <row r="566">
      <c r="A566" t="n">
        <v>56.4</v>
      </c>
      <c r="B566">
        <f>IF(A566&gt;162.1,Parameters!$B$5,Parameters!$B$4)</f>
        <v/>
      </c>
      <c r="C566">
        <f>C565-0.1*B566+0</f>
        <v/>
      </c>
      <c r="D566">
        <f>D565-0.1*B566+0</f>
        <v/>
      </c>
      <c r="E566">
        <f>Parameters!$B$25</f>
        <v/>
      </c>
    </row>
    <row r="567">
      <c r="A567" t="n">
        <v>56.5</v>
      </c>
      <c r="B567">
        <f>IF(A567&gt;162.1,Parameters!$B$5,Parameters!$B$4)</f>
        <v/>
      </c>
      <c r="C567">
        <f>C566-0.1*B567+0</f>
        <v/>
      </c>
      <c r="D567">
        <f>D566-0.1*B567+0</f>
        <v/>
      </c>
      <c r="E567">
        <f>Parameters!$B$25</f>
        <v/>
      </c>
    </row>
    <row r="568">
      <c r="A568" t="n">
        <v>56.6</v>
      </c>
      <c r="B568">
        <f>IF(A568&gt;162.1,Parameters!$B$5,Parameters!$B$4)</f>
        <v/>
      </c>
      <c r="C568">
        <f>C567-0.1*B568+0</f>
        <v/>
      </c>
      <c r="D568">
        <f>D567-0.1*B568+0</f>
        <v/>
      </c>
      <c r="E568">
        <f>Parameters!$B$25</f>
        <v/>
      </c>
    </row>
    <row r="569">
      <c r="A569" t="n">
        <v>56.7</v>
      </c>
      <c r="B569">
        <f>IF(A569&gt;162.1,Parameters!$B$5,Parameters!$B$4)</f>
        <v/>
      </c>
      <c r="C569">
        <f>C568-0.1*B569+0</f>
        <v/>
      </c>
      <c r="D569">
        <f>D568-0.1*B569+0</f>
        <v/>
      </c>
      <c r="E569">
        <f>Parameters!$B$25</f>
        <v/>
      </c>
    </row>
    <row r="570">
      <c r="A570" t="n">
        <v>56.8</v>
      </c>
      <c r="B570">
        <f>IF(A570&gt;162.1,Parameters!$B$5,Parameters!$B$4)</f>
        <v/>
      </c>
      <c r="C570">
        <f>C569-0.1*B570+0</f>
        <v/>
      </c>
      <c r="D570">
        <f>D569-0.1*B570+0</f>
        <v/>
      </c>
      <c r="E570">
        <f>Parameters!$B$25</f>
        <v/>
      </c>
    </row>
    <row r="571">
      <c r="A571" t="n">
        <v>56.9</v>
      </c>
      <c r="B571">
        <f>IF(A571&gt;162.1,Parameters!$B$5,Parameters!$B$4)</f>
        <v/>
      </c>
      <c r="C571">
        <f>C570-0.1*B571+0</f>
        <v/>
      </c>
      <c r="D571">
        <f>D570-0.1*B571+0</f>
        <v/>
      </c>
      <c r="E571">
        <f>Parameters!$B$25</f>
        <v/>
      </c>
    </row>
    <row r="572">
      <c r="A572" t="n">
        <v>57</v>
      </c>
      <c r="B572">
        <f>IF(A572&gt;162.1,Parameters!$B$5,Parameters!$B$4)</f>
        <v/>
      </c>
      <c r="C572">
        <f>C571-0.1*B572+0</f>
        <v/>
      </c>
      <c r="D572">
        <f>D571-0.1*B572+0</f>
        <v/>
      </c>
      <c r="E572">
        <f>Parameters!$B$25</f>
        <v/>
      </c>
    </row>
    <row r="573">
      <c r="A573" t="n">
        <v>57.1</v>
      </c>
      <c r="B573">
        <f>IF(A573&gt;162.1,Parameters!$B$5,Parameters!$B$4)</f>
        <v/>
      </c>
      <c r="C573">
        <f>C572-0.1*B573+0</f>
        <v/>
      </c>
      <c r="D573">
        <f>D572-0.1*B573+0</f>
        <v/>
      </c>
      <c r="E573">
        <f>Parameters!$B$25</f>
        <v/>
      </c>
    </row>
    <row r="574">
      <c r="A574" t="n">
        <v>57.2</v>
      </c>
      <c r="B574">
        <f>IF(A574&gt;162.1,Parameters!$B$5,Parameters!$B$4)</f>
        <v/>
      </c>
      <c r="C574">
        <f>C573-0.1*B574+0</f>
        <v/>
      </c>
      <c r="D574">
        <f>D573-0.1*B574+0</f>
        <v/>
      </c>
      <c r="E574">
        <f>Parameters!$B$25</f>
        <v/>
      </c>
    </row>
    <row r="575">
      <c r="A575" t="n">
        <v>57.3</v>
      </c>
      <c r="B575">
        <f>IF(A575&gt;162.1,Parameters!$B$5,Parameters!$B$4)</f>
        <v/>
      </c>
      <c r="C575">
        <f>C574-0.1*B575+0</f>
        <v/>
      </c>
      <c r="D575">
        <f>D574-0.1*B575+0</f>
        <v/>
      </c>
      <c r="E575">
        <f>Parameters!$B$25</f>
        <v/>
      </c>
    </row>
    <row r="576">
      <c r="A576" t="n">
        <v>57.4</v>
      </c>
      <c r="B576">
        <f>IF(A576&gt;162.1,Parameters!$B$5,Parameters!$B$4)</f>
        <v/>
      </c>
      <c r="C576">
        <f>C575-0.1*B576+0</f>
        <v/>
      </c>
      <c r="D576">
        <f>D575-0.1*B576+0</f>
        <v/>
      </c>
      <c r="E576">
        <f>Parameters!$B$25</f>
        <v/>
      </c>
    </row>
    <row r="577">
      <c r="A577" t="n">
        <v>57.5</v>
      </c>
      <c r="B577">
        <f>IF(A577&gt;162.1,Parameters!$B$5,Parameters!$B$4)</f>
        <v/>
      </c>
      <c r="C577">
        <f>C576-0.1*B577+0</f>
        <v/>
      </c>
      <c r="D577">
        <f>D576-0.1*B577+0</f>
        <v/>
      </c>
      <c r="E577">
        <f>Parameters!$B$25</f>
        <v/>
      </c>
    </row>
    <row r="578">
      <c r="A578" t="n">
        <v>57.6</v>
      </c>
      <c r="B578">
        <f>IF(A578&gt;162.1,Parameters!$B$5,Parameters!$B$4)</f>
        <v/>
      </c>
      <c r="C578">
        <f>C577-0.1*B578+0</f>
        <v/>
      </c>
      <c r="D578">
        <f>D577-0.1*B578+0</f>
        <v/>
      </c>
      <c r="E578">
        <f>Parameters!$B$25</f>
        <v/>
      </c>
    </row>
    <row r="579">
      <c r="A579" t="n">
        <v>57.7</v>
      </c>
      <c r="B579">
        <f>IF(A579&gt;162.1,Parameters!$B$5,Parameters!$B$4)</f>
        <v/>
      </c>
      <c r="C579">
        <f>C578-0.1*B579+0</f>
        <v/>
      </c>
      <c r="D579">
        <f>D578-0.1*B579+0</f>
        <v/>
      </c>
      <c r="E579">
        <f>Parameters!$B$25</f>
        <v/>
      </c>
    </row>
    <row r="580">
      <c r="A580" t="n">
        <v>57.8</v>
      </c>
      <c r="B580">
        <f>IF(A580&gt;162.1,Parameters!$B$5,Parameters!$B$4)</f>
        <v/>
      </c>
      <c r="C580">
        <f>C579-0.1*B580+0</f>
        <v/>
      </c>
      <c r="D580">
        <f>D579-0.1*B580+0</f>
        <v/>
      </c>
      <c r="E580">
        <f>Parameters!$B$25</f>
        <v/>
      </c>
    </row>
    <row r="581">
      <c r="A581" t="n">
        <v>57.9</v>
      </c>
      <c r="B581">
        <f>IF(A581&gt;162.1,Parameters!$B$5,Parameters!$B$4)</f>
        <v/>
      </c>
      <c r="C581">
        <f>C580-0.1*B581+0</f>
        <v/>
      </c>
      <c r="D581">
        <f>D580-0.1*B581+0</f>
        <v/>
      </c>
      <c r="E581">
        <f>Parameters!$B$25</f>
        <v/>
      </c>
    </row>
    <row r="582">
      <c r="A582" t="n">
        <v>58</v>
      </c>
      <c r="B582">
        <f>IF(A582&gt;162.1,Parameters!$B$5,Parameters!$B$4)</f>
        <v/>
      </c>
      <c r="C582">
        <f>C581-0.1*B582+0</f>
        <v/>
      </c>
      <c r="D582">
        <f>D581-0.1*B582+0</f>
        <v/>
      </c>
      <c r="E582">
        <f>Parameters!$B$25</f>
        <v/>
      </c>
    </row>
    <row r="583">
      <c r="A583" t="n">
        <v>58.1</v>
      </c>
      <c r="B583">
        <f>IF(A583&gt;162.1,Parameters!$B$5,Parameters!$B$4)</f>
        <v/>
      </c>
      <c r="C583">
        <f>C582-0.1*B583+0</f>
        <v/>
      </c>
      <c r="D583">
        <f>D582-0.1*B583+0</f>
        <v/>
      </c>
      <c r="E583">
        <f>Parameters!$B$25</f>
        <v/>
      </c>
    </row>
    <row r="584">
      <c r="A584" t="n">
        <v>58.2</v>
      </c>
      <c r="B584">
        <f>IF(A584&gt;162.1,Parameters!$B$5,Parameters!$B$4)</f>
        <v/>
      </c>
      <c r="C584">
        <f>C583-0.1*B584+0</f>
        <v/>
      </c>
      <c r="D584">
        <f>D583-0.1*B584+0</f>
        <v/>
      </c>
      <c r="E584">
        <f>Parameters!$B$25</f>
        <v/>
      </c>
    </row>
    <row r="585">
      <c r="A585" t="n">
        <v>58.3</v>
      </c>
      <c r="B585">
        <f>IF(A585&gt;162.1,Parameters!$B$5,Parameters!$B$4)</f>
        <v/>
      </c>
      <c r="C585">
        <f>C584-0.1*B585+0</f>
        <v/>
      </c>
      <c r="D585">
        <f>D584-0.1*B585+0</f>
        <v/>
      </c>
      <c r="E585">
        <f>Parameters!$B$25</f>
        <v/>
      </c>
    </row>
    <row r="586">
      <c r="A586" t="n">
        <v>58.4</v>
      </c>
      <c r="B586">
        <f>IF(A586&gt;162.1,Parameters!$B$5,Parameters!$B$4)</f>
        <v/>
      </c>
      <c r="C586">
        <f>C585-0.1*B586+0</f>
        <v/>
      </c>
      <c r="D586">
        <f>D585-0.1*B586+0</f>
        <v/>
      </c>
      <c r="E586">
        <f>Parameters!$B$25</f>
        <v/>
      </c>
    </row>
    <row r="587">
      <c r="A587" t="n">
        <v>58.5</v>
      </c>
      <c r="B587">
        <f>IF(A587&gt;162.1,Parameters!$B$5,Parameters!$B$4)</f>
        <v/>
      </c>
      <c r="C587">
        <f>C586-0.1*B587+0</f>
        <v/>
      </c>
      <c r="D587">
        <f>D586-0.1*B587+0</f>
        <v/>
      </c>
      <c r="E587">
        <f>Parameters!$B$25</f>
        <v/>
      </c>
    </row>
    <row r="588">
      <c r="A588" t="n">
        <v>58.6</v>
      </c>
      <c r="B588">
        <f>IF(A588&gt;162.1,Parameters!$B$5,Parameters!$B$4)</f>
        <v/>
      </c>
      <c r="C588">
        <f>C587-0.1*B588+0</f>
        <v/>
      </c>
      <c r="D588">
        <f>D587-0.1*B588+0</f>
        <v/>
      </c>
      <c r="E588">
        <f>Parameters!$B$25</f>
        <v/>
      </c>
    </row>
    <row r="589">
      <c r="A589" t="n">
        <v>58.7</v>
      </c>
      <c r="B589">
        <f>IF(A589&gt;162.1,Parameters!$B$5,Parameters!$B$4)</f>
        <v/>
      </c>
      <c r="C589">
        <f>C588-0.1*B589+0</f>
        <v/>
      </c>
      <c r="D589">
        <f>D588-0.1*B589+0</f>
        <v/>
      </c>
      <c r="E589">
        <f>Parameters!$B$25</f>
        <v/>
      </c>
    </row>
    <row r="590">
      <c r="A590" t="n">
        <v>58.8</v>
      </c>
      <c r="B590">
        <f>IF(A590&gt;162.1,Parameters!$B$5,Parameters!$B$4)</f>
        <v/>
      </c>
      <c r="C590">
        <f>C589-0.1*B590+0</f>
        <v/>
      </c>
      <c r="D590">
        <f>D589-0.1*B590+0</f>
        <v/>
      </c>
      <c r="E590">
        <f>Parameters!$B$25</f>
        <v/>
      </c>
    </row>
    <row r="591">
      <c r="A591" t="n">
        <v>58.9</v>
      </c>
      <c r="B591">
        <f>IF(A591&gt;162.1,Parameters!$B$5,Parameters!$B$4)</f>
        <v/>
      </c>
      <c r="C591">
        <f>C590-0.1*B591+0</f>
        <v/>
      </c>
      <c r="D591">
        <f>D590-0.1*B591+0</f>
        <v/>
      </c>
      <c r="E591">
        <f>Parameters!$B$25</f>
        <v/>
      </c>
    </row>
    <row r="592">
      <c r="A592" t="n">
        <v>59</v>
      </c>
      <c r="B592">
        <f>IF(A592&gt;162.1,Parameters!$B$5,Parameters!$B$4)</f>
        <v/>
      </c>
      <c r="C592">
        <f>C591-0.1*B592+0</f>
        <v/>
      </c>
      <c r="D592">
        <f>D591-0.1*B592+0</f>
        <v/>
      </c>
      <c r="E592">
        <f>Parameters!$B$25</f>
        <v/>
      </c>
    </row>
    <row r="593">
      <c r="A593" t="n">
        <v>59.1</v>
      </c>
      <c r="B593">
        <f>IF(A593&gt;162.1,Parameters!$B$5,Parameters!$B$4)</f>
        <v/>
      </c>
      <c r="C593">
        <f>C592-0.1*B593+0</f>
        <v/>
      </c>
      <c r="D593">
        <f>D592-0.1*B593+0</f>
        <v/>
      </c>
      <c r="E593">
        <f>Parameters!$B$25</f>
        <v/>
      </c>
    </row>
    <row r="594">
      <c r="A594" t="n">
        <v>59.2</v>
      </c>
      <c r="B594">
        <f>IF(A594&gt;162.1,Parameters!$B$5,Parameters!$B$4)</f>
        <v/>
      </c>
      <c r="C594">
        <f>C593-0.1*B594+0</f>
        <v/>
      </c>
      <c r="D594">
        <f>D593-0.1*B594+0</f>
        <v/>
      </c>
      <c r="E594">
        <f>Parameters!$B$25</f>
        <v/>
      </c>
    </row>
    <row r="595">
      <c r="A595" t="n">
        <v>59.3</v>
      </c>
      <c r="B595">
        <f>IF(A595&gt;162.1,Parameters!$B$5,Parameters!$B$4)</f>
        <v/>
      </c>
      <c r="C595">
        <f>C594-0.1*B595+0</f>
        <v/>
      </c>
      <c r="D595">
        <f>D594-0.1*B595+0</f>
        <v/>
      </c>
      <c r="E595">
        <f>Parameters!$B$25</f>
        <v/>
      </c>
    </row>
    <row r="596">
      <c r="A596" t="n">
        <v>59.4</v>
      </c>
      <c r="B596">
        <f>IF(A596&gt;162.1,Parameters!$B$5,Parameters!$B$4)</f>
        <v/>
      </c>
      <c r="C596">
        <f>C595-0.1*B596+0</f>
        <v/>
      </c>
      <c r="D596">
        <f>D595-0.1*B596+0</f>
        <v/>
      </c>
      <c r="E596">
        <f>Parameters!$B$25</f>
        <v/>
      </c>
    </row>
    <row r="597">
      <c r="A597" t="n">
        <v>59.5</v>
      </c>
      <c r="B597">
        <f>IF(A597&gt;162.1,Parameters!$B$5,Parameters!$B$4)</f>
        <v/>
      </c>
      <c r="C597">
        <f>C596-0.1*B597+0</f>
        <v/>
      </c>
      <c r="D597">
        <f>D596-0.1*B597+0</f>
        <v/>
      </c>
      <c r="E597">
        <f>Parameters!$B$25</f>
        <v/>
      </c>
    </row>
    <row r="598">
      <c r="A598" t="n">
        <v>59.6</v>
      </c>
      <c r="B598">
        <f>IF(A598&gt;162.1,Parameters!$B$5,Parameters!$B$4)</f>
        <v/>
      </c>
      <c r="C598">
        <f>C597-0.1*B598+0</f>
        <v/>
      </c>
      <c r="D598">
        <f>D597-0.1*B598+0</f>
        <v/>
      </c>
      <c r="E598">
        <f>Parameters!$B$25</f>
        <v/>
      </c>
    </row>
    <row r="599">
      <c r="A599" t="n">
        <v>59.7</v>
      </c>
      <c r="B599">
        <f>IF(A599&gt;162.1,Parameters!$B$5,Parameters!$B$4)</f>
        <v/>
      </c>
      <c r="C599">
        <f>C598-0.1*B599+0</f>
        <v/>
      </c>
      <c r="D599">
        <f>D598-0.1*B599+0</f>
        <v/>
      </c>
      <c r="E599">
        <f>Parameters!$B$25</f>
        <v/>
      </c>
    </row>
    <row r="600">
      <c r="A600" t="n">
        <v>59.8</v>
      </c>
      <c r="B600">
        <f>IF(A600&gt;162.1,Parameters!$B$5,Parameters!$B$4)</f>
        <v/>
      </c>
      <c r="C600">
        <f>C599-0.1*B600+0</f>
        <v/>
      </c>
      <c r="D600">
        <f>D599-0.1*B600+0</f>
        <v/>
      </c>
      <c r="E600">
        <f>Parameters!$B$25</f>
        <v/>
      </c>
    </row>
    <row r="601">
      <c r="A601" t="n">
        <v>59.9</v>
      </c>
      <c r="B601">
        <f>IF(A601&gt;162.1,Parameters!$B$5,Parameters!$B$4)</f>
        <v/>
      </c>
      <c r="C601">
        <f>C600-0.1*B601+0</f>
        <v/>
      </c>
      <c r="D601">
        <f>D600-0.1*B601+0</f>
        <v/>
      </c>
      <c r="E601">
        <f>Parameters!$B$25</f>
        <v/>
      </c>
    </row>
    <row r="602">
      <c r="A602" t="n">
        <v>60</v>
      </c>
      <c r="B602">
        <f>IF(A602&gt;162.1,Parameters!$B$5,Parameters!$B$4)</f>
        <v/>
      </c>
      <c r="C602">
        <f>C601-0.1*B602+0</f>
        <v/>
      </c>
      <c r="D602">
        <f>D601-0.1*B602+0</f>
        <v/>
      </c>
      <c r="E602">
        <f>Parameters!$B$25</f>
        <v/>
      </c>
    </row>
    <row r="603">
      <c r="A603" t="n">
        <v>60.1</v>
      </c>
      <c r="B603">
        <f>IF(A603&gt;162.1,Parameters!$B$5,Parameters!$B$4)</f>
        <v/>
      </c>
      <c r="C603">
        <f>C602-0.1*B603+0</f>
        <v/>
      </c>
      <c r="D603">
        <f>D602-0.1*B603+0</f>
        <v/>
      </c>
      <c r="E603">
        <f>Parameters!$B$25</f>
        <v/>
      </c>
    </row>
    <row r="604">
      <c r="A604" t="n">
        <v>60.2</v>
      </c>
      <c r="B604">
        <f>IF(A604&gt;162.1,Parameters!$B$5,Parameters!$B$4)</f>
        <v/>
      </c>
      <c r="C604">
        <f>C603-0.1*B604+0</f>
        <v/>
      </c>
      <c r="D604">
        <f>D603-0.1*B604+0</f>
        <v/>
      </c>
      <c r="E604">
        <f>Parameters!$B$25</f>
        <v/>
      </c>
    </row>
    <row r="605">
      <c r="A605" t="n">
        <v>60.3</v>
      </c>
      <c r="B605">
        <f>IF(A605&gt;162.1,Parameters!$B$5,Parameters!$B$4)</f>
        <v/>
      </c>
      <c r="C605">
        <f>C604-0.1*B605+0</f>
        <v/>
      </c>
      <c r="D605">
        <f>D604-0.1*B605+0</f>
        <v/>
      </c>
      <c r="E605">
        <f>Parameters!$B$25</f>
        <v/>
      </c>
    </row>
    <row r="606">
      <c r="A606" t="n">
        <v>60.4</v>
      </c>
      <c r="B606">
        <f>IF(A606&gt;162.1,Parameters!$B$5,Parameters!$B$4)</f>
        <v/>
      </c>
      <c r="C606">
        <f>C605-0.1*B606+0</f>
        <v/>
      </c>
      <c r="D606">
        <f>D605-0.1*B606+0</f>
        <v/>
      </c>
      <c r="E606">
        <f>Parameters!$B$25</f>
        <v/>
      </c>
    </row>
    <row r="607">
      <c r="A607" t="n">
        <v>60.5</v>
      </c>
      <c r="B607">
        <f>IF(A607&gt;162.1,Parameters!$B$5,Parameters!$B$4)</f>
        <v/>
      </c>
      <c r="C607">
        <f>C606-0.1*B607+0</f>
        <v/>
      </c>
      <c r="D607">
        <f>D606-0.1*B607+0</f>
        <v/>
      </c>
      <c r="E607">
        <f>Parameters!$B$25</f>
        <v/>
      </c>
    </row>
    <row r="608">
      <c r="A608" t="n">
        <v>60.6</v>
      </c>
      <c r="B608">
        <f>IF(A608&gt;162.1,Parameters!$B$5,Parameters!$B$4)</f>
        <v/>
      </c>
      <c r="C608">
        <f>C607-0.1*B608+0</f>
        <v/>
      </c>
      <c r="D608">
        <f>D607-0.1*B608+0</f>
        <v/>
      </c>
      <c r="E608">
        <f>Parameters!$B$25</f>
        <v/>
      </c>
    </row>
    <row r="609">
      <c r="A609" t="n">
        <v>60.7</v>
      </c>
      <c r="B609">
        <f>IF(A609&gt;162.1,Parameters!$B$5,Parameters!$B$4)</f>
        <v/>
      </c>
      <c r="C609">
        <f>C608-0.1*B609+0</f>
        <v/>
      </c>
      <c r="D609">
        <f>D608-0.1*B609+0</f>
        <v/>
      </c>
      <c r="E609">
        <f>Parameters!$B$25</f>
        <v/>
      </c>
    </row>
    <row r="610">
      <c r="A610" t="n">
        <v>60.8</v>
      </c>
      <c r="B610">
        <f>IF(A610&gt;162.1,Parameters!$B$5,Parameters!$B$4)</f>
        <v/>
      </c>
      <c r="C610">
        <f>C609-0.1*B610+0</f>
        <v/>
      </c>
      <c r="D610">
        <f>D609-0.1*B610+0</f>
        <v/>
      </c>
      <c r="E610">
        <f>Parameters!$B$25</f>
        <v/>
      </c>
    </row>
    <row r="611">
      <c r="A611" t="n">
        <v>60.9</v>
      </c>
      <c r="B611">
        <f>IF(A611&gt;162.1,Parameters!$B$5,Parameters!$B$4)</f>
        <v/>
      </c>
      <c r="C611">
        <f>C610-0.1*B611+0</f>
        <v/>
      </c>
      <c r="D611">
        <f>D610-0.1*B611+0</f>
        <v/>
      </c>
      <c r="E611">
        <f>Parameters!$B$25</f>
        <v/>
      </c>
    </row>
    <row r="612">
      <c r="A612" t="n">
        <v>61</v>
      </c>
      <c r="B612">
        <f>IF(A612&gt;162.1,Parameters!$B$5,Parameters!$B$4)</f>
        <v/>
      </c>
      <c r="C612">
        <f>C611-0.1*B612+0</f>
        <v/>
      </c>
      <c r="D612">
        <f>D611-0.1*B612+0</f>
        <v/>
      </c>
      <c r="E612">
        <f>Parameters!$B$25</f>
        <v/>
      </c>
    </row>
    <row r="613">
      <c r="A613" t="n">
        <v>61.1</v>
      </c>
      <c r="B613">
        <f>IF(A613&gt;162.1,Parameters!$B$5,Parameters!$B$4)</f>
        <v/>
      </c>
      <c r="C613">
        <f>C612-0.1*B613+0</f>
        <v/>
      </c>
      <c r="D613">
        <f>D612-0.1*B613+0</f>
        <v/>
      </c>
      <c r="E613">
        <f>Parameters!$B$25</f>
        <v/>
      </c>
    </row>
    <row r="614">
      <c r="A614" t="n">
        <v>61.2</v>
      </c>
      <c r="B614">
        <f>IF(A614&gt;162.1,Parameters!$B$5,Parameters!$B$4)</f>
        <v/>
      </c>
      <c r="C614">
        <f>C613-0.1*B614+0</f>
        <v/>
      </c>
      <c r="D614">
        <f>D613-0.1*B614+0</f>
        <v/>
      </c>
      <c r="E614">
        <f>Parameters!$B$25</f>
        <v/>
      </c>
    </row>
    <row r="615">
      <c r="A615" t="n">
        <v>61.3</v>
      </c>
      <c r="B615">
        <f>IF(A615&gt;162.1,Parameters!$B$5,Parameters!$B$4)</f>
        <v/>
      </c>
      <c r="C615">
        <f>C614-0.1*B615+0</f>
        <v/>
      </c>
      <c r="D615">
        <f>D614-0.1*B615+0</f>
        <v/>
      </c>
      <c r="E615">
        <f>Parameters!$B$25</f>
        <v/>
      </c>
    </row>
    <row r="616">
      <c r="A616" t="n">
        <v>61.4</v>
      </c>
      <c r="B616">
        <f>IF(A616&gt;162.1,Parameters!$B$5,Parameters!$B$4)</f>
        <v/>
      </c>
      <c r="C616">
        <f>C615-0.1*B616+0</f>
        <v/>
      </c>
      <c r="D616">
        <f>D615-0.1*B616+0</f>
        <v/>
      </c>
      <c r="E616">
        <f>Parameters!$B$25</f>
        <v/>
      </c>
    </row>
    <row r="617">
      <c r="A617" t="n">
        <v>61.5</v>
      </c>
      <c r="B617">
        <f>IF(A617&gt;162.1,Parameters!$B$5,Parameters!$B$4)</f>
        <v/>
      </c>
      <c r="C617">
        <f>C616-0.1*B617+0</f>
        <v/>
      </c>
      <c r="D617">
        <f>D616-0.1*B617+0</f>
        <v/>
      </c>
      <c r="E617">
        <f>Parameters!$B$25</f>
        <v/>
      </c>
    </row>
    <row r="618">
      <c r="A618" t="n">
        <v>61.6</v>
      </c>
      <c r="B618">
        <f>IF(A618&gt;162.1,Parameters!$B$5,Parameters!$B$4)</f>
        <v/>
      </c>
      <c r="C618">
        <f>C617-0.1*B618+0</f>
        <v/>
      </c>
      <c r="D618">
        <f>D617-0.1*B618+0</f>
        <v/>
      </c>
      <c r="E618">
        <f>Parameters!$B$25</f>
        <v/>
      </c>
    </row>
    <row r="619">
      <c r="A619" t="n">
        <v>61.7</v>
      </c>
      <c r="B619">
        <f>IF(A619&gt;162.1,Parameters!$B$5,Parameters!$B$4)</f>
        <v/>
      </c>
      <c r="C619">
        <f>C618-0.1*B619+0</f>
        <v/>
      </c>
      <c r="D619">
        <f>D618-0.1*B619+0</f>
        <v/>
      </c>
      <c r="E619">
        <f>Parameters!$B$25</f>
        <v/>
      </c>
    </row>
    <row r="620">
      <c r="A620" t="n">
        <v>61.8</v>
      </c>
      <c r="B620">
        <f>IF(A620&gt;162.1,Parameters!$B$5,Parameters!$B$4)</f>
        <v/>
      </c>
      <c r="C620">
        <f>C619-0.1*B620+0</f>
        <v/>
      </c>
      <c r="D620">
        <f>D619-0.1*B620+0</f>
        <v/>
      </c>
      <c r="E620">
        <f>Parameters!$B$25</f>
        <v/>
      </c>
    </row>
    <row r="621">
      <c r="A621" t="n">
        <v>61.9</v>
      </c>
      <c r="B621">
        <f>IF(A621&gt;162.1,Parameters!$B$5,Parameters!$B$4)</f>
        <v/>
      </c>
      <c r="C621">
        <f>C620-0.1*B621+0</f>
        <v/>
      </c>
      <c r="D621">
        <f>D620-0.1*B621+0</f>
        <v/>
      </c>
      <c r="E621">
        <f>Parameters!$B$25</f>
        <v/>
      </c>
    </row>
    <row r="622">
      <c r="A622" t="n">
        <v>62</v>
      </c>
      <c r="B622">
        <f>IF(A622&gt;162.1,Parameters!$B$5,Parameters!$B$4)</f>
        <v/>
      </c>
      <c r="C622">
        <f>C621-0.1*B622+0</f>
        <v/>
      </c>
      <c r="D622">
        <f>D621-0.1*B622+0</f>
        <v/>
      </c>
      <c r="E622">
        <f>Parameters!$B$25</f>
        <v/>
      </c>
    </row>
    <row r="623">
      <c r="A623" t="n">
        <v>62.1</v>
      </c>
      <c r="B623">
        <f>IF(A623&gt;162.1,Parameters!$B$5,Parameters!$B$4)</f>
        <v/>
      </c>
      <c r="C623">
        <f>C622-0.1*B623+0</f>
        <v/>
      </c>
      <c r="D623">
        <f>D622-0.1*B623+0</f>
        <v/>
      </c>
      <c r="E623">
        <f>Parameters!$B$25</f>
        <v/>
      </c>
    </row>
    <row r="624">
      <c r="A624" t="n">
        <v>62.2</v>
      </c>
      <c r="B624">
        <f>IF(A624&gt;162.1,Parameters!$B$5,Parameters!$B$4)</f>
        <v/>
      </c>
      <c r="C624">
        <f>C623-0.1*B624+0</f>
        <v/>
      </c>
      <c r="D624">
        <f>D623-0.1*B624+0</f>
        <v/>
      </c>
      <c r="E624">
        <f>Parameters!$B$25</f>
        <v/>
      </c>
    </row>
    <row r="625">
      <c r="A625" t="n">
        <v>62.3</v>
      </c>
      <c r="B625">
        <f>IF(A625&gt;162.1,Parameters!$B$5,Parameters!$B$4)</f>
        <v/>
      </c>
      <c r="C625">
        <f>C624-0.1*B625+0</f>
        <v/>
      </c>
      <c r="D625">
        <f>D624-0.1*B625+0</f>
        <v/>
      </c>
      <c r="E625">
        <f>Parameters!$B$25</f>
        <v/>
      </c>
    </row>
    <row r="626">
      <c r="A626" t="n">
        <v>62.4</v>
      </c>
      <c r="B626">
        <f>IF(A626&gt;162.1,Parameters!$B$5,Parameters!$B$4)</f>
        <v/>
      </c>
      <c r="C626">
        <f>C625-0.1*B626+0</f>
        <v/>
      </c>
      <c r="D626">
        <f>D625-0.1*B626+0</f>
        <v/>
      </c>
      <c r="E626">
        <f>Parameters!$B$25</f>
        <v/>
      </c>
    </row>
    <row r="627">
      <c r="A627" t="n">
        <v>62.5</v>
      </c>
      <c r="B627">
        <f>IF(A627&gt;162.1,Parameters!$B$5,Parameters!$B$4)</f>
        <v/>
      </c>
      <c r="C627">
        <f>C626-0.1*B627+0</f>
        <v/>
      </c>
      <c r="D627">
        <f>D626-0.1*B627+0</f>
        <v/>
      </c>
      <c r="E627">
        <f>Parameters!$B$25</f>
        <v/>
      </c>
    </row>
    <row r="628">
      <c r="A628" t="n">
        <v>62.6</v>
      </c>
      <c r="B628">
        <f>IF(A628&gt;162.1,Parameters!$B$5,Parameters!$B$4)</f>
        <v/>
      </c>
      <c r="C628">
        <f>C627-0.1*B628+0</f>
        <v/>
      </c>
      <c r="D628">
        <f>D627-0.1*B628+0</f>
        <v/>
      </c>
      <c r="E628">
        <f>Parameters!$B$25</f>
        <v/>
      </c>
    </row>
    <row r="629">
      <c r="A629" t="n">
        <v>62.7</v>
      </c>
      <c r="B629">
        <f>IF(A629&gt;162.1,Parameters!$B$5,Parameters!$B$4)</f>
        <v/>
      </c>
      <c r="C629">
        <f>C628-0.1*B629+0</f>
        <v/>
      </c>
      <c r="D629">
        <f>D628-0.1*B629+0</f>
        <v/>
      </c>
      <c r="E629">
        <f>Parameters!$B$25</f>
        <v/>
      </c>
    </row>
    <row r="630">
      <c r="A630" t="n">
        <v>62.8</v>
      </c>
      <c r="B630">
        <f>IF(A630&gt;162.1,Parameters!$B$5,Parameters!$B$4)</f>
        <v/>
      </c>
      <c r="C630">
        <f>C629-0.1*B630+0</f>
        <v/>
      </c>
      <c r="D630">
        <f>D629-0.1*B630+0</f>
        <v/>
      </c>
      <c r="E630">
        <f>Parameters!$B$25</f>
        <v/>
      </c>
    </row>
    <row r="631">
      <c r="A631" t="n">
        <v>62.9</v>
      </c>
      <c r="B631">
        <f>IF(A631&gt;162.1,Parameters!$B$5,Parameters!$B$4)</f>
        <v/>
      </c>
      <c r="C631">
        <f>C630-0.1*B631+0</f>
        <v/>
      </c>
      <c r="D631">
        <f>D630-0.1*B631+0</f>
        <v/>
      </c>
      <c r="E631">
        <f>Parameters!$B$25</f>
        <v/>
      </c>
    </row>
    <row r="632">
      <c r="A632" t="n">
        <v>63</v>
      </c>
      <c r="B632">
        <f>IF(A632&gt;162.1,Parameters!$B$5,Parameters!$B$4)</f>
        <v/>
      </c>
      <c r="C632">
        <f>C631-0.1*B632+0</f>
        <v/>
      </c>
      <c r="D632">
        <f>D631-0.1*B632+0</f>
        <v/>
      </c>
      <c r="E632">
        <f>Parameters!$B$25</f>
        <v/>
      </c>
    </row>
    <row r="633">
      <c r="A633" t="n">
        <v>63.1</v>
      </c>
      <c r="B633">
        <f>IF(A633&gt;162.1,Parameters!$B$5,Parameters!$B$4)</f>
        <v/>
      </c>
      <c r="C633">
        <f>C632-0.1*B633+0</f>
        <v/>
      </c>
      <c r="D633">
        <f>D632-0.1*B633+0</f>
        <v/>
      </c>
      <c r="E633">
        <f>Parameters!$B$25</f>
        <v/>
      </c>
    </row>
    <row r="634">
      <c r="A634" t="n">
        <v>63.2</v>
      </c>
      <c r="B634">
        <f>IF(A634&gt;162.1,Parameters!$B$5,Parameters!$B$4)</f>
        <v/>
      </c>
      <c r="C634">
        <f>C633-0.1*B634+0</f>
        <v/>
      </c>
      <c r="D634">
        <f>D633-0.1*B634+0</f>
        <v/>
      </c>
      <c r="E634">
        <f>Parameters!$B$25</f>
        <v/>
      </c>
    </row>
    <row r="635">
      <c r="A635" t="n">
        <v>63.3</v>
      </c>
      <c r="B635">
        <f>IF(A635&gt;162.1,Parameters!$B$5,Parameters!$B$4)</f>
        <v/>
      </c>
      <c r="C635">
        <f>C634-0.1*B635+0</f>
        <v/>
      </c>
      <c r="D635">
        <f>D634-0.1*B635+0</f>
        <v/>
      </c>
      <c r="E635">
        <f>Parameters!$B$25</f>
        <v/>
      </c>
    </row>
    <row r="636">
      <c r="A636" t="n">
        <v>63.4</v>
      </c>
      <c r="B636">
        <f>IF(A636&gt;162.1,Parameters!$B$5,Parameters!$B$4)</f>
        <v/>
      </c>
      <c r="C636">
        <f>C635-0.1*B636+0</f>
        <v/>
      </c>
      <c r="D636">
        <f>D635-0.1*B636+0</f>
        <v/>
      </c>
      <c r="E636">
        <f>Parameters!$B$25</f>
        <v/>
      </c>
    </row>
    <row r="637">
      <c r="A637" t="n">
        <v>63.5</v>
      </c>
      <c r="B637">
        <f>IF(A637&gt;162.1,Parameters!$B$5,Parameters!$B$4)</f>
        <v/>
      </c>
      <c r="C637">
        <f>C636-0.1*B637+0</f>
        <v/>
      </c>
      <c r="D637">
        <f>D636-0.1*B637+0</f>
        <v/>
      </c>
      <c r="E637">
        <f>Parameters!$B$25</f>
        <v/>
      </c>
    </row>
    <row r="638">
      <c r="A638" t="n">
        <v>63.6</v>
      </c>
      <c r="B638">
        <f>IF(A638&gt;162.1,Parameters!$B$5,Parameters!$B$4)</f>
        <v/>
      </c>
      <c r="C638">
        <f>C637-0.1*B638+0</f>
        <v/>
      </c>
      <c r="D638">
        <f>D637-0.1*B638+0</f>
        <v/>
      </c>
      <c r="E638">
        <f>Parameters!$B$25</f>
        <v/>
      </c>
    </row>
    <row r="639">
      <c r="A639" t="n">
        <v>63.7</v>
      </c>
      <c r="B639">
        <f>IF(A639&gt;162.1,Parameters!$B$5,Parameters!$B$4)</f>
        <v/>
      </c>
      <c r="C639">
        <f>C638-0.1*B639+0</f>
        <v/>
      </c>
      <c r="D639">
        <f>D638-0.1*B639+0</f>
        <v/>
      </c>
      <c r="E639">
        <f>Parameters!$B$25</f>
        <v/>
      </c>
    </row>
    <row r="640">
      <c r="A640" t="n">
        <v>63.8</v>
      </c>
      <c r="B640">
        <f>IF(A640&gt;162.1,Parameters!$B$5,Parameters!$B$4)</f>
        <v/>
      </c>
      <c r="C640">
        <f>C639-0.1*B640+0</f>
        <v/>
      </c>
      <c r="D640">
        <f>D639-0.1*B640+0</f>
        <v/>
      </c>
      <c r="E640">
        <f>Parameters!$B$25</f>
        <v/>
      </c>
    </row>
    <row r="641">
      <c r="A641" t="n">
        <v>63.9</v>
      </c>
      <c r="B641">
        <f>IF(A641&gt;162.1,Parameters!$B$5,Parameters!$B$4)</f>
        <v/>
      </c>
      <c r="C641">
        <f>C640-0.1*B641+0</f>
        <v/>
      </c>
      <c r="D641">
        <f>D640-0.1*B641+0</f>
        <v/>
      </c>
      <c r="E641">
        <f>Parameters!$B$25</f>
        <v/>
      </c>
    </row>
    <row r="642">
      <c r="A642" t="n">
        <v>64</v>
      </c>
      <c r="B642">
        <f>IF(A642&gt;162.1,Parameters!$B$5,Parameters!$B$4)</f>
        <v/>
      </c>
      <c r="C642">
        <f>C641-0.1*B642+0</f>
        <v/>
      </c>
      <c r="D642">
        <f>D641-0.1*B642+0</f>
        <v/>
      </c>
      <c r="E642">
        <f>Parameters!$B$25</f>
        <v/>
      </c>
    </row>
    <row r="643">
      <c r="A643" t="n">
        <v>64.09999999999999</v>
      </c>
      <c r="B643">
        <f>IF(A643&gt;162.1,Parameters!$B$5,Parameters!$B$4)</f>
        <v/>
      </c>
      <c r="C643">
        <f>C642-0.1*B643+0</f>
        <v/>
      </c>
      <c r="D643">
        <f>D642-0.1*B643+0</f>
        <v/>
      </c>
      <c r="E643">
        <f>Parameters!$B$25</f>
        <v/>
      </c>
    </row>
    <row r="644">
      <c r="A644" t="n">
        <v>64.2</v>
      </c>
      <c r="B644">
        <f>IF(A644&gt;162.1,Parameters!$B$5,Parameters!$B$4)</f>
        <v/>
      </c>
      <c r="C644">
        <f>C643-0.1*B644+0</f>
        <v/>
      </c>
      <c r="D644">
        <f>D643-0.1*B644+0</f>
        <v/>
      </c>
      <c r="E644">
        <f>Parameters!$B$25</f>
        <v/>
      </c>
    </row>
    <row r="645">
      <c r="A645" t="n">
        <v>64.3</v>
      </c>
      <c r="B645">
        <f>IF(A645&gt;162.1,Parameters!$B$5,Parameters!$B$4)</f>
        <v/>
      </c>
      <c r="C645">
        <f>C644-0.1*B645+0</f>
        <v/>
      </c>
      <c r="D645">
        <f>D644-0.1*B645+0</f>
        <v/>
      </c>
      <c r="E645">
        <f>Parameters!$B$25</f>
        <v/>
      </c>
    </row>
    <row r="646">
      <c r="A646" t="n">
        <v>64.40000000000001</v>
      </c>
      <c r="B646">
        <f>IF(A646&gt;162.1,Parameters!$B$5,Parameters!$B$4)</f>
        <v/>
      </c>
      <c r="C646">
        <f>C645-0.1*B646+0</f>
        <v/>
      </c>
      <c r="D646">
        <f>D645-0.1*B646+0</f>
        <v/>
      </c>
      <c r="E646">
        <f>Parameters!$B$25</f>
        <v/>
      </c>
    </row>
    <row r="647">
      <c r="A647" t="n">
        <v>64.5</v>
      </c>
      <c r="B647">
        <f>IF(A647&gt;162.1,Parameters!$B$5,Parameters!$B$4)</f>
        <v/>
      </c>
      <c r="C647">
        <f>C646-0.1*B647+0</f>
        <v/>
      </c>
      <c r="D647">
        <f>D646-0.1*B647+0</f>
        <v/>
      </c>
      <c r="E647">
        <f>Parameters!$B$25</f>
        <v/>
      </c>
    </row>
    <row r="648">
      <c r="A648" t="n">
        <v>64.59999999999999</v>
      </c>
      <c r="B648">
        <f>IF(A648&gt;162.1,Parameters!$B$5,Parameters!$B$4)</f>
        <v/>
      </c>
      <c r="C648">
        <f>C647-0.1*B648+0</f>
        <v/>
      </c>
      <c r="D648">
        <f>D647-0.1*B648+0</f>
        <v/>
      </c>
      <c r="E648">
        <f>Parameters!$B$25</f>
        <v/>
      </c>
    </row>
    <row r="649">
      <c r="A649" t="n">
        <v>64.7</v>
      </c>
      <c r="B649">
        <f>IF(A649&gt;162.1,Parameters!$B$5,Parameters!$B$4)</f>
        <v/>
      </c>
      <c r="C649">
        <f>C648-0.1*B649+0</f>
        <v/>
      </c>
      <c r="D649">
        <f>D648-0.1*B649+0</f>
        <v/>
      </c>
      <c r="E649">
        <f>Parameters!$B$25</f>
        <v/>
      </c>
    </row>
    <row r="650">
      <c r="A650" t="n">
        <v>64.8</v>
      </c>
      <c r="B650">
        <f>IF(A650&gt;162.1,Parameters!$B$5,Parameters!$B$4)</f>
        <v/>
      </c>
      <c r="C650">
        <f>C649-0.1*B650+0</f>
        <v/>
      </c>
      <c r="D650">
        <f>D649-0.1*B650+0</f>
        <v/>
      </c>
      <c r="E650">
        <f>Parameters!$B$25</f>
        <v/>
      </c>
    </row>
    <row r="651">
      <c r="A651" t="n">
        <v>64.90000000000001</v>
      </c>
      <c r="B651">
        <f>IF(A651&gt;162.1,Parameters!$B$5,Parameters!$B$4)</f>
        <v/>
      </c>
      <c r="C651">
        <f>C650-0.1*B651+0</f>
        <v/>
      </c>
      <c r="D651">
        <f>D650-0.1*B651+0</f>
        <v/>
      </c>
      <c r="E651">
        <f>Parameters!$B$25</f>
        <v/>
      </c>
    </row>
    <row r="652">
      <c r="A652" t="n">
        <v>65</v>
      </c>
      <c r="B652">
        <f>IF(A652&gt;162.1,Parameters!$B$5,Parameters!$B$4)</f>
        <v/>
      </c>
      <c r="C652">
        <f>C651-0.1*B652+0</f>
        <v/>
      </c>
      <c r="D652">
        <f>D651-0.1*B652+0</f>
        <v/>
      </c>
      <c r="E652">
        <f>Parameters!$B$25</f>
        <v/>
      </c>
    </row>
    <row r="653">
      <c r="A653" t="n">
        <v>65.09999999999999</v>
      </c>
      <c r="B653">
        <f>IF(A653&gt;162.1,Parameters!$B$5,Parameters!$B$4)</f>
        <v/>
      </c>
      <c r="C653">
        <f>C652-0.1*B653+0</f>
        <v/>
      </c>
      <c r="D653">
        <f>D652-0.1*B653+0</f>
        <v/>
      </c>
      <c r="E653">
        <f>Parameters!$B$25</f>
        <v/>
      </c>
    </row>
    <row r="654">
      <c r="A654" t="n">
        <v>65.2</v>
      </c>
      <c r="B654">
        <f>IF(A654&gt;162.1,Parameters!$B$5,Parameters!$B$4)</f>
        <v/>
      </c>
      <c r="C654">
        <f>C653-0.1*B654+0</f>
        <v/>
      </c>
      <c r="D654">
        <f>D653-0.1*B654+0</f>
        <v/>
      </c>
      <c r="E654">
        <f>Parameters!$B$25</f>
        <v/>
      </c>
    </row>
    <row r="655">
      <c r="A655" t="n">
        <v>65.3</v>
      </c>
      <c r="B655">
        <f>IF(A655&gt;162.1,Parameters!$B$5,Parameters!$B$4)</f>
        <v/>
      </c>
      <c r="C655">
        <f>C654-0.1*B655+0</f>
        <v/>
      </c>
      <c r="D655">
        <f>D654-0.1*B655+0</f>
        <v/>
      </c>
      <c r="E655">
        <f>Parameters!$B$25</f>
        <v/>
      </c>
    </row>
    <row r="656">
      <c r="A656" t="n">
        <v>65.40000000000001</v>
      </c>
      <c r="B656">
        <f>IF(A656&gt;162.1,Parameters!$B$5,Parameters!$B$4)</f>
        <v/>
      </c>
      <c r="C656">
        <f>C655-0.1*B656+0</f>
        <v/>
      </c>
      <c r="D656">
        <f>D655-0.1*B656+0</f>
        <v/>
      </c>
      <c r="E656">
        <f>Parameters!$B$25</f>
        <v/>
      </c>
    </row>
    <row r="657">
      <c r="A657" t="n">
        <v>65.5</v>
      </c>
      <c r="B657">
        <f>IF(A657&gt;162.1,Parameters!$B$5,Parameters!$B$4)</f>
        <v/>
      </c>
      <c r="C657">
        <f>C656-0.1*B657+0</f>
        <v/>
      </c>
      <c r="D657">
        <f>D656-0.1*B657+0</f>
        <v/>
      </c>
      <c r="E657">
        <f>Parameters!$B$25</f>
        <v/>
      </c>
    </row>
    <row r="658">
      <c r="A658" t="n">
        <v>65.59999999999999</v>
      </c>
      <c r="B658">
        <f>IF(A658&gt;162.1,Parameters!$B$5,Parameters!$B$4)</f>
        <v/>
      </c>
      <c r="C658">
        <f>C657-0.1*B658+0</f>
        <v/>
      </c>
      <c r="D658">
        <f>D657-0.1*B658+0</f>
        <v/>
      </c>
      <c r="E658">
        <f>Parameters!$B$25</f>
        <v/>
      </c>
    </row>
    <row r="659">
      <c r="A659" t="n">
        <v>65.7</v>
      </c>
      <c r="B659">
        <f>IF(A659&gt;162.1,Parameters!$B$5,Parameters!$B$4)</f>
        <v/>
      </c>
      <c r="C659">
        <f>C658-0.1*B659+0</f>
        <v/>
      </c>
      <c r="D659">
        <f>D658-0.1*B659+0</f>
        <v/>
      </c>
      <c r="E659">
        <f>Parameters!$B$25</f>
        <v/>
      </c>
    </row>
    <row r="660">
      <c r="A660" t="n">
        <v>65.8</v>
      </c>
      <c r="B660">
        <f>IF(A660&gt;162.1,Parameters!$B$5,Parameters!$B$4)</f>
        <v/>
      </c>
      <c r="C660">
        <f>C659-0.1*B660+0</f>
        <v/>
      </c>
      <c r="D660">
        <f>D659-0.1*B660+0</f>
        <v/>
      </c>
      <c r="E660">
        <f>Parameters!$B$25</f>
        <v/>
      </c>
    </row>
    <row r="661">
      <c r="A661" t="n">
        <v>65.90000000000001</v>
      </c>
      <c r="B661">
        <f>IF(A661&gt;162.1,Parameters!$B$5,Parameters!$B$4)</f>
        <v/>
      </c>
      <c r="C661">
        <f>C660-0.1*B661+0</f>
        <v/>
      </c>
      <c r="D661">
        <f>D660-0.1*B661+0</f>
        <v/>
      </c>
      <c r="E661">
        <f>Parameters!$B$25</f>
        <v/>
      </c>
    </row>
    <row r="662">
      <c r="A662" t="n">
        <v>66</v>
      </c>
      <c r="B662">
        <f>IF(A662&gt;162.1,Parameters!$B$5,Parameters!$B$4)</f>
        <v/>
      </c>
      <c r="C662">
        <f>C661-0.1*B662+0</f>
        <v/>
      </c>
      <c r="D662">
        <f>D661-0.1*B662+0</f>
        <v/>
      </c>
      <c r="E662">
        <f>Parameters!$B$25</f>
        <v/>
      </c>
    </row>
    <row r="663">
      <c r="A663" t="n">
        <v>66.09999999999999</v>
      </c>
      <c r="B663">
        <f>IF(A663&gt;162.1,Parameters!$B$5,Parameters!$B$4)</f>
        <v/>
      </c>
      <c r="C663">
        <f>C662-0.1*B663+0</f>
        <v/>
      </c>
      <c r="D663">
        <f>D662-0.1*B663+0</f>
        <v/>
      </c>
      <c r="E663">
        <f>Parameters!$B$25</f>
        <v/>
      </c>
    </row>
    <row r="664">
      <c r="A664" t="n">
        <v>66.2</v>
      </c>
      <c r="B664">
        <f>IF(A664&gt;162.1,Parameters!$B$5,Parameters!$B$4)</f>
        <v/>
      </c>
      <c r="C664">
        <f>C663-0.1*B664+0</f>
        <v/>
      </c>
      <c r="D664">
        <f>D663-0.1*B664+0</f>
        <v/>
      </c>
      <c r="E664">
        <f>Parameters!$B$25</f>
        <v/>
      </c>
    </row>
    <row r="665">
      <c r="A665" t="n">
        <v>66.3</v>
      </c>
      <c r="B665">
        <f>IF(A665&gt;162.1,Parameters!$B$5,Parameters!$B$4)</f>
        <v/>
      </c>
      <c r="C665">
        <f>C664-0.1*B665+0</f>
        <v/>
      </c>
      <c r="D665">
        <f>D664-0.1*B665+0</f>
        <v/>
      </c>
      <c r="E665">
        <f>Parameters!$B$25</f>
        <v/>
      </c>
    </row>
    <row r="666">
      <c r="A666" t="n">
        <v>66.40000000000001</v>
      </c>
      <c r="B666">
        <f>IF(A666&gt;162.1,Parameters!$B$5,Parameters!$B$4)</f>
        <v/>
      </c>
      <c r="C666">
        <f>C665-0.1*B666+0</f>
        <v/>
      </c>
      <c r="D666">
        <f>D665-0.1*B666+0</f>
        <v/>
      </c>
      <c r="E666">
        <f>Parameters!$B$25</f>
        <v/>
      </c>
    </row>
    <row r="667">
      <c r="A667" t="n">
        <v>66.5</v>
      </c>
      <c r="B667">
        <f>IF(A667&gt;162.1,Parameters!$B$5,Parameters!$B$4)</f>
        <v/>
      </c>
      <c r="C667">
        <f>C666-0.1*B667+0</f>
        <v/>
      </c>
      <c r="D667">
        <f>D666-0.1*B667+0</f>
        <v/>
      </c>
      <c r="E667">
        <f>Parameters!$B$25</f>
        <v/>
      </c>
    </row>
    <row r="668">
      <c r="A668" t="n">
        <v>66.59999999999999</v>
      </c>
      <c r="B668">
        <f>IF(A668&gt;162.1,Parameters!$B$5,Parameters!$B$4)</f>
        <v/>
      </c>
      <c r="C668">
        <f>C667-0.1*B668+0</f>
        <v/>
      </c>
      <c r="D668">
        <f>D667-0.1*B668+0</f>
        <v/>
      </c>
      <c r="E668">
        <f>Parameters!$B$25</f>
        <v/>
      </c>
    </row>
    <row r="669">
      <c r="A669" t="n">
        <v>66.7</v>
      </c>
      <c r="B669">
        <f>IF(A669&gt;162.1,Parameters!$B$5,Parameters!$B$4)</f>
        <v/>
      </c>
      <c r="C669">
        <f>C668-0.1*B669+0</f>
        <v/>
      </c>
      <c r="D669">
        <f>D668-0.1*B669+0</f>
        <v/>
      </c>
      <c r="E669">
        <f>Parameters!$B$25</f>
        <v/>
      </c>
    </row>
    <row r="670">
      <c r="A670" t="n">
        <v>66.8</v>
      </c>
      <c r="B670">
        <f>IF(A670&gt;162.1,Parameters!$B$5,Parameters!$B$4)</f>
        <v/>
      </c>
      <c r="C670">
        <f>C669-0.1*B670+0</f>
        <v/>
      </c>
      <c r="D670">
        <f>D669-0.1*B670+0</f>
        <v/>
      </c>
      <c r="E670">
        <f>Parameters!$B$25</f>
        <v/>
      </c>
    </row>
    <row r="671">
      <c r="A671" t="n">
        <v>66.90000000000001</v>
      </c>
      <c r="B671">
        <f>IF(A671&gt;162.1,Parameters!$B$5,Parameters!$B$4)</f>
        <v/>
      </c>
      <c r="C671">
        <f>C670-0.1*B671+0</f>
        <v/>
      </c>
      <c r="D671">
        <f>D670-0.1*B671+0</f>
        <v/>
      </c>
      <c r="E671">
        <f>Parameters!$B$25</f>
        <v/>
      </c>
    </row>
    <row r="672">
      <c r="A672" t="n">
        <v>67</v>
      </c>
      <c r="B672">
        <f>IF(A672&gt;162.1,Parameters!$B$5,Parameters!$B$4)</f>
        <v/>
      </c>
      <c r="C672">
        <f>C671-0.1*B672+0</f>
        <v/>
      </c>
      <c r="D672">
        <f>D671-0.1*B672+0</f>
        <v/>
      </c>
      <c r="E672">
        <f>Parameters!$B$25</f>
        <v/>
      </c>
    </row>
    <row r="673">
      <c r="A673" t="n">
        <v>67.09999999999999</v>
      </c>
      <c r="B673">
        <f>IF(A673&gt;162.1,Parameters!$B$5,Parameters!$B$4)</f>
        <v/>
      </c>
      <c r="C673">
        <f>C672-0.1*B673+0</f>
        <v/>
      </c>
      <c r="D673">
        <f>D672-0.1*B673+0</f>
        <v/>
      </c>
      <c r="E673">
        <f>Parameters!$B$25</f>
        <v/>
      </c>
    </row>
    <row r="674">
      <c r="A674" t="n">
        <v>67.2</v>
      </c>
      <c r="B674">
        <f>IF(A674&gt;162.1,Parameters!$B$5,Parameters!$B$4)</f>
        <v/>
      </c>
      <c r="C674">
        <f>C673-0.1*B674+0</f>
        <v/>
      </c>
      <c r="D674">
        <f>D673-0.1*B674+0</f>
        <v/>
      </c>
      <c r="E674">
        <f>Parameters!$B$25</f>
        <v/>
      </c>
    </row>
    <row r="675">
      <c r="A675" t="n">
        <v>67.3</v>
      </c>
      <c r="B675">
        <f>IF(A675&gt;162.1,Parameters!$B$5,Parameters!$B$4)</f>
        <v/>
      </c>
      <c r="C675">
        <f>C674-0.1*B675+0</f>
        <v/>
      </c>
      <c r="D675">
        <f>D674-0.1*B675+0</f>
        <v/>
      </c>
      <c r="E675">
        <f>Parameters!$B$25</f>
        <v/>
      </c>
    </row>
    <row r="676">
      <c r="A676" t="n">
        <v>67.40000000000001</v>
      </c>
      <c r="B676">
        <f>IF(A676&gt;162.1,Parameters!$B$5,Parameters!$B$4)</f>
        <v/>
      </c>
      <c r="C676">
        <f>C675-0.1*B676+0</f>
        <v/>
      </c>
      <c r="D676">
        <f>D675-0.1*B676+0</f>
        <v/>
      </c>
      <c r="E676">
        <f>Parameters!$B$25</f>
        <v/>
      </c>
    </row>
    <row r="677">
      <c r="A677" t="n">
        <v>67.5</v>
      </c>
      <c r="B677">
        <f>IF(A677&gt;162.1,Parameters!$B$5,Parameters!$B$4)</f>
        <v/>
      </c>
      <c r="C677">
        <f>C676-0.1*B677+0</f>
        <v/>
      </c>
      <c r="D677">
        <f>D676-0.1*B677+0</f>
        <v/>
      </c>
      <c r="E677">
        <f>Parameters!$B$25</f>
        <v/>
      </c>
    </row>
    <row r="678">
      <c r="A678" t="n">
        <v>67.59999999999999</v>
      </c>
      <c r="B678">
        <f>IF(A678&gt;162.1,Parameters!$B$5,Parameters!$B$4)</f>
        <v/>
      </c>
      <c r="C678">
        <f>C677-0.1*B678+0</f>
        <v/>
      </c>
      <c r="D678">
        <f>D677-0.1*B678+0</f>
        <v/>
      </c>
      <c r="E678">
        <f>Parameters!$B$25</f>
        <v/>
      </c>
    </row>
    <row r="679">
      <c r="A679" t="n">
        <v>67.7</v>
      </c>
      <c r="B679">
        <f>IF(A679&gt;162.1,Parameters!$B$5,Parameters!$B$4)</f>
        <v/>
      </c>
      <c r="C679">
        <f>C678-0.1*B679+0</f>
        <v/>
      </c>
      <c r="D679">
        <f>D678-0.1*B679+0</f>
        <v/>
      </c>
      <c r="E679">
        <f>Parameters!$B$25</f>
        <v/>
      </c>
    </row>
    <row r="680">
      <c r="A680" t="n">
        <v>67.8</v>
      </c>
      <c r="B680">
        <f>IF(A680&gt;162.1,Parameters!$B$5,Parameters!$B$4)</f>
        <v/>
      </c>
      <c r="C680">
        <f>C679-0.1*B680+0</f>
        <v/>
      </c>
      <c r="D680">
        <f>D679-0.1*B680+0</f>
        <v/>
      </c>
      <c r="E680">
        <f>Parameters!$B$25</f>
        <v/>
      </c>
    </row>
    <row r="681">
      <c r="A681" t="n">
        <v>67.90000000000001</v>
      </c>
      <c r="B681">
        <f>IF(A681&gt;162.1,Parameters!$B$5,Parameters!$B$4)</f>
        <v/>
      </c>
      <c r="C681">
        <f>C680-0.1*B681+0</f>
        <v/>
      </c>
      <c r="D681">
        <f>D680-0.1*B681+0</f>
        <v/>
      </c>
      <c r="E681">
        <f>Parameters!$B$25</f>
        <v/>
      </c>
    </row>
    <row r="682">
      <c r="A682" t="n">
        <v>68</v>
      </c>
      <c r="B682">
        <f>IF(A682&gt;162.1,Parameters!$B$5,Parameters!$B$4)</f>
        <v/>
      </c>
      <c r="C682">
        <f>C681-0.1*B682+0</f>
        <v/>
      </c>
      <c r="D682">
        <f>D681-0.1*B682+0</f>
        <v/>
      </c>
      <c r="E682">
        <f>Parameters!$B$25</f>
        <v/>
      </c>
    </row>
    <row r="683">
      <c r="A683" t="n">
        <v>68.09999999999999</v>
      </c>
      <c r="B683">
        <f>IF(A683&gt;162.1,Parameters!$B$5,Parameters!$B$4)</f>
        <v/>
      </c>
      <c r="C683">
        <f>C682-0.1*B683+0</f>
        <v/>
      </c>
      <c r="D683">
        <f>D682-0.1*B683+0</f>
        <v/>
      </c>
      <c r="E683">
        <f>Parameters!$B$25</f>
        <v/>
      </c>
    </row>
    <row r="684">
      <c r="A684" t="n">
        <v>68.2</v>
      </c>
      <c r="B684">
        <f>IF(A684&gt;162.1,Parameters!$B$5,Parameters!$B$4)</f>
        <v/>
      </c>
      <c r="C684">
        <f>C683-0.1*B684+0</f>
        <v/>
      </c>
      <c r="D684">
        <f>D683-0.1*B684+0</f>
        <v/>
      </c>
      <c r="E684">
        <f>Parameters!$B$25</f>
        <v/>
      </c>
    </row>
    <row r="685">
      <c r="A685" t="n">
        <v>68.3</v>
      </c>
      <c r="B685">
        <f>IF(A685&gt;162.1,Parameters!$B$5,Parameters!$B$4)</f>
        <v/>
      </c>
      <c r="C685">
        <f>C684-0.1*B685+0</f>
        <v/>
      </c>
      <c r="D685">
        <f>D684-0.1*B685+0</f>
        <v/>
      </c>
      <c r="E685">
        <f>Parameters!$B$25</f>
        <v/>
      </c>
    </row>
    <row r="686">
      <c r="A686" t="n">
        <v>68.40000000000001</v>
      </c>
      <c r="B686">
        <f>IF(A686&gt;162.1,Parameters!$B$5,Parameters!$B$4)</f>
        <v/>
      </c>
      <c r="C686">
        <f>C685-0.1*B686+0</f>
        <v/>
      </c>
      <c r="D686">
        <f>D685-0.1*B686+0</f>
        <v/>
      </c>
      <c r="E686">
        <f>Parameters!$B$25</f>
        <v/>
      </c>
    </row>
    <row r="687">
      <c r="A687" t="n">
        <v>68.5</v>
      </c>
      <c r="B687">
        <f>IF(A687&gt;162.1,Parameters!$B$5,Parameters!$B$4)</f>
        <v/>
      </c>
      <c r="C687">
        <f>C686-0.1*B687+0</f>
        <v/>
      </c>
      <c r="D687">
        <f>D686-0.1*B687+0</f>
        <v/>
      </c>
      <c r="E687">
        <f>Parameters!$B$25</f>
        <v/>
      </c>
    </row>
    <row r="688">
      <c r="A688" t="n">
        <v>68.59999999999999</v>
      </c>
      <c r="B688">
        <f>IF(A688&gt;162.1,Parameters!$B$5,Parameters!$B$4)</f>
        <v/>
      </c>
      <c r="C688">
        <f>C687-0.1*B688+0</f>
        <v/>
      </c>
      <c r="D688">
        <f>D687-0.1*B688+0</f>
        <v/>
      </c>
      <c r="E688">
        <f>Parameters!$B$25</f>
        <v/>
      </c>
    </row>
    <row r="689">
      <c r="A689" t="n">
        <v>68.7</v>
      </c>
      <c r="B689">
        <f>IF(A689&gt;162.1,Parameters!$B$5,Parameters!$B$4)</f>
        <v/>
      </c>
      <c r="C689">
        <f>C688-0.1*B689+0</f>
        <v/>
      </c>
      <c r="D689">
        <f>D688-0.1*B689+0</f>
        <v/>
      </c>
      <c r="E689">
        <f>Parameters!$B$25</f>
        <v/>
      </c>
    </row>
    <row r="690">
      <c r="A690" t="n">
        <v>68.8</v>
      </c>
      <c r="B690">
        <f>IF(A690&gt;162.1,Parameters!$B$5,Parameters!$B$4)</f>
        <v/>
      </c>
      <c r="C690">
        <f>C689-0.1*B690+0</f>
        <v/>
      </c>
      <c r="D690">
        <f>D689-0.1*B690+0</f>
        <v/>
      </c>
      <c r="E690">
        <f>Parameters!$B$25</f>
        <v/>
      </c>
    </row>
    <row r="691">
      <c r="A691" t="n">
        <v>68.90000000000001</v>
      </c>
      <c r="B691">
        <f>IF(A691&gt;162.1,Parameters!$B$5,Parameters!$B$4)</f>
        <v/>
      </c>
      <c r="C691">
        <f>C690-0.1*B691+0</f>
        <v/>
      </c>
      <c r="D691">
        <f>D690-0.1*B691+0</f>
        <v/>
      </c>
      <c r="E691">
        <f>Parameters!$B$25</f>
        <v/>
      </c>
    </row>
    <row r="692">
      <c r="A692" t="n">
        <v>69</v>
      </c>
      <c r="B692">
        <f>IF(A692&gt;162.1,Parameters!$B$5,Parameters!$B$4)</f>
        <v/>
      </c>
      <c r="C692">
        <f>C691-0.1*B692+0</f>
        <v/>
      </c>
      <c r="D692">
        <f>D691-0.1*B692+0</f>
        <v/>
      </c>
      <c r="E692">
        <f>Parameters!$B$25</f>
        <v/>
      </c>
    </row>
    <row r="693">
      <c r="A693" t="n">
        <v>69.09999999999999</v>
      </c>
      <c r="B693">
        <f>IF(A693&gt;162.1,Parameters!$B$5,Parameters!$B$4)</f>
        <v/>
      </c>
      <c r="C693">
        <f>C692-0.1*B693+0</f>
        <v/>
      </c>
      <c r="D693">
        <f>D692-0.1*B693+0</f>
        <v/>
      </c>
      <c r="E693">
        <f>Parameters!$B$25</f>
        <v/>
      </c>
    </row>
    <row r="694">
      <c r="A694" t="n">
        <v>69.2</v>
      </c>
      <c r="B694">
        <f>IF(A694&gt;162.1,Parameters!$B$5,Parameters!$B$4)</f>
        <v/>
      </c>
      <c r="C694">
        <f>C693-0.1*B694+0</f>
        <v/>
      </c>
      <c r="D694">
        <f>D693-0.1*B694+0</f>
        <v/>
      </c>
      <c r="E694">
        <f>Parameters!$B$25</f>
        <v/>
      </c>
    </row>
    <row r="695">
      <c r="A695" t="n">
        <v>69.3</v>
      </c>
      <c r="B695">
        <f>IF(A695&gt;162.1,Parameters!$B$5,Parameters!$B$4)</f>
        <v/>
      </c>
      <c r="C695">
        <f>C694-0.1*B695+0</f>
        <v/>
      </c>
      <c r="D695">
        <f>D694-0.1*B695+0</f>
        <v/>
      </c>
      <c r="E695">
        <f>Parameters!$B$25</f>
        <v/>
      </c>
    </row>
    <row r="696">
      <c r="A696" t="n">
        <v>69.40000000000001</v>
      </c>
      <c r="B696">
        <f>IF(A696&gt;162.1,Parameters!$B$5,Parameters!$B$4)</f>
        <v/>
      </c>
      <c r="C696">
        <f>C695-0.1*B696+0</f>
        <v/>
      </c>
      <c r="D696">
        <f>D695-0.1*B696+0</f>
        <v/>
      </c>
      <c r="E696">
        <f>Parameters!$B$25</f>
        <v/>
      </c>
    </row>
    <row r="697">
      <c r="A697" t="n">
        <v>69.5</v>
      </c>
      <c r="B697">
        <f>IF(A697&gt;162.1,Parameters!$B$5,Parameters!$B$4)</f>
        <v/>
      </c>
      <c r="C697">
        <f>C696-0.1*B697+0</f>
        <v/>
      </c>
      <c r="D697">
        <f>D696-0.1*B697+0</f>
        <v/>
      </c>
      <c r="E697">
        <f>Parameters!$B$25</f>
        <v/>
      </c>
    </row>
    <row r="698">
      <c r="A698" t="n">
        <v>69.59999999999999</v>
      </c>
      <c r="B698">
        <f>IF(A698&gt;162.1,Parameters!$B$5,Parameters!$B$4)</f>
        <v/>
      </c>
      <c r="C698">
        <f>C697-0.1*B698+0</f>
        <v/>
      </c>
      <c r="D698">
        <f>D697-0.1*B698+0</f>
        <v/>
      </c>
      <c r="E698">
        <f>Parameters!$B$25</f>
        <v/>
      </c>
    </row>
    <row r="699">
      <c r="A699" t="n">
        <v>69.7</v>
      </c>
      <c r="B699">
        <f>IF(A699&gt;162.1,Parameters!$B$5,Parameters!$B$4)</f>
        <v/>
      </c>
      <c r="C699">
        <f>C698-0.1*B699+0</f>
        <v/>
      </c>
      <c r="D699">
        <f>D698-0.1*B699+0</f>
        <v/>
      </c>
      <c r="E699">
        <f>Parameters!$B$25</f>
        <v/>
      </c>
    </row>
    <row r="700">
      <c r="A700" t="n">
        <v>69.8</v>
      </c>
      <c r="B700">
        <f>IF(A700&gt;162.1,Parameters!$B$5,Parameters!$B$4)</f>
        <v/>
      </c>
      <c r="C700">
        <f>C699-0.1*B700+0</f>
        <v/>
      </c>
      <c r="D700">
        <f>D699-0.1*B700+0</f>
        <v/>
      </c>
      <c r="E700">
        <f>Parameters!$B$25</f>
        <v/>
      </c>
    </row>
    <row r="701">
      <c r="A701" t="n">
        <v>69.90000000000001</v>
      </c>
      <c r="B701">
        <f>IF(A701&gt;162.1,Parameters!$B$5,Parameters!$B$4)</f>
        <v/>
      </c>
      <c r="C701">
        <f>C700-0.1*B701+0</f>
        <v/>
      </c>
      <c r="D701">
        <f>D700-0.1*B701+0</f>
        <v/>
      </c>
      <c r="E701">
        <f>Parameters!$B$25</f>
        <v/>
      </c>
    </row>
    <row r="702">
      <c r="A702" t="n">
        <v>70</v>
      </c>
      <c r="B702">
        <f>IF(A702&gt;162.1,Parameters!$B$5,Parameters!$B$4)</f>
        <v/>
      </c>
      <c r="C702">
        <f>C701-0.1*B702+0</f>
        <v/>
      </c>
      <c r="D702">
        <f>D701-0.1*B702+0</f>
        <v/>
      </c>
      <c r="E702">
        <f>Parameters!$B$25</f>
        <v/>
      </c>
    </row>
    <row r="703">
      <c r="A703" t="n">
        <v>70.09999999999999</v>
      </c>
      <c r="B703">
        <f>IF(A703&gt;162.1,Parameters!$B$5,Parameters!$B$4)</f>
        <v/>
      </c>
      <c r="C703">
        <f>C702-0.1*B703+0</f>
        <v/>
      </c>
      <c r="D703">
        <f>D702-0.1*B703+0</f>
        <v/>
      </c>
      <c r="E703">
        <f>Parameters!$B$25</f>
        <v/>
      </c>
    </row>
    <row r="704">
      <c r="A704" t="n">
        <v>70.2</v>
      </c>
      <c r="B704">
        <f>IF(A704&gt;162.1,Parameters!$B$5,Parameters!$B$4)</f>
        <v/>
      </c>
      <c r="C704">
        <f>C703-0.1*B704+0</f>
        <v/>
      </c>
      <c r="D704">
        <f>D703-0.1*B704+0</f>
        <v/>
      </c>
      <c r="E704">
        <f>Parameters!$B$25</f>
        <v/>
      </c>
    </row>
    <row r="705">
      <c r="A705" t="n">
        <v>70.3</v>
      </c>
      <c r="B705">
        <f>IF(A705&gt;162.1,Parameters!$B$5,Parameters!$B$4)</f>
        <v/>
      </c>
      <c r="C705">
        <f>C704-0.1*B705+0</f>
        <v/>
      </c>
      <c r="D705">
        <f>D704-0.1*B705+0</f>
        <v/>
      </c>
      <c r="E705">
        <f>Parameters!$B$25</f>
        <v/>
      </c>
    </row>
    <row r="706">
      <c r="A706" t="n">
        <v>70.40000000000001</v>
      </c>
      <c r="B706">
        <f>IF(A706&gt;162.1,Parameters!$B$5,Parameters!$B$4)</f>
        <v/>
      </c>
      <c r="C706">
        <f>C705-0.1*B706+0</f>
        <v/>
      </c>
      <c r="D706">
        <f>D705-0.1*B706+0</f>
        <v/>
      </c>
      <c r="E706">
        <f>Parameters!$B$25</f>
        <v/>
      </c>
    </row>
    <row r="707">
      <c r="A707" t="n">
        <v>70.5</v>
      </c>
      <c r="B707">
        <f>IF(A707&gt;162.1,Parameters!$B$5,Parameters!$B$4)</f>
        <v/>
      </c>
      <c r="C707">
        <f>C706-0.1*B707+0</f>
        <v/>
      </c>
      <c r="D707">
        <f>D706-0.1*B707+0</f>
        <v/>
      </c>
      <c r="E707">
        <f>Parameters!$B$25</f>
        <v/>
      </c>
    </row>
    <row r="708">
      <c r="A708" t="n">
        <v>70.59999999999999</v>
      </c>
      <c r="B708">
        <f>IF(A708&gt;162.1,Parameters!$B$5,Parameters!$B$4)</f>
        <v/>
      </c>
      <c r="C708">
        <f>C707-0.1*B708+0</f>
        <v/>
      </c>
      <c r="D708">
        <f>D707-0.1*B708+0</f>
        <v/>
      </c>
      <c r="E708">
        <f>Parameters!$B$25</f>
        <v/>
      </c>
    </row>
    <row r="709">
      <c r="A709" t="n">
        <v>70.7</v>
      </c>
      <c r="B709">
        <f>IF(A709&gt;162.1,Parameters!$B$5,Parameters!$B$4)</f>
        <v/>
      </c>
      <c r="C709">
        <f>C708-0.1*B709+0</f>
        <v/>
      </c>
      <c r="D709">
        <f>D708-0.1*B709+0</f>
        <v/>
      </c>
      <c r="E709">
        <f>Parameters!$B$25</f>
        <v/>
      </c>
    </row>
    <row r="710">
      <c r="A710" t="n">
        <v>70.8</v>
      </c>
      <c r="B710">
        <f>IF(A710&gt;162.1,Parameters!$B$5,Parameters!$B$4)</f>
        <v/>
      </c>
      <c r="C710">
        <f>C709-0.1*B710+0</f>
        <v/>
      </c>
      <c r="D710">
        <f>D709-0.1*B710+0</f>
        <v/>
      </c>
      <c r="E710">
        <f>Parameters!$B$25</f>
        <v/>
      </c>
    </row>
    <row r="711">
      <c r="A711" t="n">
        <v>70.90000000000001</v>
      </c>
      <c r="B711">
        <f>IF(A711&gt;162.1,Parameters!$B$5,Parameters!$B$4)</f>
        <v/>
      </c>
      <c r="C711">
        <f>C710-0.1*B711+0</f>
        <v/>
      </c>
      <c r="D711">
        <f>D710-0.1*B711+0</f>
        <v/>
      </c>
      <c r="E711">
        <f>Parameters!$B$25</f>
        <v/>
      </c>
    </row>
    <row r="712">
      <c r="A712" t="n">
        <v>71</v>
      </c>
      <c r="B712">
        <f>IF(A712&gt;162.1,Parameters!$B$5,Parameters!$B$4)</f>
        <v/>
      </c>
      <c r="C712">
        <f>C711-0.1*B712+0</f>
        <v/>
      </c>
      <c r="D712">
        <f>D711-0.1*B712+0</f>
        <v/>
      </c>
      <c r="E712">
        <f>Parameters!$B$25</f>
        <v/>
      </c>
    </row>
    <row r="713">
      <c r="A713" t="n">
        <v>71.09999999999999</v>
      </c>
      <c r="B713">
        <f>IF(A713&gt;162.1,Parameters!$B$5,Parameters!$B$4)</f>
        <v/>
      </c>
      <c r="C713">
        <f>C712-0.1*B713+0</f>
        <v/>
      </c>
      <c r="D713">
        <f>D712-0.1*B713+0</f>
        <v/>
      </c>
      <c r="E713">
        <f>Parameters!$B$25</f>
        <v/>
      </c>
    </row>
    <row r="714">
      <c r="A714" t="n">
        <v>71.2</v>
      </c>
      <c r="B714">
        <f>IF(A714&gt;162.1,Parameters!$B$5,Parameters!$B$4)</f>
        <v/>
      </c>
      <c r="C714">
        <f>C713-0.1*B714+0</f>
        <v/>
      </c>
      <c r="D714">
        <f>D713-0.1*B714+0</f>
        <v/>
      </c>
      <c r="E714">
        <f>Parameters!$B$25</f>
        <v/>
      </c>
    </row>
    <row r="715">
      <c r="A715" t="n">
        <v>71.3</v>
      </c>
      <c r="B715">
        <f>IF(A715&gt;162.1,Parameters!$B$5,Parameters!$B$4)</f>
        <v/>
      </c>
      <c r="C715">
        <f>C714-0.1*B715+0</f>
        <v/>
      </c>
      <c r="D715">
        <f>D714-0.1*B715+0</f>
        <v/>
      </c>
      <c r="E715">
        <f>Parameters!$B$25</f>
        <v/>
      </c>
    </row>
    <row r="716">
      <c r="A716" t="n">
        <v>71.40000000000001</v>
      </c>
      <c r="B716">
        <f>IF(A716&gt;162.1,Parameters!$B$5,Parameters!$B$4)</f>
        <v/>
      </c>
      <c r="C716">
        <f>C715-0.1*B716+0</f>
        <v/>
      </c>
      <c r="D716">
        <f>D715-0.1*B716+0</f>
        <v/>
      </c>
      <c r="E716">
        <f>Parameters!$B$25</f>
        <v/>
      </c>
    </row>
    <row r="717">
      <c r="A717" t="n">
        <v>71.5</v>
      </c>
      <c r="B717">
        <f>IF(A717&gt;162.1,Parameters!$B$5,Parameters!$B$4)</f>
        <v/>
      </c>
      <c r="C717">
        <f>C716-0.1*B717+0</f>
        <v/>
      </c>
      <c r="D717">
        <f>D716-0.1*B717+0</f>
        <v/>
      </c>
      <c r="E717">
        <f>Parameters!$B$25</f>
        <v/>
      </c>
    </row>
    <row r="718">
      <c r="A718" t="n">
        <v>71.59999999999999</v>
      </c>
      <c r="B718">
        <f>IF(A718&gt;162.1,Parameters!$B$5,Parameters!$B$4)</f>
        <v/>
      </c>
      <c r="C718">
        <f>C717-0.1*B718+0</f>
        <v/>
      </c>
      <c r="D718">
        <f>D717-0.1*B718+0</f>
        <v/>
      </c>
      <c r="E718">
        <f>Parameters!$B$25</f>
        <v/>
      </c>
    </row>
    <row r="719">
      <c r="A719" t="n">
        <v>71.7</v>
      </c>
      <c r="B719">
        <f>IF(A719&gt;162.1,Parameters!$B$5,Parameters!$B$4)</f>
        <v/>
      </c>
      <c r="C719">
        <f>C718-0.1*B719+0</f>
        <v/>
      </c>
      <c r="D719">
        <f>D718-0.1*B719+0</f>
        <v/>
      </c>
      <c r="E719">
        <f>Parameters!$B$25</f>
        <v/>
      </c>
    </row>
    <row r="720">
      <c r="A720" t="n">
        <v>71.8</v>
      </c>
      <c r="B720">
        <f>IF(A720&gt;162.1,Parameters!$B$5,Parameters!$B$4)</f>
        <v/>
      </c>
      <c r="C720">
        <f>C719-0.1*B720+0</f>
        <v/>
      </c>
      <c r="D720">
        <f>D719-0.1*B720+0</f>
        <v/>
      </c>
      <c r="E720">
        <f>Parameters!$B$25</f>
        <v/>
      </c>
    </row>
    <row r="721">
      <c r="A721" t="n">
        <v>71.90000000000001</v>
      </c>
      <c r="B721">
        <f>IF(A721&gt;162.1,Parameters!$B$5,Parameters!$B$4)</f>
        <v/>
      </c>
      <c r="C721">
        <f>C720-0.1*B721+0</f>
        <v/>
      </c>
      <c r="D721">
        <f>D720-0.1*B721+0</f>
        <v/>
      </c>
      <c r="E721">
        <f>Parameters!$B$25</f>
        <v/>
      </c>
    </row>
    <row r="722">
      <c r="A722" t="n">
        <v>72</v>
      </c>
      <c r="B722">
        <f>IF(A722&gt;162.1,Parameters!$B$5,Parameters!$B$4)</f>
        <v/>
      </c>
      <c r="C722">
        <f>C721-0.1*B722+0</f>
        <v/>
      </c>
      <c r="D722">
        <f>D721-0.1*B722+0</f>
        <v/>
      </c>
      <c r="E722">
        <f>Parameters!$B$25</f>
        <v/>
      </c>
    </row>
    <row r="723">
      <c r="A723" t="n">
        <v>72.09999999999999</v>
      </c>
      <c r="B723">
        <f>IF(A723&gt;162.1,Parameters!$B$5,Parameters!$B$4)</f>
        <v/>
      </c>
      <c r="C723">
        <f>C722-0.1*B723+0</f>
        <v/>
      </c>
      <c r="D723">
        <f>D722-0.1*B723+0</f>
        <v/>
      </c>
      <c r="E723">
        <f>Parameters!$B$25</f>
        <v/>
      </c>
    </row>
    <row r="724">
      <c r="A724" t="n">
        <v>72.2</v>
      </c>
      <c r="B724">
        <f>IF(A724&gt;162.1,Parameters!$B$5,Parameters!$B$4)</f>
        <v/>
      </c>
      <c r="C724">
        <f>C723-0.1*B724+0</f>
        <v/>
      </c>
      <c r="D724">
        <f>D723-0.1*B724+0</f>
        <v/>
      </c>
      <c r="E724">
        <f>Parameters!$B$25</f>
        <v/>
      </c>
    </row>
    <row r="725">
      <c r="A725" t="n">
        <v>72.3</v>
      </c>
      <c r="B725">
        <f>IF(A725&gt;162.1,Parameters!$B$5,Parameters!$B$4)</f>
        <v/>
      </c>
      <c r="C725">
        <f>C724-0.1*B725+0</f>
        <v/>
      </c>
      <c r="D725">
        <f>D724-0.1*B725+0</f>
        <v/>
      </c>
      <c r="E725">
        <f>Parameters!$B$25</f>
        <v/>
      </c>
    </row>
    <row r="726">
      <c r="A726" t="n">
        <v>72.40000000000001</v>
      </c>
      <c r="B726">
        <f>IF(A726&gt;162.1,Parameters!$B$5,Parameters!$B$4)</f>
        <v/>
      </c>
      <c r="C726">
        <f>C725-0.1*B726+0</f>
        <v/>
      </c>
      <c r="D726">
        <f>D725-0.1*B726+0</f>
        <v/>
      </c>
      <c r="E726">
        <f>Parameters!$B$25</f>
        <v/>
      </c>
    </row>
    <row r="727">
      <c r="A727" t="n">
        <v>72.5</v>
      </c>
      <c r="B727">
        <f>IF(A727&gt;162.1,Parameters!$B$5,Parameters!$B$4)</f>
        <v/>
      </c>
      <c r="C727">
        <f>C726-0.1*B727+0</f>
        <v/>
      </c>
      <c r="D727">
        <f>D726-0.1*B727+0</f>
        <v/>
      </c>
      <c r="E727">
        <f>Parameters!$B$25</f>
        <v/>
      </c>
    </row>
    <row r="728">
      <c r="A728" t="n">
        <v>72.59999999999999</v>
      </c>
      <c r="B728">
        <f>IF(A728&gt;162.1,Parameters!$B$5,Parameters!$B$4)</f>
        <v/>
      </c>
      <c r="C728">
        <f>C727-0.1*B728+0</f>
        <v/>
      </c>
      <c r="D728">
        <f>D727-0.1*B728+0</f>
        <v/>
      </c>
      <c r="E728">
        <f>Parameters!$B$25</f>
        <v/>
      </c>
    </row>
    <row r="729">
      <c r="A729" t="n">
        <v>72.7</v>
      </c>
      <c r="B729">
        <f>IF(A729&gt;162.1,Parameters!$B$5,Parameters!$B$4)</f>
        <v/>
      </c>
      <c r="C729">
        <f>C728-0.1*B729+0</f>
        <v/>
      </c>
      <c r="D729">
        <f>D728-0.1*B729+0</f>
        <v/>
      </c>
      <c r="E729">
        <f>Parameters!$B$25</f>
        <v/>
      </c>
    </row>
    <row r="730">
      <c r="A730" t="n">
        <v>72.8</v>
      </c>
      <c r="B730">
        <f>IF(A730&gt;162.1,Parameters!$B$5,Parameters!$B$4)</f>
        <v/>
      </c>
      <c r="C730">
        <f>C729-0.1*B730+0</f>
        <v/>
      </c>
      <c r="D730">
        <f>D729-0.1*B730+0</f>
        <v/>
      </c>
      <c r="E730">
        <f>Parameters!$B$25</f>
        <v/>
      </c>
    </row>
    <row r="731">
      <c r="A731" t="n">
        <v>72.90000000000001</v>
      </c>
      <c r="B731">
        <f>IF(A731&gt;162.1,Parameters!$B$5,Parameters!$B$4)</f>
        <v/>
      </c>
      <c r="C731">
        <f>C730-0.1*B731+0</f>
        <v/>
      </c>
      <c r="D731">
        <f>D730-0.1*B731+0</f>
        <v/>
      </c>
      <c r="E731">
        <f>Parameters!$B$25</f>
        <v/>
      </c>
    </row>
    <row r="732">
      <c r="A732" t="n">
        <v>73</v>
      </c>
      <c r="B732">
        <f>IF(A732&gt;162.1,Parameters!$B$5,Parameters!$B$4)</f>
        <v/>
      </c>
      <c r="C732">
        <f>C731-0.1*B732+0</f>
        <v/>
      </c>
      <c r="D732">
        <f>D731-0.1*B732+0</f>
        <v/>
      </c>
      <c r="E732">
        <f>Parameters!$B$25</f>
        <v/>
      </c>
    </row>
    <row r="733">
      <c r="A733" t="n">
        <v>73.09999999999999</v>
      </c>
      <c r="B733">
        <f>IF(A733&gt;162.1,Parameters!$B$5,Parameters!$B$4)</f>
        <v/>
      </c>
      <c r="C733">
        <f>C732-0.1*B733+0</f>
        <v/>
      </c>
      <c r="D733">
        <f>D732-0.1*B733+0</f>
        <v/>
      </c>
      <c r="E733">
        <f>Parameters!$B$25</f>
        <v/>
      </c>
    </row>
    <row r="734">
      <c r="A734" t="n">
        <v>73.2</v>
      </c>
      <c r="B734">
        <f>IF(A734&gt;162.1,Parameters!$B$5,Parameters!$B$4)</f>
        <v/>
      </c>
      <c r="C734">
        <f>C733-0.1*B734+0</f>
        <v/>
      </c>
      <c r="D734">
        <f>D733-0.1*B734+0</f>
        <v/>
      </c>
      <c r="E734">
        <f>Parameters!$B$25</f>
        <v/>
      </c>
    </row>
    <row r="735">
      <c r="A735" t="n">
        <v>73.3</v>
      </c>
      <c r="B735">
        <f>IF(A735&gt;162.1,Parameters!$B$5,Parameters!$B$4)</f>
        <v/>
      </c>
      <c r="C735">
        <f>C734-0.1*B735+0</f>
        <v/>
      </c>
      <c r="D735">
        <f>D734-0.1*B735+0</f>
        <v/>
      </c>
      <c r="E735">
        <f>Parameters!$B$25</f>
        <v/>
      </c>
    </row>
    <row r="736">
      <c r="A736" t="n">
        <v>73.40000000000001</v>
      </c>
      <c r="B736">
        <f>IF(A736&gt;162.1,Parameters!$B$5,Parameters!$B$4)</f>
        <v/>
      </c>
      <c r="C736">
        <f>C735-0.1*B736+0</f>
        <v/>
      </c>
      <c r="D736">
        <f>D735-0.1*B736+0</f>
        <v/>
      </c>
      <c r="E736">
        <f>Parameters!$B$25</f>
        <v/>
      </c>
    </row>
    <row r="737">
      <c r="A737" t="n">
        <v>73.5</v>
      </c>
      <c r="B737">
        <f>IF(A737&gt;162.1,Parameters!$B$5,Parameters!$B$4)</f>
        <v/>
      </c>
      <c r="C737">
        <f>C736-0.1*B737+0</f>
        <v/>
      </c>
      <c r="D737">
        <f>D736-0.1*B737+0</f>
        <v/>
      </c>
      <c r="E737">
        <f>Parameters!$B$25</f>
        <v/>
      </c>
    </row>
    <row r="738">
      <c r="A738" t="n">
        <v>73.59999999999999</v>
      </c>
      <c r="B738">
        <f>IF(A738&gt;162.1,Parameters!$B$5,Parameters!$B$4)</f>
        <v/>
      </c>
      <c r="C738">
        <f>C737-0.1*B738+0</f>
        <v/>
      </c>
      <c r="D738">
        <f>D737-0.1*B738+0</f>
        <v/>
      </c>
      <c r="E738">
        <f>Parameters!$B$25</f>
        <v/>
      </c>
    </row>
    <row r="739">
      <c r="A739" t="n">
        <v>73.7</v>
      </c>
      <c r="B739">
        <f>IF(A739&gt;162.1,Parameters!$B$5,Parameters!$B$4)</f>
        <v/>
      </c>
      <c r="C739">
        <f>C738-0.1*B739+0</f>
        <v/>
      </c>
      <c r="D739">
        <f>D738-0.1*B739+0</f>
        <v/>
      </c>
      <c r="E739">
        <f>Parameters!$B$25</f>
        <v/>
      </c>
    </row>
    <row r="740">
      <c r="A740" t="n">
        <v>73.8</v>
      </c>
      <c r="B740">
        <f>IF(A740&gt;162.1,Parameters!$B$5,Parameters!$B$4)</f>
        <v/>
      </c>
      <c r="C740">
        <f>C739-0.1*B740+0</f>
        <v/>
      </c>
      <c r="D740">
        <f>D739-0.1*B740+0</f>
        <v/>
      </c>
      <c r="E740">
        <f>Parameters!$B$25</f>
        <v/>
      </c>
    </row>
    <row r="741">
      <c r="A741" t="n">
        <v>73.90000000000001</v>
      </c>
      <c r="B741">
        <f>IF(A741&gt;162.1,Parameters!$B$5,Parameters!$B$4)</f>
        <v/>
      </c>
      <c r="C741">
        <f>C740-0.1*B741+0</f>
        <v/>
      </c>
      <c r="D741">
        <f>D740-0.1*B741+0</f>
        <v/>
      </c>
      <c r="E741">
        <f>Parameters!$B$25</f>
        <v/>
      </c>
    </row>
    <row r="742">
      <c r="A742" t="n">
        <v>74</v>
      </c>
      <c r="B742">
        <f>IF(A742&gt;162.1,Parameters!$B$5,Parameters!$B$4)</f>
        <v/>
      </c>
      <c r="C742">
        <f>C741-0.1*B742+0</f>
        <v/>
      </c>
      <c r="D742">
        <f>D741-0.1*B742+0</f>
        <v/>
      </c>
      <c r="E742">
        <f>Parameters!$B$25</f>
        <v/>
      </c>
    </row>
    <row r="743">
      <c r="A743" t="n">
        <v>74.09999999999999</v>
      </c>
      <c r="B743">
        <f>IF(A743&gt;162.1,Parameters!$B$5,Parameters!$B$4)</f>
        <v/>
      </c>
      <c r="C743">
        <f>C742-0.1*B743+0</f>
        <v/>
      </c>
      <c r="D743">
        <f>D742-0.1*B743+0</f>
        <v/>
      </c>
      <c r="E743">
        <f>Parameters!$B$25</f>
        <v/>
      </c>
    </row>
    <row r="744">
      <c r="A744" t="n">
        <v>74.2</v>
      </c>
      <c r="B744">
        <f>IF(A744&gt;162.1,Parameters!$B$5,Parameters!$B$4)</f>
        <v/>
      </c>
      <c r="C744">
        <f>C743-0.1*B744+0</f>
        <v/>
      </c>
      <c r="D744">
        <f>D743-0.1*B744+0</f>
        <v/>
      </c>
      <c r="E744">
        <f>Parameters!$B$25</f>
        <v/>
      </c>
    </row>
    <row r="745">
      <c r="A745" t="n">
        <v>74.3</v>
      </c>
      <c r="B745">
        <f>IF(A745&gt;162.1,Parameters!$B$5,Parameters!$B$4)</f>
        <v/>
      </c>
      <c r="C745">
        <f>C744-0.1*B745+0</f>
        <v/>
      </c>
      <c r="D745">
        <f>D744-0.1*B745+0</f>
        <v/>
      </c>
      <c r="E745">
        <f>Parameters!$B$25</f>
        <v/>
      </c>
    </row>
    <row r="746">
      <c r="A746" t="n">
        <v>74.40000000000001</v>
      </c>
      <c r="B746">
        <f>IF(A746&gt;162.1,Parameters!$B$5,Parameters!$B$4)</f>
        <v/>
      </c>
      <c r="C746">
        <f>C745-0.1*B746+0</f>
        <v/>
      </c>
      <c r="D746">
        <f>D745-0.1*B746+0</f>
        <v/>
      </c>
      <c r="E746">
        <f>Parameters!$B$25</f>
        <v/>
      </c>
    </row>
    <row r="747">
      <c r="A747" t="n">
        <v>74.5</v>
      </c>
      <c r="B747">
        <f>IF(A747&gt;162.1,Parameters!$B$5,Parameters!$B$4)</f>
        <v/>
      </c>
      <c r="C747">
        <f>C746-0.1*B747+0</f>
        <v/>
      </c>
      <c r="D747">
        <f>D746-0.1*B747+0</f>
        <v/>
      </c>
      <c r="E747">
        <f>Parameters!$B$25</f>
        <v/>
      </c>
    </row>
    <row r="748">
      <c r="A748" t="n">
        <v>74.59999999999999</v>
      </c>
      <c r="B748">
        <f>IF(A748&gt;162.1,Parameters!$B$5,Parameters!$B$4)</f>
        <v/>
      </c>
      <c r="C748">
        <f>C747-0.1*B748+0</f>
        <v/>
      </c>
      <c r="D748">
        <f>D747-0.1*B748+0</f>
        <v/>
      </c>
      <c r="E748">
        <f>Parameters!$B$25</f>
        <v/>
      </c>
    </row>
    <row r="749">
      <c r="A749" t="n">
        <v>74.7</v>
      </c>
      <c r="B749">
        <f>IF(A749&gt;162.1,Parameters!$B$5,Parameters!$B$4)</f>
        <v/>
      </c>
      <c r="C749">
        <f>C748-0.1*B749+0</f>
        <v/>
      </c>
      <c r="D749">
        <f>D748-0.1*B749+0</f>
        <v/>
      </c>
      <c r="E749">
        <f>Parameters!$B$25</f>
        <v/>
      </c>
    </row>
    <row r="750">
      <c r="A750" t="n">
        <v>74.8</v>
      </c>
      <c r="B750">
        <f>IF(A750&gt;162.1,Parameters!$B$5,Parameters!$B$4)</f>
        <v/>
      </c>
      <c r="C750">
        <f>C749-0.1*B750+0</f>
        <v/>
      </c>
      <c r="D750">
        <f>D749-0.1*B750+0</f>
        <v/>
      </c>
      <c r="E750">
        <f>Parameters!$B$25</f>
        <v/>
      </c>
    </row>
    <row r="751">
      <c r="A751" t="n">
        <v>74.90000000000001</v>
      </c>
      <c r="B751">
        <f>IF(A751&gt;162.1,Parameters!$B$5,Parameters!$B$4)</f>
        <v/>
      </c>
      <c r="C751">
        <f>C750-0.1*B751+0</f>
        <v/>
      </c>
      <c r="D751">
        <f>D750-0.1*B751+0</f>
        <v/>
      </c>
      <c r="E751">
        <f>Parameters!$B$25</f>
        <v/>
      </c>
    </row>
    <row r="752">
      <c r="A752" t="n">
        <v>75</v>
      </c>
      <c r="B752">
        <f>IF(A752&gt;162.1,Parameters!$B$5,Parameters!$B$4)</f>
        <v/>
      </c>
      <c r="C752">
        <f>C751-0.1*B752+0</f>
        <v/>
      </c>
      <c r="D752">
        <f>D751-0.1*B752+0</f>
        <v/>
      </c>
      <c r="E752">
        <f>Parameters!$B$25</f>
        <v/>
      </c>
    </row>
    <row r="753">
      <c r="A753" t="n">
        <v>75.09999999999999</v>
      </c>
      <c r="B753">
        <f>IF(A753&gt;162.1,Parameters!$B$5,Parameters!$B$4)</f>
        <v/>
      </c>
      <c r="C753">
        <f>C752-0.1*B753+0</f>
        <v/>
      </c>
      <c r="D753">
        <f>D752-0.1*B753+0</f>
        <v/>
      </c>
      <c r="E753">
        <f>Parameters!$B$25</f>
        <v/>
      </c>
    </row>
    <row r="754">
      <c r="A754" t="n">
        <v>75.2</v>
      </c>
      <c r="B754">
        <f>IF(A754&gt;162.1,Parameters!$B$5,Parameters!$B$4)</f>
        <v/>
      </c>
      <c r="C754">
        <f>C753-0.1*B754+0</f>
        <v/>
      </c>
      <c r="D754">
        <f>D753-0.1*B754+0</f>
        <v/>
      </c>
      <c r="E754">
        <f>Parameters!$B$25</f>
        <v/>
      </c>
    </row>
    <row r="755">
      <c r="A755" t="n">
        <v>75.3</v>
      </c>
      <c r="B755">
        <f>IF(A755&gt;162.1,Parameters!$B$5,Parameters!$B$4)</f>
        <v/>
      </c>
      <c r="C755">
        <f>C754-0.1*B755+0</f>
        <v/>
      </c>
      <c r="D755">
        <f>D754-0.1*B755+0</f>
        <v/>
      </c>
      <c r="E755">
        <f>Parameters!$B$25</f>
        <v/>
      </c>
    </row>
    <row r="756">
      <c r="A756" t="n">
        <v>75.40000000000001</v>
      </c>
      <c r="B756">
        <f>IF(A756&gt;162.1,Parameters!$B$5,Parameters!$B$4)</f>
        <v/>
      </c>
      <c r="C756">
        <f>C755-0.1*B756+0</f>
        <v/>
      </c>
      <c r="D756">
        <f>D755-0.1*B756+0</f>
        <v/>
      </c>
      <c r="E756">
        <f>Parameters!$B$25</f>
        <v/>
      </c>
    </row>
    <row r="757">
      <c r="A757" t="n">
        <v>75.5</v>
      </c>
      <c r="B757">
        <f>IF(A757&gt;162.1,Parameters!$B$5,Parameters!$B$4)</f>
        <v/>
      </c>
      <c r="C757">
        <f>C756-0.1*B757+0</f>
        <v/>
      </c>
      <c r="D757">
        <f>D756-0.1*B757+0</f>
        <v/>
      </c>
      <c r="E757">
        <f>Parameters!$B$25</f>
        <v/>
      </c>
    </row>
    <row r="758">
      <c r="A758" t="n">
        <v>75.59999999999999</v>
      </c>
      <c r="B758">
        <f>IF(A758&gt;162.1,Parameters!$B$5,Parameters!$B$4)</f>
        <v/>
      </c>
      <c r="C758">
        <f>C757-0.1*B758+0</f>
        <v/>
      </c>
      <c r="D758">
        <f>D757-0.1*B758+0</f>
        <v/>
      </c>
      <c r="E758">
        <f>Parameters!$B$25</f>
        <v/>
      </c>
    </row>
    <row r="759">
      <c r="A759" t="n">
        <v>75.7</v>
      </c>
      <c r="B759">
        <f>IF(A759&gt;162.1,Parameters!$B$5,Parameters!$B$4)</f>
        <v/>
      </c>
      <c r="C759">
        <f>C758-0.1*B759+0</f>
        <v/>
      </c>
      <c r="D759">
        <f>D758-0.1*B759+0</f>
        <v/>
      </c>
      <c r="E759">
        <f>Parameters!$B$25</f>
        <v/>
      </c>
    </row>
    <row r="760">
      <c r="A760" t="n">
        <v>75.8</v>
      </c>
      <c r="B760">
        <f>IF(A760&gt;162.1,Parameters!$B$5,Parameters!$B$4)</f>
        <v/>
      </c>
      <c r="C760">
        <f>C759-0.1*B760+0</f>
        <v/>
      </c>
      <c r="D760">
        <f>D759-0.1*B760+0</f>
        <v/>
      </c>
      <c r="E760">
        <f>Parameters!$B$25</f>
        <v/>
      </c>
    </row>
    <row r="761">
      <c r="A761" t="n">
        <v>75.90000000000001</v>
      </c>
      <c r="B761">
        <f>IF(A761&gt;162.1,Parameters!$B$5,Parameters!$B$4)</f>
        <v/>
      </c>
      <c r="C761">
        <f>C760-0.1*B761+0</f>
        <v/>
      </c>
      <c r="D761">
        <f>D760-0.1*B761+0</f>
        <v/>
      </c>
      <c r="E761">
        <f>Parameters!$B$25</f>
        <v/>
      </c>
    </row>
    <row r="762">
      <c r="A762" t="n">
        <v>76</v>
      </c>
      <c r="B762">
        <f>IF(A762&gt;162.1,Parameters!$B$5,Parameters!$B$4)</f>
        <v/>
      </c>
      <c r="C762">
        <f>C761-0.1*B762+0</f>
        <v/>
      </c>
      <c r="D762">
        <f>D761-0.1*B762+0</f>
        <v/>
      </c>
      <c r="E762">
        <f>Parameters!$B$25</f>
        <v/>
      </c>
    </row>
    <row r="763">
      <c r="A763" t="n">
        <v>76.09999999999999</v>
      </c>
      <c r="B763">
        <f>IF(A763&gt;162.1,Parameters!$B$5,Parameters!$B$4)</f>
        <v/>
      </c>
      <c r="C763">
        <f>C762-0.1*B763+0</f>
        <v/>
      </c>
      <c r="D763">
        <f>D762-0.1*B763+0</f>
        <v/>
      </c>
      <c r="E763">
        <f>Parameters!$B$25</f>
        <v/>
      </c>
    </row>
    <row r="764">
      <c r="A764" t="n">
        <v>76.2</v>
      </c>
      <c r="B764">
        <f>IF(A764&gt;162.1,Parameters!$B$5,Parameters!$B$4)</f>
        <v/>
      </c>
      <c r="C764">
        <f>C763-0.1*B764+0</f>
        <v/>
      </c>
      <c r="D764">
        <f>D763-0.1*B764+0</f>
        <v/>
      </c>
      <c r="E764">
        <f>Parameters!$B$25</f>
        <v/>
      </c>
    </row>
    <row r="765">
      <c r="A765" t="n">
        <v>76.3</v>
      </c>
      <c r="B765">
        <f>IF(A765&gt;162.1,Parameters!$B$5,Parameters!$B$4)</f>
        <v/>
      </c>
      <c r="C765">
        <f>C764-0.1*B765+0</f>
        <v/>
      </c>
      <c r="D765">
        <f>D764-0.1*B765+0</f>
        <v/>
      </c>
      <c r="E765">
        <f>Parameters!$B$25</f>
        <v/>
      </c>
    </row>
    <row r="766">
      <c r="A766" t="n">
        <v>76.40000000000001</v>
      </c>
      <c r="B766">
        <f>IF(A766&gt;162.1,Parameters!$B$5,Parameters!$B$4)</f>
        <v/>
      </c>
      <c r="C766">
        <f>C765-0.1*B766+0</f>
        <v/>
      </c>
      <c r="D766">
        <f>D765-0.1*B766+0</f>
        <v/>
      </c>
      <c r="E766">
        <f>Parameters!$B$25</f>
        <v/>
      </c>
    </row>
    <row r="767">
      <c r="A767" t="n">
        <v>76.5</v>
      </c>
      <c r="B767">
        <f>IF(A767&gt;162.1,Parameters!$B$5,Parameters!$B$4)</f>
        <v/>
      </c>
      <c r="C767">
        <f>C766-0.1*B767+0</f>
        <v/>
      </c>
      <c r="D767">
        <f>D766-0.1*B767+0</f>
        <v/>
      </c>
      <c r="E767">
        <f>Parameters!$B$25</f>
        <v/>
      </c>
    </row>
    <row r="768">
      <c r="A768" t="n">
        <v>76.59999999999999</v>
      </c>
      <c r="B768">
        <f>IF(A768&gt;162.1,Parameters!$B$5,Parameters!$B$4)</f>
        <v/>
      </c>
      <c r="C768">
        <f>C767-0.1*B768+0</f>
        <v/>
      </c>
      <c r="D768">
        <f>D767-0.1*B768+0</f>
        <v/>
      </c>
      <c r="E768">
        <f>Parameters!$B$25</f>
        <v/>
      </c>
    </row>
    <row r="769">
      <c r="A769" t="n">
        <v>76.7</v>
      </c>
      <c r="B769">
        <f>IF(A769&gt;162.1,Parameters!$B$5,Parameters!$B$4)</f>
        <v/>
      </c>
      <c r="C769">
        <f>C768-0.1*B769+0</f>
        <v/>
      </c>
      <c r="D769">
        <f>D768-0.1*B769+0</f>
        <v/>
      </c>
      <c r="E769">
        <f>Parameters!$B$25</f>
        <v/>
      </c>
    </row>
    <row r="770">
      <c r="A770" t="n">
        <v>76.8</v>
      </c>
      <c r="B770">
        <f>IF(A770&gt;162.1,Parameters!$B$5,Parameters!$B$4)</f>
        <v/>
      </c>
      <c r="C770">
        <f>C769-0.1*B770+0</f>
        <v/>
      </c>
      <c r="D770">
        <f>D769-0.1*B770+0</f>
        <v/>
      </c>
      <c r="E770">
        <f>Parameters!$B$25</f>
        <v/>
      </c>
    </row>
    <row r="771">
      <c r="A771" t="n">
        <v>76.90000000000001</v>
      </c>
      <c r="B771">
        <f>IF(A771&gt;162.1,Parameters!$B$5,Parameters!$B$4)</f>
        <v/>
      </c>
      <c r="C771">
        <f>C770-0.1*B771+0</f>
        <v/>
      </c>
      <c r="D771">
        <f>D770-0.1*B771+0</f>
        <v/>
      </c>
      <c r="E771">
        <f>Parameters!$B$25</f>
        <v/>
      </c>
    </row>
    <row r="772">
      <c r="A772" t="n">
        <v>77</v>
      </c>
      <c r="B772">
        <f>IF(A772&gt;162.1,Parameters!$B$5,Parameters!$B$4)</f>
        <v/>
      </c>
      <c r="C772">
        <f>C771-0.1*B772+0</f>
        <v/>
      </c>
      <c r="D772">
        <f>D771-0.1*B772+0</f>
        <v/>
      </c>
      <c r="E772">
        <f>Parameters!$B$25</f>
        <v/>
      </c>
    </row>
    <row r="773">
      <c r="A773" t="n">
        <v>77.09999999999999</v>
      </c>
      <c r="B773">
        <f>IF(A773&gt;162.1,Parameters!$B$5,Parameters!$B$4)</f>
        <v/>
      </c>
      <c r="C773">
        <f>C772-0.1*B773+0</f>
        <v/>
      </c>
      <c r="D773">
        <f>D772-0.1*B773+0</f>
        <v/>
      </c>
      <c r="E773">
        <f>Parameters!$B$25</f>
        <v/>
      </c>
    </row>
    <row r="774">
      <c r="A774" t="n">
        <v>77.2</v>
      </c>
      <c r="B774">
        <f>IF(A774&gt;162.1,Parameters!$B$5,Parameters!$B$4)</f>
        <v/>
      </c>
      <c r="C774">
        <f>C773-0.1*B774+0</f>
        <v/>
      </c>
      <c r="D774">
        <f>D773-0.1*B774+0</f>
        <v/>
      </c>
      <c r="E774">
        <f>Parameters!$B$25</f>
        <v/>
      </c>
    </row>
    <row r="775">
      <c r="A775" t="n">
        <v>77.3</v>
      </c>
      <c r="B775">
        <f>IF(A775&gt;162.1,Parameters!$B$5,Parameters!$B$4)</f>
        <v/>
      </c>
      <c r="C775">
        <f>C774-0.1*B775+0</f>
        <v/>
      </c>
      <c r="D775">
        <f>D774-0.1*B775+0</f>
        <v/>
      </c>
      <c r="E775">
        <f>Parameters!$B$25</f>
        <v/>
      </c>
    </row>
    <row r="776">
      <c r="A776" t="n">
        <v>77.40000000000001</v>
      </c>
      <c r="B776">
        <f>IF(A776&gt;162.1,Parameters!$B$5,Parameters!$B$4)</f>
        <v/>
      </c>
      <c r="C776">
        <f>C775-0.1*B776+0</f>
        <v/>
      </c>
      <c r="D776">
        <f>D775-0.1*B776+0</f>
        <v/>
      </c>
      <c r="E776">
        <f>Parameters!$B$25</f>
        <v/>
      </c>
    </row>
    <row r="777">
      <c r="A777" t="n">
        <v>77.5</v>
      </c>
      <c r="B777">
        <f>IF(A777&gt;162.1,Parameters!$B$5,Parameters!$B$4)</f>
        <v/>
      </c>
      <c r="C777">
        <f>C776-0.1*B777+0</f>
        <v/>
      </c>
      <c r="D777">
        <f>D776-0.1*B777+0</f>
        <v/>
      </c>
      <c r="E777">
        <f>Parameters!$B$25</f>
        <v/>
      </c>
    </row>
    <row r="778">
      <c r="A778" t="n">
        <v>77.59999999999999</v>
      </c>
      <c r="B778">
        <f>IF(A778&gt;162.1,Parameters!$B$5,Parameters!$B$4)</f>
        <v/>
      </c>
      <c r="C778">
        <f>C777-0.1*B778+0</f>
        <v/>
      </c>
      <c r="D778">
        <f>D777-0.1*B778+0</f>
        <v/>
      </c>
      <c r="E778">
        <f>Parameters!$B$25</f>
        <v/>
      </c>
    </row>
    <row r="779">
      <c r="A779" t="n">
        <v>77.7</v>
      </c>
      <c r="B779">
        <f>IF(A779&gt;162.1,Parameters!$B$5,Parameters!$B$4)</f>
        <v/>
      </c>
      <c r="C779">
        <f>C778-0.1*B779+0</f>
        <v/>
      </c>
      <c r="D779">
        <f>D778-0.1*B779+0</f>
        <v/>
      </c>
      <c r="E779">
        <f>Parameters!$B$25</f>
        <v/>
      </c>
    </row>
    <row r="780">
      <c r="A780" t="n">
        <v>77.8</v>
      </c>
      <c r="B780">
        <f>IF(A780&gt;162.1,Parameters!$B$5,Parameters!$B$4)</f>
        <v/>
      </c>
      <c r="C780">
        <f>C779-0.1*B780+0</f>
        <v/>
      </c>
      <c r="D780">
        <f>D779-0.1*B780+0</f>
        <v/>
      </c>
      <c r="E780">
        <f>Parameters!$B$25</f>
        <v/>
      </c>
    </row>
    <row r="781">
      <c r="A781" t="n">
        <v>77.90000000000001</v>
      </c>
      <c r="B781">
        <f>IF(A781&gt;162.1,Parameters!$B$5,Parameters!$B$4)</f>
        <v/>
      </c>
      <c r="C781">
        <f>C780-0.1*B781+0</f>
        <v/>
      </c>
      <c r="D781">
        <f>D780-0.1*B781+0</f>
        <v/>
      </c>
      <c r="E781">
        <f>Parameters!$B$25</f>
        <v/>
      </c>
    </row>
    <row r="782">
      <c r="A782" t="n">
        <v>78</v>
      </c>
      <c r="B782">
        <f>IF(A782&gt;162.1,Parameters!$B$5,Parameters!$B$4)</f>
        <v/>
      </c>
      <c r="C782">
        <f>C781-0.1*B782+0</f>
        <v/>
      </c>
      <c r="D782">
        <f>D781-0.1*B782+0</f>
        <v/>
      </c>
      <c r="E782">
        <f>Parameters!$B$25</f>
        <v/>
      </c>
    </row>
    <row r="783">
      <c r="A783" t="n">
        <v>78.09999999999999</v>
      </c>
      <c r="B783">
        <f>IF(A783&gt;162.1,Parameters!$B$5,Parameters!$B$4)</f>
        <v/>
      </c>
      <c r="C783">
        <f>C782-0.1*B783+0</f>
        <v/>
      </c>
      <c r="D783">
        <f>D782-0.1*B783+0</f>
        <v/>
      </c>
      <c r="E783">
        <f>Parameters!$B$25</f>
        <v/>
      </c>
    </row>
    <row r="784">
      <c r="A784" t="n">
        <v>78.2</v>
      </c>
      <c r="B784">
        <f>IF(A784&gt;162.1,Parameters!$B$5,Parameters!$B$4)</f>
        <v/>
      </c>
      <c r="C784">
        <f>C783-0.1*B784+0</f>
        <v/>
      </c>
      <c r="D784">
        <f>D783-0.1*B784+0</f>
        <v/>
      </c>
      <c r="E784">
        <f>Parameters!$B$25</f>
        <v/>
      </c>
    </row>
    <row r="785">
      <c r="A785" t="n">
        <v>78.3</v>
      </c>
      <c r="B785">
        <f>IF(A785&gt;162.1,Parameters!$B$5,Parameters!$B$4)</f>
        <v/>
      </c>
      <c r="C785">
        <f>C784-0.1*B785+0</f>
        <v/>
      </c>
      <c r="D785">
        <f>D784-0.1*B785+0</f>
        <v/>
      </c>
      <c r="E785">
        <f>Parameters!$B$25</f>
        <v/>
      </c>
    </row>
    <row r="786">
      <c r="A786" t="n">
        <v>78.40000000000001</v>
      </c>
      <c r="B786">
        <f>IF(A786&gt;162.1,Parameters!$B$5,Parameters!$B$4)</f>
        <v/>
      </c>
      <c r="C786">
        <f>C785-0.1*B786+0</f>
        <v/>
      </c>
      <c r="D786">
        <f>D785-0.1*B786+0</f>
        <v/>
      </c>
      <c r="E786">
        <f>Parameters!$B$25</f>
        <v/>
      </c>
    </row>
    <row r="787">
      <c r="A787" t="n">
        <v>78.5</v>
      </c>
      <c r="B787">
        <f>IF(A787&gt;162.1,Parameters!$B$5,Parameters!$B$4)</f>
        <v/>
      </c>
      <c r="C787">
        <f>C786-0.1*B787+0</f>
        <v/>
      </c>
      <c r="D787">
        <f>D786-0.1*B787+0</f>
        <v/>
      </c>
      <c r="E787">
        <f>Parameters!$B$25</f>
        <v/>
      </c>
    </row>
    <row r="788">
      <c r="A788" t="n">
        <v>78.59999999999999</v>
      </c>
      <c r="B788">
        <f>IF(A788&gt;162.1,Parameters!$B$5,Parameters!$B$4)</f>
        <v/>
      </c>
      <c r="C788">
        <f>C787-0.1*B788+0</f>
        <v/>
      </c>
      <c r="D788">
        <f>D787-0.1*B788+0</f>
        <v/>
      </c>
      <c r="E788">
        <f>Parameters!$B$25</f>
        <v/>
      </c>
    </row>
    <row r="789">
      <c r="A789" t="n">
        <v>78.7</v>
      </c>
      <c r="B789">
        <f>IF(A789&gt;162.1,Parameters!$B$5,Parameters!$B$4)</f>
        <v/>
      </c>
      <c r="C789">
        <f>C788-0.1*B789+0</f>
        <v/>
      </c>
      <c r="D789">
        <f>D788-0.1*B789+0</f>
        <v/>
      </c>
      <c r="E789">
        <f>Parameters!$B$25</f>
        <v/>
      </c>
    </row>
    <row r="790">
      <c r="A790" t="n">
        <v>78.8</v>
      </c>
      <c r="B790">
        <f>IF(A790&gt;162.1,Parameters!$B$5,Parameters!$B$4)</f>
        <v/>
      </c>
      <c r="C790">
        <f>C789-0.1*B790+0</f>
        <v/>
      </c>
      <c r="D790">
        <f>D789-0.1*B790+0</f>
        <v/>
      </c>
      <c r="E790">
        <f>Parameters!$B$25</f>
        <v/>
      </c>
    </row>
    <row r="791">
      <c r="A791" t="n">
        <v>78.90000000000001</v>
      </c>
      <c r="B791">
        <f>IF(A791&gt;162.1,Parameters!$B$5,Parameters!$B$4)</f>
        <v/>
      </c>
      <c r="C791">
        <f>C790-0.1*B791+0</f>
        <v/>
      </c>
      <c r="D791">
        <f>D790-0.1*B791+0</f>
        <v/>
      </c>
      <c r="E791">
        <f>Parameters!$B$25</f>
        <v/>
      </c>
    </row>
    <row r="792">
      <c r="A792" t="n">
        <v>79</v>
      </c>
      <c r="B792">
        <f>IF(A792&gt;162.1,Parameters!$B$5,Parameters!$B$4)</f>
        <v/>
      </c>
      <c r="C792">
        <f>C791-0.1*B792+0</f>
        <v/>
      </c>
      <c r="D792">
        <f>D791-0.1*B792+0</f>
        <v/>
      </c>
      <c r="E792">
        <f>Parameters!$B$25</f>
        <v/>
      </c>
    </row>
    <row r="793">
      <c r="A793" t="n">
        <v>79.09999999999999</v>
      </c>
      <c r="B793">
        <f>IF(A793&gt;162.1,Parameters!$B$5,Parameters!$B$4)</f>
        <v/>
      </c>
      <c r="C793">
        <f>C792-0.1*B793+0</f>
        <v/>
      </c>
      <c r="D793">
        <f>D792-0.1*B793+0</f>
        <v/>
      </c>
      <c r="E793">
        <f>Parameters!$B$25</f>
        <v/>
      </c>
    </row>
    <row r="794">
      <c r="A794" t="n">
        <v>79.2</v>
      </c>
      <c r="B794">
        <f>IF(A794&gt;162.1,Parameters!$B$5,Parameters!$B$4)</f>
        <v/>
      </c>
      <c r="C794">
        <f>C793-0.1*B794+0</f>
        <v/>
      </c>
      <c r="D794">
        <f>D793-0.1*B794+0</f>
        <v/>
      </c>
      <c r="E794">
        <f>Parameters!$B$25</f>
        <v/>
      </c>
    </row>
    <row r="795">
      <c r="A795" t="n">
        <v>79.3</v>
      </c>
      <c r="B795">
        <f>IF(A795&gt;162.1,Parameters!$B$5,Parameters!$B$4)</f>
        <v/>
      </c>
      <c r="C795">
        <f>C794-0.1*B795+0</f>
        <v/>
      </c>
      <c r="D795">
        <f>D794-0.1*B795+0</f>
        <v/>
      </c>
      <c r="E795">
        <f>Parameters!$B$25</f>
        <v/>
      </c>
    </row>
    <row r="796">
      <c r="A796" t="n">
        <v>79.40000000000001</v>
      </c>
      <c r="B796">
        <f>IF(A796&gt;162.1,Parameters!$B$5,Parameters!$B$4)</f>
        <v/>
      </c>
      <c r="C796">
        <f>C795-0.1*B796+0</f>
        <v/>
      </c>
      <c r="D796">
        <f>D795-0.1*B796+0</f>
        <v/>
      </c>
      <c r="E796">
        <f>Parameters!$B$25</f>
        <v/>
      </c>
    </row>
    <row r="797">
      <c r="A797" t="n">
        <v>79.5</v>
      </c>
      <c r="B797">
        <f>IF(A797&gt;162.1,Parameters!$B$5,Parameters!$B$4)</f>
        <v/>
      </c>
      <c r="C797">
        <f>C796-0.1*B797+0</f>
        <v/>
      </c>
      <c r="D797">
        <f>D796-0.1*B797+0</f>
        <v/>
      </c>
      <c r="E797">
        <f>Parameters!$B$25</f>
        <v/>
      </c>
    </row>
    <row r="798">
      <c r="A798" t="n">
        <v>79.59999999999999</v>
      </c>
      <c r="B798">
        <f>IF(A798&gt;162.1,Parameters!$B$5,Parameters!$B$4)</f>
        <v/>
      </c>
      <c r="C798">
        <f>C797-0.1*B798+0</f>
        <v/>
      </c>
      <c r="D798">
        <f>D797-0.1*B798+0</f>
        <v/>
      </c>
      <c r="E798">
        <f>Parameters!$B$25</f>
        <v/>
      </c>
    </row>
    <row r="799">
      <c r="A799" t="n">
        <v>79.7</v>
      </c>
      <c r="B799">
        <f>IF(A799&gt;162.1,Parameters!$B$5,Parameters!$B$4)</f>
        <v/>
      </c>
      <c r="C799">
        <f>C798-0.1*B799+0</f>
        <v/>
      </c>
      <c r="D799">
        <f>D798-0.1*B799+0</f>
        <v/>
      </c>
      <c r="E799">
        <f>Parameters!$B$25</f>
        <v/>
      </c>
    </row>
    <row r="800">
      <c r="A800" t="n">
        <v>79.8</v>
      </c>
      <c r="B800">
        <f>IF(A800&gt;162.1,Parameters!$B$5,Parameters!$B$4)</f>
        <v/>
      </c>
      <c r="C800">
        <f>C799-0.1*B800+0</f>
        <v/>
      </c>
      <c r="D800">
        <f>D799-0.1*B800+0</f>
        <v/>
      </c>
      <c r="E800">
        <f>Parameters!$B$25</f>
        <v/>
      </c>
    </row>
    <row r="801">
      <c r="A801" t="n">
        <v>79.90000000000001</v>
      </c>
      <c r="B801">
        <f>IF(A801&gt;162.1,Parameters!$B$5,Parameters!$B$4)</f>
        <v/>
      </c>
      <c r="C801">
        <f>C800-0.1*B801+0</f>
        <v/>
      </c>
      <c r="D801">
        <f>D800-0.1*B801+0</f>
        <v/>
      </c>
      <c r="E801">
        <f>Parameters!$B$25</f>
        <v/>
      </c>
    </row>
    <row r="802">
      <c r="A802" t="n">
        <v>80</v>
      </c>
      <c r="B802">
        <f>IF(A802&gt;162.1,Parameters!$B$5,Parameters!$B$4)</f>
        <v/>
      </c>
      <c r="C802">
        <f>C801-0.1*B802+0</f>
        <v/>
      </c>
      <c r="D802">
        <f>D801-0.1*B802+0</f>
        <v/>
      </c>
      <c r="E802">
        <f>Parameters!$B$25</f>
        <v/>
      </c>
    </row>
    <row r="803">
      <c r="A803" t="n">
        <v>80.09999999999999</v>
      </c>
      <c r="B803">
        <f>IF(A803&gt;162.1,Parameters!$B$5,Parameters!$B$4)</f>
        <v/>
      </c>
      <c r="C803">
        <f>C802-0.1*B803+0</f>
        <v/>
      </c>
      <c r="D803">
        <f>D802-0.1*B803+0</f>
        <v/>
      </c>
      <c r="E803">
        <f>Parameters!$B$25</f>
        <v/>
      </c>
    </row>
    <row r="804">
      <c r="A804" t="n">
        <v>80.2</v>
      </c>
      <c r="B804">
        <f>IF(A804&gt;162.1,Parameters!$B$5,Parameters!$B$4)</f>
        <v/>
      </c>
      <c r="C804">
        <f>C803-0.1*B804+0</f>
        <v/>
      </c>
      <c r="D804">
        <f>D803-0.1*B804+0</f>
        <v/>
      </c>
      <c r="E804">
        <f>Parameters!$B$25</f>
        <v/>
      </c>
    </row>
    <row r="805">
      <c r="A805" t="n">
        <v>80.3</v>
      </c>
      <c r="B805">
        <f>IF(A805&gt;162.1,Parameters!$B$5,Parameters!$B$4)</f>
        <v/>
      </c>
      <c r="C805">
        <f>C804-0.1*B805+0</f>
        <v/>
      </c>
      <c r="D805">
        <f>D804-0.1*B805+0</f>
        <v/>
      </c>
      <c r="E805">
        <f>Parameters!$B$25</f>
        <v/>
      </c>
    </row>
    <row r="806">
      <c r="A806" t="n">
        <v>80.40000000000001</v>
      </c>
      <c r="B806">
        <f>IF(A806&gt;162.1,Parameters!$B$5,Parameters!$B$4)</f>
        <v/>
      </c>
      <c r="C806">
        <f>C805-0.1*B806+0</f>
        <v/>
      </c>
      <c r="D806">
        <f>D805-0.1*B806+0</f>
        <v/>
      </c>
      <c r="E806">
        <f>Parameters!$B$25</f>
        <v/>
      </c>
    </row>
    <row r="807">
      <c r="A807" t="n">
        <v>80.5</v>
      </c>
      <c r="B807">
        <f>IF(A807&gt;162.1,Parameters!$B$5,Parameters!$B$4)</f>
        <v/>
      </c>
      <c r="C807">
        <f>C806-0.1*B807+0</f>
        <v/>
      </c>
      <c r="D807">
        <f>D806-0.1*B807+0</f>
        <v/>
      </c>
      <c r="E807">
        <f>Parameters!$B$25</f>
        <v/>
      </c>
    </row>
    <row r="808">
      <c r="A808" t="n">
        <v>80.59999999999999</v>
      </c>
      <c r="B808">
        <f>IF(A808&gt;162.1,Parameters!$B$5,Parameters!$B$4)</f>
        <v/>
      </c>
      <c r="C808">
        <f>C807-0.1*B808+0</f>
        <v/>
      </c>
      <c r="D808">
        <f>D807-0.1*B808+0</f>
        <v/>
      </c>
      <c r="E808">
        <f>Parameters!$B$25</f>
        <v/>
      </c>
    </row>
    <row r="809">
      <c r="A809" t="n">
        <v>80.7</v>
      </c>
      <c r="B809">
        <f>IF(A809&gt;162.1,Parameters!$B$5,Parameters!$B$4)</f>
        <v/>
      </c>
      <c r="C809">
        <f>C808-0.1*B809+0</f>
        <v/>
      </c>
      <c r="D809">
        <f>D808-0.1*B809+0</f>
        <v/>
      </c>
      <c r="E809">
        <f>Parameters!$B$25</f>
        <v/>
      </c>
    </row>
    <row r="810">
      <c r="A810" t="n">
        <v>80.8</v>
      </c>
      <c r="B810">
        <f>IF(A810&gt;162.1,Parameters!$B$5,Parameters!$B$4)</f>
        <v/>
      </c>
      <c r="C810">
        <f>C809-0.1*B810+0</f>
        <v/>
      </c>
      <c r="D810">
        <f>D809-0.1*B810+0</f>
        <v/>
      </c>
      <c r="E810">
        <f>Parameters!$B$25</f>
        <v/>
      </c>
    </row>
    <row r="811">
      <c r="A811" t="n">
        <v>80.90000000000001</v>
      </c>
      <c r="B811">
        <f>IF(A811&gt;162.1,Parameters!$B$5,Parameters!$B$4)</f>
        <v/>
      </c>
      <c r="C811">
        <f>C810-0.1*B811+0</f>
        <v/>
      </c>
      <c r="D811">
        <f>D810-0.1*B811+0</f>
        <v/>
      </c>
      <c r="E811">
        <f>Parameters!$B$25</f>
        <v/>
      </c>
    </row>
    <row r="812">
      <c r="A812" t="n">
        <v>81</v>
      </c>
      <c r="B812">
        <f>IF(A812&gt;162.1,Parameters!$B$5,Parameters!$B$4)</f>
        <v/>
      </c>
      <c r="C812">
        <f>C811-0.1*B812+0</f>
        <v/>
      </c>
      <c r="D812">
        <f>D811-0.1*B812+0</f>
        <v/>
      </c>
      <c r="E812">
        <f>Parameters!$B$25</f>
        <v/>
      </c>
    </row>
    <row r="813">
      <c r="A813" t="n">
        <v>81.09999999999999</v>
      </c>
      <c r="B813">
        <f>IF(A813&gt;162.1,Parameters!$B$5,Parameters!$B$4)</f>
        <v/>
      </c>
      <c r="C813">
        <f>C812-0.1*B813+0</f>
        <v/>
      </c>
      <c r="D813">
        <f>D812-0.1*B813+0</f>
        <v/>
      </c>
      <c r="E813">
        <f>Parameters!$B$25</f>
        <v/>
      </c>
    </row>
    <row r="814">
      <c r="A814" t="n">
        <v>81.2</v>
      </c>
      <c r="B814">
        <f>IF(A814&gt;162.1,Parameters!$B$5,Parameters!$B$4)</f>
        <v/>
      </c>
      <c r="C814">
        <f>C813-0.1*B814+0</f>
        <v/>
      </c>
      <c r="D814">
        <f>D813-0.1*B814+0</f>
        <v/>
      </c>
      <c r="E814">
        <f>Parameters!$B$25</f>
        <v/>
      </c>
    </row>
    <row r="815">
      <c r="A815" t="n">
        <v>81.3</v>
      </c>
      <c r="B815">
        <f>IF(A815&gt;162.1,Parameters!$B$5,Parameters!$B$4)</f>
        <v/>
      </c>
      <c r="C815">
        <f>C814-0.1*B815+0</f>
        <v/>
      </c>
      <c r="D815">
        <f>D814-0.1*B815+0</f>
        <v/>
      </c>
      <c r="E815">
        <f>Parameters!$B$25</f>
        <v/>
      </c>
    </row>
    <row r="816">
      <c r="A816" t="n">
        <v>81.40000000000001</v>
      </c>
      <c r="B816">
        <f>IF(A816&gt;162.1,Parameters!$B$5,Parameters!$B$4)</f>
        <v/>
      </c>
      <c r="C816">
        <f>C815-0.1*B816+0</f>
        <v/>
      </c>
      <c r="D816">
        <f>D815-0.1*B816+0</f>
        <v/>
      </c>
      <c r="E816">
        <f>Parameters!$B$25</f>
        <v/>
      </c>
    </row>
    <row r="817">
      <c r="A817" t="n">
        <v>81.5</v>
      </c>
      <c r="B817">
        <f>IF(A817&gt;162.1,Parameters!$B$5,Parameters!$B$4)</f>
        <v/>
      </c>
      <c r="C817">
        <f>C816-0.1*B817+0</f>
        <v/>
      </c>
      <c r="D817">
        <f>D816-0.1*B817+0</f>
        <v/>
      </c>
      <c r="E817">
        <f>Parameters!$B$25</f>
        <v/>
      </c>
    </row>
    <row r="818">
      <c r="A818" t="n">
        <v>81.59999999999999</v>
      </c>
      <c r="B818">
        <f>IF(A818&gt;162.1,Parameters!$B$5,Parameters!$B$4)</f>
        <v/>
      </c>
      <c r="C818">
        <f>C817-0.1*B818+0</f>
        <v/>
      </c>
      <c r="D818">
        <f>D817-0.1*B818+0</f>
        <v/>
      </c>
      <c r="E818">
        <f>Parameters!$B$25</f>
        <v/>
      </c>
    </row>
    <row r="819">
      <c r="A819" t="n">
        <v>81.7</v>
      </c>
      <c r="B819">
        <f>IF(A819&gt;162.1,Parameters!$B$5,Parameters!$B$4)</f>
        <v/>
      </c>
      <c r="C819">
        <f>C818-0.1*B819+0</f>
        <v/>
      </c>
      <c r="D819">
        <f>D818-0.1*B819+0</f>
        <v/>
      </c>
      <c r="E819">
        <f>Parameters!$B$25</f>
        <v/>
      </c>
    </row>
    <row r="820">
      <c r="A820" t="n">
        <v>81.8</v>
      </c>
      <c r="B820">
        <f>IF(A820&gt;162.1,Parameters!$B$5,Parameters!$B$4)</f>
        <v/>
      </c>
      <c r="C820">
        <f>C819-0.1*B820+0</f>
        <v/>
      </c>
      <c r="D820">
        <f>D819-0.1*B820+0</f>
        <v/>
      </c>
      <c r="E820">
        <f>Parameters!$B$25</f>
        <v/>
      </c>
    </row>
    <row r="821">
      <c r="A821" t="n">
        <v>81.90000000000001</v>
      </c>
      <c r="B821">
        <f>IF(A821&gt;162.1,Parameters!$B$5,Parameters!$B$4)</f>
        <v/>
      </c>
      <c r="C821">
        <f>C820-0.1*B821+0</f>
        <v/>
      </c>
      <c r="D821">
        <f>D820-0.1*B821+0</f>
        <v/>
      </c>
      <c r="E821">
        <f>Parameters!$B$25</f>
        <v/>
      </c>
    </row>
    <row r="822">
      <c r="A822" t="n">
        <v>82</v>
      </c>
      <c r="B822">
        <f>IF(A822&gt;162.1,Parameters!$B$5,Parameters!$B$4)</f>
        <v/>
      </c>
      <c r="C822">
        <f>C821-0.1*B822+0</f>
        <v/>
      </c>
      <c r="D822">
        <f>D821-0.1*B822+0</f>
        <v/>
      </c>
      <c r="E822">
        <f>Parameters!$B$25</f>
        <v/>
      </c>
    </row>
    <row r="823">
      <c r="A823" t="n">
        <v>82.09999999999999</v>
      </c>
      <c r="B823">
        <f>IF(A823&gt;162.1,Parameters!$B$5,Parameters!$B$4)</f>
        <v/>
      </c>
      <c r="C823">
        <f>C822-0.1*B823+0</f>
        <v/>
      </c>
      <c r="D823">
        <f>D822-0.1*B823+0</f>
        <v/>
      </c>
      <c r="E823">
        <f>Parameters!$B$25</f>
        <v/>
      </c>
    </row>
    <row r="824">
      <c r="A824" t="n">
        <v>82.2</v>
      </c>
      <c r="B824">
        <f>IF(A824&gt;162.1,Parameters!$B$5,Parameters!$B$4)</f>
        <v/>
      </c>
      <c r="C824">
        <f>C823-0.1*B824+0</f>
        <v/>
      </c>
      <c r="D824">
        <f>D823-0.1*B824+0</f>
        <v/>
      </c>
      <c r="E824">
        <f>Parameters!$B$25</f>
        <v/>
      </c>
    </row>
    <row r="825">
      <c r="A825" t="n">
        <v>82.3</v>
      </c>
      <c r="B825">
        <f>IF(A825&gt;162.1,Parameters!$B$5,Parameters!$B$4)</f>
        <v/>
      </c>
      <c r="C825">
        <f>C824-0.1*B825+0</f>
        <v/>
      </c>
      <c r="D825">
        <f>D824-0.1*B825+0</f>
        <v/>
      </c>
      <c r="E825">
        <f>Parameters!$B$25</f>
        <v/>
      </c>
    </row>
    <row r="826">
      <c r="A826" t="n">
        <v>82.40000000000001</v>
      </c>
      <c r="B826">
        <f>IF(A826&gt;162.1,Parameters!$B$5,Parameters!$B$4)</f>
        <v/>
      </c>
      <c r="C826">
        <f>C825-0.1*B826+0</f>
        <v/>
      </c>
      <c r="D826">
        <f>D825-0.1*B826+0</f>
        <v/>
      </c>
      <c r="E826">
        <f>Parameters!$B$25</f>
        <v/>
      </c>
    </row>
    <row r="827">
      <c r="A827" t="n">
        <v>82.5</v>
      </c>
      <c r="B827">
        <f>IF(A827&gt;162.1,Parameters!$B$5,Parameters!$B$4)</f>
        <v/>
      </c>
      <c r="C827">
        <f>C826-0.1*B827+0</f>
        <v/>
      </c>
      <c r="D827">
        <f>D826-0.1*B827+0</f>
        <v/>
      </c>
      <c r="E827">
        <f>Parameters!$B$25</f>
        <v/>
      </c>
    </row>
    <row r="828">
      <c r="A828" t="n">
        <v>82.59999999999999</v>
      </c>
      <c r="B828">
        <f>IF(A828&gt;162.1,Parameters!$B$5,Parameters!$B$4)</f>
        <v/>
      </c>
      <c r="C828">
        <f>C827-0.1*B828+0</f>
        <v/>
      </c>
      <c r="D828">
        <f>D827-0.1*B828+0</f>
        <v/>
      </c>
      <c r="E828">
        <f>Parameters!$B$25</f>
        <v/>
      </c>
    </row>
    <row r="829">
      <c r="A829" t="n">
        <v>82.7</v>
      </c>
      <c r="B829">
        <f>IF(A829&gt;162.1,Parameters!$B$5,Parameters!$B$4)</f>
        <v/>
      </c>
      <c r="C829">
        <f>C828-0.1*B829+0</f>
        <v/>
      </c>
      <c r="D829">
        <f>D828-0.1*B829+0</f>
        <v/>
      </c>
      <c r="E829">
        <f>Parameters!$B$25</f>
        <v/>
      </c>
    </row>
    <row r="830">
      <c r="A830" t="n">
        <v>82.8</v>
      </c>
      <c r="B830">
        <f>IF(A830&gt;162.1,Parameters!$B$5,Parameters!$B$4)</f>
        <v/>
      </c>
      <c r="C830">
        <f>C829-0.1*B830+0</f>
        <v/>
      </c>
      <c r="D830">
        <f>D829-0.1*B830+0</f>
        <v/>
      </c>
      <c r="E830">
        <f>Parameters!$B$25</f>
        <v/>
      </c>
    </row>
    <row r="831">
      <c r="A831" t="n">
        <v>82.90000000000001</v>
      </c>
      <c r="B831">
        <f>IF(A831&gt;162.1,Parameters!$B$5,Parameters!$B$4)</f>
        <v/>
      </c>
      <c r="C831">
        <f>C830-0.1*B831+0</f>
        <v/>
      </c>
      <c r="D831">
        <f>D830-0.1*B831+0</f>
        <v/>
      </c>
      <c r="E831">
        <f>Parameters!$B$25</f>
        <v/>
      </c>
    </row>
    <row r="832">
      <c r="A832" t="n">
        <v>83</v>
      </c>
      <c r="B832">
        <f>IF(A832&gt;162.1,Parameters!$B$5,Parameters!$B$4)</f>
        <v/>
      </c>
      <c r="C832">
        <f>C831-0.1*B832+0</f>
        <v/>
      </c>
      <c r="D832">
        <f>D831-0.1*B832+0</f>
        <v/>
      </c>
      <c r="E832">
        <f>Parameters!$B$25</f>
        <v/>
      </c>
    </row>
    <row r="833">
      <c r="A833" t="n">
        <v>83.09999999999999</v>
      </c>
      <c r="B833">
        <f>IF(A833&gt;162.1,Parameters!$B$5,Parameters!$B$4)</f>
        <v/>
      </c>
      <c r="C833">
        <f>C832-0.1*B833+0</f>
        <v/>
      </c>
      <c r="D833">
        <f>D832-0.1*B833+0</f>
        <v/>
      </c>
      <c r="E833">
        <f>Parameters!$B$25</f>
        <v/>
      </c>
    </row>
    <row r="834">
      <c r="A834" t="n">
        <v>83.2</v>
      </c>
      <c r="B834">
        <f>IF(A834&gt;162.1,Parameters!$B$5,Parameters!$B$4)</f>
        <v/>
      </c>
      <c r="C834">
        <f>C833-0.1*B834+0</f>
        <v/>
      </c>
      <c r="D834">
        <f>D833-0.1*B834+0</f>
        <v/>
      </c>
      <c r="E834">
        <f>Parameters!$B$25</f>
        <v/>
      </c>
    </row>
    <row r="835">
      <c r="A835" t="n">
        <v>83.3</v>
      </c>
      <c r="B835">
        <f>IF(A835&gt;162.1,Parameters!$B$5,Parameters!$B$4)</f>
        <v/>
      </c>
      <c r="C835">
        <f>C834-0.1*B835+0</f>
        <v/>
      </c>
      <c r="D835">
        <f>D834-0.1*B835+0</f>
        <v/>
      </c>
      <c r="E835">
        <f>Parameters!$B$25</f>
        <v/>
      </c>
    </row>
    <row r="836">
      <c r="A836" t="n">
        <v>83.40000000000001</v>
      </c>
      <c r="B836">
        <f>IF(A836&gt;162.1,Parameters!$B$5,Parameters!$B$4)</f>
        <v/>
      </c>
      <c r="C836">
        <f>C835-0.1*B836+0</f>
        <v/>
      </c>
      <c r="D836">
        <f>D835-0.1*B836+0</f>
        <v/>
      </c>
      <c r="E836">
        <f>Parameters!$B$25</f>
        <v/>
      </c>
    </row>
    <row r="837">
      <c r="A837" t="n">
        <v>83.5</v>
      </c>
      <c r="B837">
        <f>IF(A837&gt;162.1,Parameters!$B$5,Parameters!$B$4)</f>
        <v/>
      </c>
      <c r="C837">
        <f>C836-0.1*B837+0</f>
        <v/>
      </c>
      <c r="D837">
        <f>D836-0.1*B837+0</f>
        <v/>
      </c>
      <c r="E837">
        <f>Parameters!$B$25</f>
        <v/>
      </c>
    </row>
    <row r="838">
      <c r="A838" t="n">
        <v>83.59999999999999</v>
      </c>
      <c r="B838">
        <f>IF(A838&gt;162.1,Parameters!$B$5,Parameters!$B$4)</f>
        <v/>
      </c>
      <c r="C838">
        <f>C837-0.1*B838+0</f>
        <v/>
      </c>
      <c r="D838">
        <f>D837-0.1*B838+0</f>
        <v/>
      </c>
      <c r="E838">
        <f>Parameters!$B$25</f>
        <v/>
      </c>
    </row>
    <row r="839">
      <c r="A839" t="n">
        <v>83.7</v>
      </c>
      <c r="B839">
        <f>IF(A839&gt;162.1,Parameters!$B$5,Parameters!$B$4)</f>
        <v/>
      </c>
      <c r="C839">
        <f>C838-0.1*B839+0</f>
        <v/>
      </c>
      <c r="D839">
        <f>D838-0.1*B839+0</f>
        <v/>
      </c>
      <c r="E839">
        <f>Parameters!$B$25</f>
        <v/>
      </c>
    </row>
    <row r="840">
      <c r="A840" t="n">
        <v>83.8</v>
      </c>
      <c r="B840">
        <f>IF(A840&gt;162.1,Parameters!$B$5,Parameters!$B$4)</f>
        <v/>
      </c>
      <c r="C840">
        <f>C839-0.1*B840+0</f>
        <v/>
      </c>
      <c r="D840">
        <f>D839-0.1*B840+0</f>
        <v/>
      </c>
      <c r="E840">
        <f>Parameters!$B$25</f>
        <v/>
      </c>
    </row>
    <row r="841">
      <c r="A841" t="n">
        <v>83.90000000000001</v>
      </c>
      <c r="B841">
        <f>IF(A841&gt;162.1,Parameters!$B$5,Parameters!$B$4)</f>
        <v/>
      </c>
      <c r="C841">
        <f>C840-0.1*B841+0</f>
        <v/>
      </c>
      <c r="D841">
        <f>D840-0.1*B841+0</f>
        <v/>
      </c>
      <c r="E841">
        <f>Parameters!$B$25</f>
        <v/>
      </c>
    </row>
    <row r="842">
      <c r="A842" t="n">
        <v>84</v>
      </c>
      <c r="B842">
        <f>IF(A842&gt;162.1,Parameters!$B$5,Parameters!$B$4)</f>
        <v/>
      </c>
      <c r="C842">
        <f>C841-0.1*B842+0</f>
        <v/>
      </c>
      <c r="D842">
        <f>D841-0.1*B842+0</f>
        <v/>
      </c>
      <c r="E842">
        <f>Parameters!$B$25</f>
        <v/>
      </c>
    </row>
    <row r="843">
      <c r="A843" t="n">
        <v>84.09999999999999</v>
      </c>
      <c r="B843">
        <f>IF(A843&gt;162.1,Parameters!$B$5,Parameters!$B$4)</f>
        <v/>
      </c>
      <c r="C843">
        <f>C842-0.1*B843+0</f>
        <v/>
      </c>
      <c r="D843">
        <f>D842-0.1*B843+0</f>
        <v/>
      </c>
      <c r="E843">
        <f>Parameters!$B$25</f>
        <v/>
      </c>
    </row>
    <row r="844">
      <c r="A844" t="n">
        <v>84.2</v>
      </c>
      <c r="B844">
        <f>IF(A844&gt;162.1,Parameters!$B$5,Parameters!$B$4)</f>
        <v/>
      </c>
      <c r="C844">
        <f>C843-0.1*B844+0</f>
        <v/>
      </c>
      <c r="D844">
        <f>D843-0.1*B844+0</f>
        <v/>
      </c>
      <c r="E844">
        <f>Parameters!$B$25</f>
        <v/>
      </c>
    </row>
    <row r="845">
      <c r="A845" t="n">
        <v>84.3</v>
      </c>
      <c r="B845">
        <f>IF(A845&gt;162.1,Parameters!$B$5,Parameters!$B$4)</f>
        <v/>
      </c>
      <c r="C845">
        <f>C844-0.1*B845+0</f>
        <v/>
      </c>
      <c r="D845">
        <f>D844-0.1*B845+0</f>
        <v/>
      </c>
      <c r="E845">
        <f>Parameters!$B$25</f>
        <v/>
      </c>
    </row>
    <row r="846">
      <c r="A846" t="n">
        <v>84.40000000000001</v>
      </c>
      <c r="B846">
        <f>IF(A846&gt;162.1,Parameters!$B$5,Parameters!$B$4)</f>
        <v/>
      </c>
      <c r="C846">
        <f>C845-0.1*B846+0</f>
        <v/>
      </c>
      <c r="D846">
        <f>D845-0.1*B846+0</f>
        <v/>
      </c>
      <c r="E846">
        <f>Parameters!$B$25</f>
        <v/>
      </c>
    </row>
    <row r="847">
      <c r="A847" t="n">
        <v>84.5</v>
      </c>
      <c r="B847">
        <f>IF(A847&gt;162.1,Parameters!$B$5,Parameters!$B$4)</f>
        <v/>
      </c>
      <c r="C847">
        <f>C846-0.1*B847+0</f>
        <v/>
      </c>
      <c r="D847">
        <f>D846-0.1*B847+0</f>
        <v/>
      </c>
      <c r="E847">
        <f>Parameters!$B$25</f>
        <v/>
      </c>
    </row>
    <row r="848">
      <c r="A848" t="n">
        <v>84.59999999999999</v>
      </c>
      <c r="B848">
        <f>IF(A848&gt;162.1,Parameters!$B$5,Parameters!$B$4)</f>
        <v/>
      </c>
      <c r="C848">
        <f>C847-0.1*B848+0</f>
        <v/>
      </c>
      <c r="D848">
        <f>D847-0.1*B848+0</f>
        <v/>
      </c>
      <c r="E848">
        <f>Parameters!$B$25</f>
        <v/>
      </c>
    </row>
    <row r="849">
      <c r="A849" t="n">
        <v>84.7</v>
      </c>
      <c r="B849">
        <f>IF(A849&gt;162.1,Parameters!$B$5,Parameters!$B$4)</f>
        <v/>
      </c>
      <c r="C849">
        <f>C848-0.1*B849+0</f>
        <v/>
      </c>
      <c r="D849">
        <f>D848-0.1*B849+0</f>
        <v/>
      </c>
      <c r="E849">
        <f>Parameters!$B$25</f>
        <v/>
      </c>
    </row>
    <row r="850">
      <c r="A850" t="n">
        <v>84.8</v>
      </c>
      <c r="B850">
        <f>IF(A850&gt;162.1,Parameters!$B$5,Parameters!$B$4)</f>
        <v/>
      </c>
      <c r="C850">
        <f>C849-0.1*B850+0</f>
        <v/>
      </c>
      <c r="D850">
        <f>D849-0.1*B850+0</f>
        <v/>
      </c>
      <c r="E850">
        <f>Parameters!$B$25</f>
        <v/>
      </c>
    </row>
    <row r="851">
      <c r="A851" t="n">
        <v>84.90000000000001</v>
      </c>
      <c r="B851">
        <f>IF(A851&gt;162.1,Parameters!$B$5,Parameters!$B$4)</f>
        <v/>
      </c>
      <c r="C851">
        <f>C850-0.1*B851+0</f>
        <v/>
      </c>
      <c r="D851">
        <f>D850-0.1*B851+0</f>
        <v/>
      </c>
      <c r="E851">
        <f>Parameters!$B$25</f>
        <v/>
      </c>
    </row>
    <row r="852">
      <c r="A852" t="n">
        <v>85</v>
      </c>
      <c r="B852">
        <f>IF(A852&gt;162.1,Parameters!$B$5,Parameters!$B$4)</f>
        <v/>
      </c>
      <c r="C852">
        <f>C851-0.1*B852+0</f>
        <v/>
      </c>
      <c r="D852">
        <f>D851-0.1*B852+0</f>
        <v/>
      </c>
      <c r="E852">
        <f>Parameters!$B$25</f>
        <v/>
      </c>
    </row>
    <row r="853">
      <c r="A853" t="n">
        <v>85.09999999999999</v>
      </c>
      <c r="B853">
        <f>IF(A853&gt;162.1,Parameters!$B$5,Parameters!$B$4)</f>
        <v/>
      </c>
      <c r="C853">
        <f>C852-0.1*B853+0</f>
        <v/>
      </c>
      <c r="D853">
        <f>D852-0.1*B853+0</f>
        <v/>
      </c>
      <c r="E853">
        <f>Parameters!$B$25</f>
        <v/>
      </c>
    </row>
    <row r="854">
      <c r="A854" t="n">
        <v>85.2</v>
      </c>
      <c r="B854">
        <f>IF(A854&gt;162.1,Parameters!$B$5,Parameters!$B$4)</f>
        <v/>
      </c>
      <c r="C854">
        <f>C853-0.1*B854+0</f>
        <v/>
      </c>
      <c r="D854">
        <f>D853-0.1*B854+0</f>
        <v/>
      </c>
      <c r="E854">
        <f>Parameters!$B$25</f>
        <v/>
      </c>
    </row>
    <row r="855">
      <c r="A855" t="n">
        <v>85.3</v>
      </c>
      <c r="B855">
        <f>IF(A855&gt;162.1,Parameters!$B$5,Parameters!$B$4)</f>
        <v/>
      </c>
      <c r="C855">
        <f>C854-0.1*B855+0</f>
        <v/>
      </c>
      <c r="D855">
        <f>D854-0.1*B855+0</f>
        <v/>
      </c>
      <c r="E855">
        <f>Parameters!$B$25</f>
        <v/>
      </c>
    </row>
    <row r="856">
      <c r="A856" t="n">
        <v>85.40000000000001</v>
      </c>
      <c r="B856">
        <f>IF(A856&gt;162.1,Parameters!$B$5,Parameters!$B$4)</f>
        <v/>
      </c>
      <c r="C856">
        <f>C855-0.1*B856+0</f>
        <v/>
      </c>
      <c r="D856">
        <f>D855-0.1*B856+0</f>
        <v/>
      </c>
      <c r="E856">
        <f>Parameters!$B$25</f>
        <v/>
      </c>
    </row>
    <row r="857">
      <c r="A857" t="n">
        <v>85.5</v>
      </c>
      <c r="B857">
        <f>IF(A857&gt;162.1,Parameters!$B$5,Parameters!$B$4)</f>
        <v/>
      </c>
      <c r="C857">
        <f>C856-0.1*B857+0</f>
        <v/>
      </c>
      <c r="D857">
        <f>D856-0.1*B857+0</f>
        <v/>
      </c>
      <c r="E857">
        <f>Parameters!$B$25</f>
        <v/>
      </c>
    </row>
    <row r="858">
      <c r="A858" t="n">
        <v>85.59999999999999</v>
      </c>
      <c r="B858">
        <f>IF(A858&gt;162.1,Parameters!$B$5,Parameters!$B$4)</f>
        <v/>
      </c>
      <c r="C858">
        <f>C857-0.1*B858+0</f>
        <v/>
      </c>
      <c r="D858">
        <f>D857-0.1*B858+0</f>
        <v/>
      </c>
      <c r="E858">
        <f>Parameters!$B$25</f>
        <v/>
      </c>
    </row>
    <row r="859">
      <c r="A859" t="n">
        <v>85.7</v>
      </c>
      <c r="B859">
        <f>IF(A859&gt;162.1,Parameters!$B$5,Parameters!$B$4)</f>
        <v/>
      </c>
      <c r="C859">
        <f>C858-0.1*B859+0</f>
        <v/>
      </c>
      <c r="D859">
        <f>D858-0.1*B859+0</f>
        <v/>
      </c>
      <c r="E859">
        <f>Parameters!$B$25</f>
        <v/>
      </c>
    </row>
    <row r="860">
      <c r="A860" t="n">
        <v>85.8</v>
      </c>
      <c r="B860">
        <f>IF(A860&gt;162.1,Parameters!$B$5,Parameters!$B$4)</f>
        <v/>
      </c>
      <c r="C860">
        <f>C859-0.1*B860+0</f>
        <v/>
      </c>
      <c r="D860">
        <f>D859-0.1*B860+0</f>
        <v/>
      </c>
      <c r="E860">
        <f>Parameters!$B$25</f>
        <v/>
      </c>
    </row>
    <row r="861">
      <c r="A861" t="n">
        <v>85.90000000000001</v>
      </c>
      <c r="B861">
        <f>IF(A861&gt;162.1,Parameters!$B$5,Parameters!$B$4)</f>
        <v/>
      </c>
      <c r="C861">
        <f>C860-0.1*B861+0</f>
        <v/>
      </c>
      <c r="D861">
        <f>D860-0.1*B861+0</f>
        <v/>
      </c>
      <c r="E861">
        <f>Parameters!$B$25</f>
        <v/>
      </c>
    </row>
    <row r="862">
      <c r="A862" t="n">
        <v>86</v>
      </c>
      <c r="B862">
        <f>IF(A862&gt;162.1,Parameters!$B$5,Parameters!$B$4)</f>
        <v/>
      </c>
      <c r="C862">
        <f>C861-0.1*B862+0</f>
        <v/>
      </c>
      <c r="D862">
        <f>D861-0.1*B862+0</f>
        <v/>
      </c>
      <c r="E862">
        <f>Parameters!$B$25</f>
        <v/>
      </c>
    </row>
    <row r="863">
      <c r="A863" t="n">
        <v>86.09999999999999</v>
      </c>
      <c r="B863">
        <f>IF(A863&gt;162.1,Parameters!$B$5,Parameters!$B$4)</f>
        <v/>
      </c>
      <c r="C863">
        <f>C862-0.1*B863+0</f>
        <v/>
      </c>
      <c r="D863">
        <f>D862-0.1*B863+0</f>
        <v/>
      </c>
      <c r="E863">
        <f>Parameters!$B$25</f>
        <v/>
      </c>
    </row>
    <row r="864">
      <c r="A864" t="n">
        <v>86.2</v>
      </c>
      <c r="B864">
        <f>IF(A864&gt;162.1,Parameters!$B$5,Parameters!$B$4)</f>
        <v/>
      </c>
      <c r="C864">
        <f>C863-0.1*B864+0</f>
        <v/>
      </c>
      <c r="D864">
        <f>D863-0.1*B864+0</f>
        <v/>
      </c>
      <c r="E864">
        <f>Parameters!$B$25</f>
        <v/>
      </c>
    </row>
    <row r="865">
      <c r="A865" t="n">
        <v>86.3</v>
      </c>
      <c r="B865">
        <f>IF(A865&gt;162.1,Parameters!$B$5,Parameters!$B$4)</f>
        <v/>
      </c>
      <c r="C865">
        <f>C864-0.1*B865+0</f>
        <v/>
      </c>
      <c r="D865">
        <f>D864-0.1*B865+0</f>
        <v/>
      </c>
      <c r="E865">
        <f>Parameters!$B$25</f>
        <v/>
      </c>
    </row>
    <row r="866">
      <c r="A866" t="n">
        <v>86.40000000000001</v>
      </c>
      <c r="B866">
        <f>IF(A866&gt;162.1,Parameters!$B$5,Parameters!$B$4)</f>
        <v/>
      </c>
      <c r="C866">
        <f>C865-0.1*B866+0</f>
        <v/>
      </c>
      <c r="D866">
        <f>D865-0.1*B866+0</f>
        <v/>
      </c>
      <c r="E866">
        <f>Parameters!$B$25</f>
        <v/>
      </c>
    </row>
    <row r="867">
      <c r="A867" t="n">
        <v>86.5</v>
      </c>
      <c r="B867">
        <f>IF(A867&gt;162.1,Parameters!$B$5,Parameters!$B$4)</f>
        <v/>
      </c>
      <c r="C867">
        <f>C866-0.1*B867+0</f>
        <v/>
      </c>
      <c r="D867">
        <f>D866-0.1*B867+0</f>
        <v/>
      </c>
      <c r="E867">
        <f>Parameters!$B$25</f>
        <v/>
      </c>
    </row>
    <row r="868">
      <c r="A868" t="n">
        <v>86.59999999999999</v>
      </c>
      <c r="B868">
        <f>IF(A868&gt;162.1,Parameters!$B$5,Parameters!$B$4)</f>
        <v/>
      </c>
      <c r="C868">
        <f>C867-0.1*B868+0</f>
        <v/>
      </c>
      <c r="D868">
        <f>D867-0.1*B868+0</f>
        <v/>
      </c>
      <c r="E868">
        <f>Parameters!$B$25</f>
        <v/>
      </c>
    </row>
    <row r="869">
      <c r="A869" t="n">
        <v>86.7</v>
      </c>
      <c r="B869">
        <f>IF(A869&gt;162.1,Parameters!$B$5,Parameters!$B$4)</f>
        <v/>
      </c>
      <c r="C869">
        <f>C868-0.1*B869+0</f>
        <v/>
      </c>
      <c r="D869">
        <f>D868-0.1*B869+0</f>
        <v/>
      </c>
      <c r="E869">
        <f>Parameters!$B$25</f>
        <v/>
      </c>
    </row>
    <row r="870">
      <c r="A870" t="n">
        <v>86.8</v>
      </c>
      <c r="B870">
        <f>IF(A870&gt;162.1,Parameters!$B$5,Parameters!$B$4)</f>
        <v/>
      </c>
      <c r="C870">
        <f>C869-0.1*B870+0</f>
        <v/>
      </c>
      <c r="D870">
        <f>D869-0.1*B870+0</f>
        <v/>
      </c>
      <c r="E870">
        <f>Parameters!$B$25</f>
        <v/>
      </c>
    </row>
    <row r="871">
      <c r="A871" t="n">
        <v>86.90000000000001</v>
      </c>
      <c r="B871">
        <f>IF(A871&gt;162.1,Parameters!$B$5,Parameters!$B$4)</f>
        <v/>
      </c>
      <c r="C871">
        <f>C870-0.1*B871+0</f>
        <v/>
      </c>
      <c r="D871">
        <f>D870-0.1*B871+0</f>
        <v/>
      </c>
      <c r="E871">
        <f>Parameters!$B$25</f>
        <v/>
      </c>
    </row>
    <row r="872">
      <c r="A872" t="n">
        <v>87</v>
      </c>
      <c r="B872">
        <f>IF(A872&gt;162.1,Parameters!$B$5,Parameters!$B$4)</f>
        <v/>
      </c>
      <c r="C872">
        <f>C871-0.1*B872+0</f>
        <v/>
      </c>
      <c r="D872">
        <f>D871-0.1*B872+0</f>
        <v/>
      </c>
      <c r="E872">
        <f>Parameters!$B$25</f>
        <v/>
      </c>
    </row>
    <row r="873">
      <c r="A873" t="n">
        <v>87.09999999999999</v>
      </c>
      <c r="B873">
        <f>IF(A873&gt;162.1,Parameters!$B$5,Parameters!$B$4)</f>
        <v/>
      </c>
      <c r="C873">
        <f>C872-0.1*B873+0</f>
        <v/>
      </c>
      <c r="D873">
        <f>D872-0.1*B873+0</f>
        <v/>
      </c>
      <c r="E873">
        <f>Parameters!$B$25</f>
        <v/>
      </c>
    </row>
    <row r="874">
      <c r="A874" t="n">
        <v>87.2</v>
      </c>
      <c r="B874">
        <f>IF(A874&gt;162.1,Parameters!$B$5,Parameters!$B$4)</f>
        <v/>
      </c>
      <c r="C874">
        <f>C873-0.1*B874+0</f>
        <v/>
      </c>
      <c r="D874">
        <f>D873-0.1*B874+0</f>
        <v/>
      </c>
      <c r="E874">
        <f>Parameters!$B$25</f>
        <v/>
      </c>
    </row>
    <row r="875">
      <c r="A875" t="n">
        <v>87.3</v>
      </c>
      <c r="B875">
        <f>IF(A875&gt;162.1,Parameters!$B$5,Parameters!$B$4)</f>
        <v/>
      </c>
      <c r="C875">
        <f>C874-0.1*B875+0</f>
        <v/>
      </c>
      <c r="D875">
        <f>D874-0.1*B875+0</f>
        <v/>
      </c>
      <c r="E875">
        <f>Parameters!$B$25</f>
        <v/>
      </c>
    </row>
    <row r="876">
      <c r="A876" t="n">
        <v>87.40000000000001</v>
      </c>
      <c r="B876">
        <f>IF(A876&gt;162.1,Parameters!$B$5,Parameters!$B$4)</f>
        <v/>
      </c>
      <c r="C876">
        <f>C875-0.1*B876+0</f>
        <v/>
      </c>
      <c r="D876">
        <f>D875-0.1*B876+0</f>
        <v/>
      </c>
      <c r="E876">
        <f>Parameters!$B$25</f>
        <v/>
      </c>
    </row>
    <row r="877">
      <c r="A877" t="n">
        <v>87.5</v>
      </c>
      <c r="B877">
        <f>IF(A877&gt;162.1,Parameters!$B$5,Parameters!$B$4)</f>
        <v/>
      </c>
      <c r="C877">
        <f>C876-0.1*B877+0</f>
        <v/>
      </c>
      <c r="D877">
        <f>D876-0.1*B877+0</f>
        <v/>
      </c>
      <c r="E877">
        <f>Parameters!$B$25</f>
        <v/>
      </c>
    </row>
    <row r="878">
      <c r="A878" t="n">
        <v>87.59999999999999</v>
      </c>
      <c r="B878">
        <f>IF(A878&gt;162.1,Parameters!$B$5,Parameters!$B$4)</f>
        <v/>
      </c>
      <c r="C878">
        <f>C877-0.1*B878+0</f>
        <v/>
      </c>
      <c r="D878">
        <f>D877-0.1*B878+0</f>
        <v/>
      </c>
      <c r="E878">
        <f>Parameters!$B$25</f>
        <v/>
      </c>
    </row>
    <row r="879">
      <c r="A879" t="n">
        <v>87.7</v>
      </c>
      <c r="B879">
        <f>IF(A879&gt;162.1,Parameters!$B$5,Parameters!$B$4)</f>
        <v/>
      </c>
      <c r="C879">
        <f>C878-0.1*B879+0</f>
        <v/>
      </c>
      <c r="D879">
        <f>D878-0.1*B879+0</f>
        <v/>
      </c>
      <c r="E879">
        <f>Parameters!$B$25</f>
        <v/>
      </c>
    </row>
    <row r="880">
      <c r="A880" t="n">
        <v>87.8</v>
      </c>
      <c r="B880">
        <f>IF(A880&gt;162.1,Parameters!$B$5,Parameters!$B$4)</f>
        <v/>
      </c>
      <c r="C880">
        <f>C879-0.1*B880+0</f>
        <v/>
      </c>
      <c r="D880">
        <f>D879-0.1*B880+0</f>
        <v/>
      </c>
      <c r="E880">
        <f>Parameters!$B$25</f>
        <v/>
      </c>
    </row>
    <row r="881">
      <c r="A881" t="n">
        <v>87.90000000000001</v>
      </c>
      <c r="B881">
        <f>IF(A881&gt;162.1,Parameters!$B$5,Parameters!$B$4)</f>
        <v/>
      </c>
      <c r="C881">
        <f>C880-0.1*B881+0</f>
        <v/>
      </c>
      <c r="D881">
        <f>D880-0.1*B881+0</f>
        <v/>
      </c>
      <c r="E881">
        <f>Parameters!$B$25</f>
        <v/>
      </c>
    </row>
    <row r="882">
      <c r="A882" t="n">
        <v>88</v>
      </c>
      <c r="B882">
        <f>IF(A882&gt;162.1,Parameters!$B$5,Parameters!$B$4)</f>
        <v/>
      </c>
      <c r="C882">
        <f>C881-0.1*B882+0</f>
        <v/>
      </c>
      <c r="D882">
        <f>D881-0.1*B882+0</f>
        <v/>
      </c>
      <c r="E882">
        <f>Parameters!$B$25</f>
        <v/>
      </c>
    </row>
    <row r="883">
      <c r="A883" t="n">
        <v>88.09999999999999</v>
      </c>
      <c r="B883">
        <f>IF(A883&gt;162.1,Parameters!$B$5,Parameters!$B$4)</f>
        <v/>
      </c>
      <c r="C883">
        <f>C882-0.1*B883+0</f>
        <v/>
      </c>
      <c r="D883">
        <f>D882-0.1*B883+0</f>
        <v/>
      </c>
      <c r="E883">
        <f>Parameters!$B$25</f>
        <v/>
      </c>
    </row>
    <row r="884">
      <c r="A884" t="n">
        <v>88.2</v>
      </c>
      <c r="B884">
        <f>IF(A884&gt;162.1,Parameters!$B$5,Parameters!$B$4)</f>
        <v/>
      </c>
      <c r="C884">
        <f>C883-0.1*B884+0</f>
        <v/>
      </c>
      <c r="D884">
        <f>D883-0.1*B884+0</f>
        <v/>
      </c>
      <c r="E884">
        <f>Parameters!$B$25</f>
        <v/>
      </c>
    </row>
    <row r="885">
      <c r="A885" t="n">
        <v>88.3</v>
      </c>
      <c r="B885">
        <f>IF(A885&gt;162.1,Parameters!$B$5,Parameters!$B$4)</f>
        <v/>
      </c>
      <c r="C885">
        <f>C884-0.1*B885+0</f>
        <v/>
      </c>
      <c r="D885">
        <f>D884-0.1*B885+0</f>
        <v/>
      </c>
      <c r="E885">
        <f>Parameters!$B$25</f>
        <v/>
      </c>
    </row>
    <row r="886">
      <c r="A886" t="n">
        <v>88.40000000000001</v>
      </c>
      <c r="B886">
        <f>IF(A886&gt;162.1,Parameters!$B$5,Parameters!$B$4)</f>
        <v/>
      </c>
      <c r="C886">
        <f>C885-0.1*B886+0</f>
        <v/>
      </c>
      <c r="D886">
        <f>D885-0.1*B886+0</f>
        <v/>
      </c>
      <c r="E886">
        <f>Parameters!$B$25</f>
        <v/>
      </c>
    </row>
    <row r="887">
      <c r="A887" t="n">
        <v>88.5</v>
      </c>
      <c r="B887">
        <f>IF(A887&gt;162.1,Parameters!$B$5,Parameters!$B$4)</f>
        <v/>
      </c>
      <c r="C887">
        <f>C886-0.1*B887+0</f>
        <v/>
      </c>
      <c r="D887">
        <f>D886-0.1*B887+0</f>
        <v/>
      </c>
      <c r="E887">
        <f>Parameters!$B$25</f>
        <v/>
      </c>
    </row>
    <row r="888">
      <c r="A888" t="n">
        <v>88.59999999999999</v>
      </c>
      <c r="B888">
        <f>IF(A888&gt;162.1,Parameters!$B$5,Parameters!$B$4)</f>
        <v/>
      </c>
      <c r="C888">
        <f>C887-0.1*B888+0</f>
        <v/>
      </c>
      <c r="D888">
        <f>D887-0.1*B888+0</f>
        <v/>
      </c>
      <c r="E888">
        <f>Parameters!$B$25</f>
        <v/>
      </c>
    </row>
    <row r="889">
      <c r="A889" t="n">
        <v>88.7</v>
      </c>
      <c r="B889">
        <f>IF(A889&gt;162.1,Parameters!$B$5,Parameters!$B$4)</f>
        <v/>
      </c>
      <c r="C889">
        <f>C888-0.1*B889+0</f>
        <v/>
      </c>
      <c r="D889">
        <f>D888-0.1*B889+0</f>
        <v/>
      </c>
      <c r="E889">
        <f>Parameters!$B$25</f>
        <v/>
      </c>
    </row>
    <row r="890">
      <c r="A890" t="n">
        <v>88.8</v>
      </c>
      <c r="B890">
        <f>IF(A890&gt;162.1,Parameters!$B$5,Parameters!$B$4)</f>
        <v/>
      </c>
      <c r="C890">
        <f>C889-0.1*B890+0</f>
        <v/>
      </c>
      <c r="D890">
        <f>D889-0.1*B890+0</f>
        <v/>
      </c>
      <c r="E890">
        <f>Parameters!$B$25</f>
        <v/>
      </c>
    </row>
    <row r="891">
      <c r="A891" t="n">
        <v>88.90000000000001</v>
      </c>
      <c r="B891">
        <f>IF(A891&gt;162.1,Parameters!$B$5,Parameters!$B$4)</f>
        <v/>
      </c>
      <c r="C891">
        <f>C890-0.1*B891+0</f>
        <v/>
      </c>
      <c r="D891">
        <f>D890-0.1*B891+0</f>
        <v/>
      </c>
      <c r="E891">
        <f>Parameters!$B$25</f>
        <v/>
      </c>
    </row>
    <row r="892">
      <c r="A892" t="n">
        <v>89</v>
      </c>
      <c r="B892">
        <f>IF(A892&gt;162.1,Parameters!$B$5,Parameters!$B$4)</f>
        <v/>
      </c>
      <c r="C892">
        <f>C891-0.1*B892+0</f>
        <v/>
      </c>
      <c r="D892">
        <f>D891-0.1*B892+0</f>
        <v/>
      </c>
      <c r="E892">
        <f>Parameters!$B$25</f>
        <v/>
      </c>
    </row>
    <row r="893">
      <c r="A893" t="n">
        <v>89.09999999999999</v>
      </c>
      <c r="B893">
        <f>IF(A893&gt;162.1,Parameters!$B$5,Parameters!$B$4)</f>
        <v/>
      </c>
      <c r="C893">
        <f>C892-0.1*B893+0</f>
        <v/>
      </c>
      <c r="D893">
        <f>D892-0.1*B893+0</f>
        <v/>
      </c>
      <c r="E893">
        <f>Parameters!$B$25</f>
        <v/>
      </c>
    </row>
    <row r="894">
      <c r="A894" t="n">
        <v>89.2</v>
      </c>
      <c r="B894">
        <f>IF(A894&gt;162.1,Parameters!$B$5,Parameters!$B$4)</f>
        <v/>
      </c>
      <c r="C894">
        <f>C893-0.1*B894+0</f>
        <v/>
      </c>
      <c r="D894">
        <f>D893-0.1*B894+0</f>
        <v/>
      </c>
      <c r="E894">
        <f>Parameters!$B$25</f>
        <v/>
      </c>
    </row>
    <row r="895">
      <c r="A895" t="n">
        <v>89.3</v>
      </c>
      <c r="B895">
        <f>IF(A895&gt;162.1,Parameters!$B$5,Parameters!$B$4)</f>
        <v/>
      </c>
      <c r="C895">
        <f>C894-0.1*B895+0</f>
        <v/>
      </c>
      <c r="D895">
        <f>D894-0.1*B895+0</f>
        <v/>
      </c>
      <c r="E895">
        <f>Parameters!$B$25</f>
        <v/>
      </c>
    </row>
    <row r="896">
      <c r="A896" t="n">
        <v>89.40000000000001</v>
      </c>
      <c r="B896">
        <f>IF(A896&gt;162.1,Parameters!$B$5,Parameters!$B$4)</f>
        <v/>
      </c>
      <c r="C896">
        <f>C895-0.1*B896+0</f>
        <v/>
      </c>
      <c r="D896">
        <f>D895-0.1*B896+0</f>
        <v/>
      </c>
      <c r="E896">
        <f>Parameters!$B$25</f>
        <v/>
      </c>
    </row>
    <row r="897">
      <c r="A897" t="n">
        <v>89.5</v>
      </c>
      <c r="B897">
        <f>IF(A897&gt;162.1,Parameters!$B$5,Parameters!$B$4)</f>
        <v/>
      </c>
      <c r="C897">
        <f>C896-0.1*B897+0</f>
        <v/>
      </c>
      <c r="D897">
        <f>D896-0.1*B897+0</f>
        <v/>
      </c>
      <c r="E897">
        <f>Parameters!$B$25</f>
        <v/>
      </c>
    </row>
    <row r="898">
      <c r="A898" t="n">
        <v>89.59999999999999</v>
      </c>
      <c r="B898">
        <f>IF(A898&gt;162.1,Parameters!$B$5,Parameters!$B$4)</f>
        <v/>
      </c>
      <c r="C898">
        <f>C897-0.1*B898+0</f>
        <v/>
      </c>
      <c r="D898">
        <f>D897-0.1*B898+0</f>
        <v/>
      </c>
      <c r="E898">
        <f>Parameters!$B$25</f>
        <v/>
      </c>
    </row>
    <row r="899">
      <c r="A899" t="n">
        <v>89.7</v>
      </c>
      <c r="B899">
        <f>IF(A899&gt;162.1,Parameters!$B$5,Parameters!$B$4)</f>
        <v/>
      </c>
      <c r="C899">
        <f>C898-0.1*B899+0</f>
        <v/>
      </c>
      <c r="D899">
        <f>D898-0.1*B899+0</f>
        <v/>
      </c>
      <c r="E899">
        <f>Parameters!$B$25</f>
        <v/>
      </c>
    </row>
    <row r="900">
      <c r="A900" t="n">
        <v>89.8</v>
      </c>
      <c r="B900">
        <f>IF(A900&gt;162.1,Parameters!$B$5,Parameters!$B$4)</f>
        <v/>
      </c>
      <c r="C900">
        <f>C899-0.1*B900+0</f>
        <v/>
      </c>
      <c r="D900">
        <f>D899-0.1*B900+0</f>
        <v/>
      </c>
      <c r="E900">
        <f>Parameters!$B$25</f>
        <v/>
      </c>
    </row>
    <row r="901">
      <c r="A901" t="n">
        <v>89.90000000000001</v>
      </c>
      <c r="B901">
        <f>IF(A901&gt;162.1,Parameters!$B$5,Parameters!$B$4)</f>
        <v/>
      </c>
      <c r="C901">
        <f>C900-0.1*B901+0</f>
        <v/>
      </c>
      <c r="D901">
        <f>D900-0.1*B901+0</f>
        <v/>
      </c>
      <c r="E901">
        <f>Parameters!$B$25</f>
        <v/>
      </c>
    </row>
    <row r="902">
      <c r="A902" t="n">
        <v>90</v>
      </c>
      <c r="B902">
        <f>IF(A902&gt;162.1,Parameters!$B$5,Parameters!$B$4)</f>
        <v/>
      </c>
      <c r="C902">
        <f>C901-0.1*B902+0</f>
        <v/>
      </c>
      <c r="D902">
        <f>D901-0.1*B902+0</f>
        <v/>
      </c>
      <c r="E902">
        <f>Parameters!$B$25</f>
        <v/>
      </c>
    </row>
    <row r="903">
      <c r="A903" t="n">
        <v>90.09999999999999</v>
      </c>
      <c r="B903">
        <f>IF(A903&gt;162.1,Parameters!$B$5,Parameters!$B$4)</f>
        <v/>
      </c>
      <c r="C903">
        <f>C902-0.1*B903+0</f>
        <v/>
      </c>
      <c r="D903">
        <f>D902-0.1*B903+0</f>
        <v/>
      </c>
      <c r="E903">
        <f>Parameters!$B$25</f>
        <v/>
      </c>
    </row>
    <row r="904">
      <c r="A904" t="n">
        <v>90.2</v>
      </c>
      <c r="B904">
        <f>IF(A904&gt;162.1,Parameters!$B$5,Parameters!$B$4)</f>
        <v/>
      </c>
      <c r="C904">
        <f>C903-0.1*B904+0</f>
        <v/>
      </c>
      <c r="D904">
        <f>D903-0.1*B904+0</f>
        <v/>
      </c>
      <c r="E904">
        <f>Parameters!$B$25</f>
        <v/>
      </c>
    </row>
    <row r="905">
      <c r="A905" t="n">
        <v>90.3</v>
      </c>
      <c r="B905">
        <f>IF(A905&gt;162.1,Parameters!$B$5,Parameters!$B$4)</f>
        <v/>
      </c>
      <c r="C905">
        <f>C904-0.1*B905+0</f>
        <v/>
      </c>
      <c r="D905">
        <f>D904-0.1*B905+0</f>
        <v/>
      </c>
      <c r="E905">
        <f>Parameters!$B$25</f>
        <v/>
      </c>
    </row>
    <row r="906">
      <c r="A906" t="n">
        <v>90.40000000000001</v>
      </c>
      <c r="B906">
        <f>IF(A906&gt;162.1,Parameters!$B$5,Parameters!$B$4)</f>
        <v/>
      </c>
      <c r="C906">
        <f>C905-0.1*B906+0</f>
        <v/>
      </c>
      <c r="D906">
        <f>D905-0.1*B906+0</f>
        <v/>
      </c>
      <c r="E906">
        <f>Parameters!$B$25</f>
        <v/>
      </c>
    </row>
    <row r="907">
      <c r="A907" t="n">
        <v>90.5</v>
      </c>
      <c r="B907">
        <f>IF(A907&gt;162.1,Parameters!$B$5,Parameters!$B$4)</f>
        <v/>
      </c>
      <c r="C907">
        <f>C906-0.1*B907+0</f>
        <v/>
      </c>
      <c r="D907">
        <f>D906-0.1*B907+0</f>
        <v/>
      </c>
      <c r="E907">
        <f>Parameters!$B$25</f>
        <v/>
      </c>
    </row>
    <row r="908">
      <c r="A908" t="n">
        <v>90.59999999999999</v>
      </c>
      <c r="B908">
        <f>IF(A908&gt;162.1,Parameters!$B$5,Parameters!$B$4)</f>
        <v/>
      </c>
      <c r="C908">
        <f>C907-0.1*B908+0</f>
        <v/>
      </c>
      <c r="D908">
        <f>D907-0.1*B908+0</f>
        <v/>
      </c>
      <c r="E908">
        <f>Parameters!$B$25</f>
        <v/>
      </c>
    </row>
    <row r="909">
      <c r="A909" t="n">
        <v>90.7</v>
      </c>
      <c r="B909">
        <f>IF(A909&gt;162.1,Parameters!$B$5,Parameters!$B$4)</f>
        <v/>
      </c>
      <c r="C909">
        <f>C908-0.1*B909+0</f>
        <v/>
      </c>
      <c r="D909">
        <f>D908-0.1*B909+0</f>
        <v/>
      </c>
      <c r="E909">
        <f>Parameters!$B$25</f>
        <v/>
      </c>
    </row>
    <row r="910">
      <c r="A910" t="n">
        <v>90.8</v>
      </c>
      <c r="B910">
        <f>IF(A910&gt;162.1,Parameters!$B$5,Parameters!$B$4)</f>
        <v/>
      </c>
      <c r="C910">
        <f>C909-0.1*B910+0</f>
        <v/>
      </c>
      <c r="D910">
        <f>D909-0.1*B910+0</f>
        <v/>
      </c>
      <c r="E910">
        <f>Parameters!$B$25</f>
        <v/>
      </c>
    </row>
    <row r="911">
      <c r="A911" t="n">
        <v>90.90000000000001</v>
      </c>
      <c r="B911">
        <f>IF(A911&gt;162.1,Parameters!$B$5,Parameters!$B$4)</f>
        <v/>
      </c>
      <c r="C911">
        <f>C910-0.1*B911+0</f>
        <v/>
      </c>
      <c r="D911">
        <f>D910-0.1*B911+0</f>
        <v/>
      </c>
      <c r="E911">
        <f>Parameters!$B$25</f>
        <v/>
      </c>
    </row>
    <row r="912">
      <c r="A912" t="n">
        <v>91</v>
      </c>
      <c r="B912">
        <f>IF(A912&gt;162.1,Parameters!$B$5,Parameters!$B$4)</f>
        <v/>
      </c>
      <c r="C912">
        <f>C911-0.1*B912+0</f>
        <v/>
      </c>
      <c r="D912">
        <f>D911-0.1*B912+0</f>
        <v/>
      </c>
      <c r="E912">
        <f>Parameters!$B$25</f>
        <v/>
      </c>
    </row>
    <row r="913">
      <c r="A913" t="n">
        <v>91.09999999999999</v>
      </c>
      <c r="B913">
        <f>IF(A913&gt;162.1,Parameters!$B$5,Parameters!$B$4)</f>
        <v/>
      </c>
      <c r="C913">
        <f>C912-0.1*B913+0</f>
        <v/>
      </c>
      <c r="D913">
        <f>D912-0.1*B913+0</f>
        <v/>
      </c>
      <c r="E913">
        <f>Parameters!$B$25</f>
        <v/>
      </c>
    </row>
    <row r="914">
      <c r="A914" t="n">
        <v>91.2</v>
      </c>
      <c r="B914">
        <f>IF(A914&gt;162.1,Parameters!$B$5,Parameters!$B$4)</f>
        <v/>
      </c>
      <c r="C914">
        <f>C913-0.1*B914+0</f>
        <v/>
      </c>
      <c r="D914">
        <f>D913-0.1*B914+0</f>
        <v/>
      </c>
      <c r="E914">
        <f>Parameters!$B$25</f>
        <v/>
      </c>
    </row>
    <row r="915">
      <c r="A915" t="n">
        <v>91.3</v>
      </c>
      <c r="B915">
        <f>IF(A915&gt;162.1,Parameters!$B$5,Parameters!$B$4)</f>
        <v/>
      </c>
      <c r="C915">
        <f>C914-0.1*B915+0</f>
        <v/>
      </c>
      <c r="D915">
        <f>D914-0.1*B915+0</f>
        <v/>
      </c>
      <c r="E915">
        <f>Parameters!$B$25</f>
        <v/>
      </c>
    </row>
    <row r="916">
      <c r="A916" t="n">
        <v>91.40000000000001</v>
      </c>
      <c r="B916">
        <f>IF(A916&gt;162.1,Parameters!$B$5,Parameters!$B$4)</f>
        <v/>
      </c>
      <c r="C916">
        <f>C915-0.1*B916+0</f>
        <v/>
      </c>
      <c r="D916">
        <f>D915-0.1*B916+0</f>
        <v/>
      </c>
      <c r="E916">
        <f>Parameters!$B$25</f>
        <v/>
      </c>
    </row>
    <row r="917">
      <c r="A917" t="n">
        <v>91.5</v>
      </c>
      <c r="B917">
        <f>IF(A917&gt;162.1,Parameters!$B$5,Parameters!$B$4)</f>
        <v/>
      </c>
      <c r="C917">
        <f>C916-0.1*B917+0</f>
        <v/>
      </c>
      <c r="D917">
        <f>D916-0.1*B917+0</f>
        <v/>
      </c>
      <c r="E917">
        <f>Parameters!$B$25</f>
        <v/>
      </c>
    </row>
    <row r="918">
      <c r="A918" t="n">
        <v>91.59999999999999</v>
      </c>
      <c r="B918">
        <f>IF(A918&gt;162.1,Parameters!$B$5,Parameters!$B$4)</f>
        <v/>
      </c>
      <c r="C918">
        <f>C917-0.1*B918+0</f>
        <v/>
      </c>
      <c r="D918">
        <f>D917-0.1*B918+0</f>
        <v/>
      </c>
      <c r="E918">
        <f>Parameters!$B$25</f>
        <v/>
      </c>
    </row>
    <row r="919">
      <c r="A919" t="n">
        <v>91.7</v>
      </c>
      <c r="B919">
        <f>IF(A919&gt;162.1,Parameters!$B$5,Parameters!$B$4)</f>
        <v/>
      </c>
      <c r="C919">
        <f>C918-0.1*B919+0</f>
        <v/>
      </c>
      <c r="D919">
        <f>D918-0.1*B919+0</f>
        <v/>
      </c>
      <c r="E919">
        <f>Parameters!$B$25</f>
        <v/>
      </c>
    </row>
    <row r="920">
      <c r="A920" t="n">
        <v>91.8</v>
      </c>
      <c r="B920">
        <f>IF(A920&gt;162.1,Parameters!$B$5,Parameters!$B$4)</f>
        <v/>
      </c>
      <c r="C920">
        <f>C919-0.1*B920+0</f>
        <v/>
      </c>
      <c r="D920">
        <f>D919-0.1*B920+0</f>
        <v/>
      </c>
      <c r="E920">
        <f>Parameters!$B$25</f>
        <v/>
      </c>
    </row>
    <row r="921">
      <c r="A921" t="n">
        <v>91.90000000000001</v>
      </c>
      <c r="B921">
        <f>IF(A921&gt;162.1,Parameters!$B$5,Parameters!$B$4)</f>
        <v/>
      </c>
      <c r="C921">
        <f>C920-0.1*B921+0</f>
        <v/>
      </c>
      <c r="D921">
        <f>D920-0.1*B921+0</f>
        <v/>
      </c>
      <c r="E921">
        <f>Parameters!$B$25</f>
        <v/>
      </c>
    </row>
    <row r="922">
      <c r="A922" t="n">
        <v>92</v>
      </c>
      <c r="B922">
        <f>IF(A922&gt;162.1,Parameters!$B$5,Parameters!$B$4)</f>
        <v/>
      </c>
      <c r="C922">
        <f>C921-0.1*B922+0</f>
        <v/>
      </c>
      <c r="D922">
        <f>D921-0.1*B922+0</f>
        <v/>
      </c>
      <c r="E922">
        <f>Parameters!$B$25</f>
        <v/>
      </c>
    </row>
    <row r="923">
      <c r="A923" t="n">
        <v>92.09999999999999</v>
      </c>
      <c r="B923">
        <f>IF(A923&gt;162.1,Parameters!$B$5,Parameters!$B$4)</f>
        <v/>
      </c>
      <c r="C923">
        <f>C922-0.1*B923+0</f>
        <v/>
      </c>
      <c r="D923">
        <f>D922-0.1*B923+0</f>
        <v/>
      </c>
      <c r="E923">
        <f>Parameters!$B$25</f>
        <v/>
      </c>
    </row>
    <row r="924">
      <c r="A924" t="n">
        <v>92.2</v>
      </c>
      <c r="B924">
        <f>IF(A924&gt;162.1,Parameters!$B$5,Parameters!$B$4)</f>
        <v/>
      </c>
      <c r="C924">
        <f>C923-0.1*B924+0</f>
        <v/>
      </c>
      <c r="D924">
        <f>D923-0.1*B924+0</f>
        <v/>
      </c>
      <c r="E924">
        <f>Parameters!$B$25</f>
        <v/>
      </c>
    </row>
    <row r="925">
      <c r="A925" t="n">
        <v>92.3</v>
      </c>
      <c r="B925">
        <f>IF(A925&gt;162.1,Parameters!$B$5,Parameters!$B$4)</f>
        <v/>
      </c>
      <c r="C925">
        <f>C924-0.1*B925+0</f>
        <v/>
      </c>
      <c r="D925">
        <f>D924-0.1*B925+0</f>
        <v/>
      </c>
      <c r="E925">
        <f>Parameters!$B$25</f>
        <v/>
      </c>
    </row>
    <row r="926">
      <c r="A926" t="n">
        <v>92.40000000000001</v>
      </c>
      <c r="B926">
        <f>IF(A926&gt;162.1,Parameters!$B$5,Parameters!$B$4)</f>
        <v/>
      </c>
      <c r="C926">
        <f>C925-0.1*B926+0</f>
        <v/>
      </c>
      <c r="D926">
        <f>D925-0.1*B926+0</f>
        <v/>
      </c>
      <c r="E926">
        <f>Parameters!$B$25</f>
        <v/>
      </c>
    </row>
    <row r="927">
      <c r="A927" t="n">
        <v>92.5</v>
      </c>
      <c r="B927">
        <f>IF(A927&gt;162.1,Parameters!$B$5,Parameters!$B$4)</f>
        <v/>
      </c>
      <c r="C927">
        <f>C926-0.1*B927+0</f>
        <v/>
      </c>
      <c r="D927">
        <f>D926-0.1*B927+0</f>
        <v/>
      </c>
      <c r="E927">
        <f>Parameters!$B$25</f>
        <v/>
      </c>
    </row>
    <row r="928">
      <c r="A928" t="n">
        <v>92.59999999999999</v>
      </c>
      <c r="B928">
        <f>IF(A928&gt;162.1,Parameters!$B$5,Parameters!$B$4)</f>
        <v/>
      </c>
      <c r="C928">
        <f>C927-0.1*B928+0</f>
        <v/>
      </c>
      <c r="D928">
        <f>D927-0.1*B928+0</f>
        <v/>
      </c>
      <c r="E928">
        <f>Parameters!$B$25</f>
        <v/>
      </c>
    </row>
    <row r="929">
      <c r="A929" t="n">
        <v>92.7</v>
      </c>
      <c r="B929">
        <f>IF(A929&gt;162.1,Parameters!$B$5,Parameters!$B$4)</f>
        <v/>
      </c>
      <c r="C929">
        <f>C928-0.1*B929+0</f>
        <v/>
      </c>
      <c r="D929">
        <f>D928-0.1*B929+0</f>
        <v/>
      </c>
      <c r="E929">
        <f>Parameters!$B$25</f>
        <v/>
      </c>
    </row>
    <row r="930">
      <c r="A930" t="n">
        <v>92.8</v>
      </c>
      <c r="B930">
        <f>IF(A930&gt;162.1,Parameters!$B$5,Parameters!$B$4)</f>
        <v/>
      </c>
      <c r="C930">
        <f>C929-0.1*B930+0</f>
        <v/>
      </c>
      <c r="D930">
        <f>D929-0.1*B930+0</f>
        <v/>
      </c>
      <c r="E930">
        <f>Parameters!$B$25</f>
        <v/>
      </c>
    </row>
    <row r="931">
      <c r="A931" t="n">
        <v>92.90000000000001</v>
      </c>
      <c r="B931">
        <f>IF(A931&gt;162.1,Parameters!$B$5,Parameters!$B$4)</f>
        <v/>
      </c>
      <c r="C931">
        <f>C930-0.1*B931+0</f>
        <v/>
      </c>
      <c r="D931">
        <f>D930-0.1*B931+0</f>
        <v/>
      </c>
      <c r="E931">
        <f>Parameters!$B$25</f>
        <v/>
      </c>
    </row>
    <row r="932">
      <c r="A932" t="n">
        <v>93</v>
      </c>
      <c r="B932">
        <f>IF(A932&gt;162.1,Parameters!$B$5,Parameters!$B$4)</f>
        <v/>
      </c>
      <c r="C932">
        <f>C931-0.1*B932+0</f>
        <v/>
      </c>
      <c r="D932">
        <f>D931-0.1*B932+0</f>
        <v/>
      </c>
      <c r="E932">
        <f>Parameters!$B$25</f>
        <v/>
      </c>
    </row>
    <row r="933">
      <c r="A933" t="n">
        <v>93.09999999999999</v>
      </c>
      <c r="B933">
        <f>IF(A933&gt;162.1,Parameters!$B$5,Parameters!$B$4)</f>
        <v/>
      </c>
      <c r="C933">
        <f>C932-0.1*B933+0</f>
        <v/>
      </c>
      <c r="D933">
        <f>D932-0.1*B933+0</f>
        <v/>
      </c>
      <c r="E933">
        <f>Parameters!$B$25</f>
        <v/>
      </c>
    </row>
    <row r="934">
      <c r="A934" t="n">
        <v>93.2</v>
      </c>
      <c r="B934">
        <f>IF(A934&gt;162.1,Parameters!$B$5,Parameters!$B$4)</f>
        <v/>
      </c>
      <c r="C934">
        <f>C933-0.1*B934+0</f>
        <v/>
      </c>
      <c r="D934">
        <f>D933-0.1*B934+0</f>
        <v/>
      </c>
      <c r="E934">
        <f>Parameters!$B$25</f>
        <v/>
      </c>
    </row>
    <row r="935">
      <c r="A935" t="n">
        <v>93.3</v>
      </c>
      <c r="B935">
        <f>IF(A935&gt;162.1,Parameters!$B$5,Parameters!$B$4)</f>
        <v/>
      </c>
      <c r="C935">
        <f>C934-0.1*B935+0</f>
        <v/>
      </c>
      <c r="D935">
        <f>D934-0.1*B935+0</f>
        <v/>
      </c>
      <c r="E935">
        <f>Parameters!$B$25</f>
        <v/>
      </c>
    </row>
    <row r="936">
      <c r="A936" t="n">
        <v>93.40000000000001</v>
      </c>
      <c r="B936">
        <f>IF(A936&gt;162.1,Parameters!$B$5,Parameters!$B$4)</f>
        <v/>
      </c>
      <c r="C936">
        <f>C935-0.1*B936+0</f>
        <v/>
      </c>
      <c r="D936">
        <f>D935-0.1*B936+0</f>
        <v/>
      </c>
      <c r="E936">
        <f>Parameters!$B$25</f>
        <v/>
      </c>
    </row>
    <row r="937">
      <c r="A937" t="n">
        <v>93.5</v>
      </c>
      <c r="B937">
        <f>IF(A937&gt;162.1,Parameters!$B$5,Parameters!$B$4)</f>
        <v/>
      </c>
      <c r="C937">
        <f>C936-0.1*B937+0</f>
        <v/>
      </c>
      <c r="D937">
        <f>D936-0.1*B937+0</f>
        <v/>
      </c>
      <c r="E937">
        <f>Parameters!$B$25</f>
        <v/>
      </c>
    </row>
    <row r="938">
      <c r="A938" t="n">
        <v>93.59999999999999</v>
      </c>
      <c r="B938">
        <f>IF(A938&gt;162.1,Parameters!$B$5,Parameters!$B$4)</f>
        <v/>
      </c>
      <c r="C938">
        <f>C937-0.1*B938+0</f>
        <v/>
      </c>
      <c r="D938">
        <f>D937-0.1*B938+0</f>
        <v/>
      </c>
      <c r="E938">
        <f>Parameters!$B$25</f>
        <v/>
      </c>
    </row>
    <row r="939">
      <c r="A939" t="n">
        <v>93.7</v>
      </c>
      <c r="B939">
        <f>IF(A939&gt;162.1,Parameters!$B$5,Parameters!$B$4)</f>
        <v/>
      </c>
      <c r="C939">
        <f>C938-0.1*B939+0</f>
        <v/>
      </c>
      <c r="D939">
        <f>D938-0.1*B939+0</f>
        <v/>
      </c>
      <c r="E939">
        <f>Parameters!$B$25</f>
        <v/>
      </c>
    </row>
    <row r="940">
      <c r="A940" t="n">
        <v>93.8</v>
      </c>
      <c r="B940">
        <f>IF(A940&gt;162.1,Parameters!$B$5,Parameters!$B$4)</f>
        <v/>
      </c>
      <c r="C940">
        <f>C939-0.1*B940+0</f>
        <v/>
      </c>
      <c r="D940">
        <f>D939-0.1*B940+0</f>
        <v/>
      </c>
      <c r="E940">
        <f>Parameters!$B$25</f>
        <v/>
      </c>
    </row>
    <row r="941">
      <c r="A941" t="n">
        <v>93.90000000000001</v>
      </c>
      <c r="B941">
        <f>IF(A941&gt;162.1,Parameters!$B$5,Parameters!$B$4)</f>
        <v/>
      </c>
      <c r="C941">
        <f>C940-0.1*B941+0</f>
        <v/>
      </c>
      <c r="D941">
        <f>D940-0.1*B941+0</f>
        <v/>
      </c>
      <c r="E941">
        <f>Parameters!$B$25</f>
        <v/>
      </c>
    </row>
    <row r="942">
      <c r="A942" t="n">
        <v>94</v>
      </c>
      <c r="B942">
        <f>IF(A942&gt;162.1,Parameters!$B$5,Parameters!$B$4)</f>
        <v/>
      </c>
      <c r="C942">
        <f>C941-0.1*B942+0</f>
        <v/>
      </c>
      <c r="D942">
        <f>D941-0.1*B942+0</f>
        <v/>
      </c>
      <c r="E942">
        <f>Parameters!$B$25</f>
        <v/>
      </c>
    </row>
    <row r="943">
      <c r="A943" t="n">
        <v>94.09999999999999</v>
      </c>
      <c r="B943">
        <f>IF(A943&gt;162.1,Parameters!$B$5,Parameters!$B$4)</f>
        <v/>
      </c>
      <c r="C943">
        <f>C942-0.1*B943+0</f>
        <v/>
      </c>
      <c r="D943">
        <f>D942-0.1*B943+0</f>
        <v/>
      </c>
      <c r="E943">
        <f>Parameters!$B$25</f>
        <v/>
      </c>
    </row>
    <row r="944">
      <c r="A944" t="n">
        <v>94.2</v>
      </c>
      <c r="B944">
        <f>IF(A944&gt;162.1,Parameters!$B$5,Parameters!$B$4)</f>
        <v/>
      </c>
      <c r="C944">
        <f>C943-0.1*B944+0</f>
        <v/>
      </c>
      <c r="D944">
        <f>D943-0.1*B944+0</f>
        <v/>
      </c>
      <c r="E944">
        <f>Parameters!$B$25</f>
        <v/>
      </c>
    </row>
    <row r="945">
      <c r="A945" t="n">
        <v>94.3</v>
      </c>
      <c r="B945">
        <f>IF(A945&gt;162.1,Parameters!$B$5,Parameters!$B$4)</f>
        <v/>
      </c>
      <c r="C945">
        <f>C944-0.1*B945+0</f>
        <v/>
      </c>
      <c r="D945">
        <f>D944-0.1*B945+0</f>
        <v/>
      </c>
      <c r="E945">
        <f>Parameters!$B$25</f>
        <v/>
      </c>
    </row>
    <row r="946">
      <c r="A946" t="n">
        <v>94.40000000000001</v>
      </c>
      <c r="B946">
        <f>IF(A946&gt;162.1,Parameters!$B$5,Parameters!$B$4)</f>
        <v/>
      </c>
      <c r="C946">
        <f>C945-0.1*B946+0</f>
        <v/>
      </c>
      <c r="D946">
        <f>D945-0.1*B946+0</f>
        <v/>
      </c>
      <c r="E946">
        <f>Parameters!$B$25</f>
        <v/>
      </c>
    </row>
    <row r="947">
      <c r="A947" t="n">
        <v>94.5</v>
      </c>
      <c r="B947">
        <f>IF(A947&gt;162.1,Parameters!$B$5,Parameters!$B$4)</f>
        <v/>
      </c>
      <c r="C947">
        <f>C946-0.1*B947+'Dwell Plans'!$B$8</f>
        <v/>
      </c>
      <c r="D947">
        <f>D946-0.1*B947+MIN(Parameters!$B$26/60*Parameters!$B$8,Parameters!$B$6-(D946-0.1*B947))</f>
        <v/>
      </c>
      <c r="E947">
        <f>Parameters!$B$25</f>
        <v/>
      </c>
    </row>
    <row r="948">
      <c r="A948" t="n">
        <v>94.59999999999999</v>
      </c>
      <c r="B948">
        <f>IF(A948&gt;162.1,Parameters!$B$5,Parameters!$B$4)</f>
        <v/>
      </c>
      <c r="C948">
        <f>C947-0.1*B948+0</f>
        <v/>
      </c>
      <c r="D948">
        <f>D947-0.1*B948+0</f>
        <v/>
      </c>
      <c r="E948">
        <f>Parameters!$B$25</f>
        <v/>
      </c>
    </row>
    <row r="949">
      <c r="A949" t="n">
        <v>94.7</v>
      </c>
      <c r="B949">
        <f>IF(A949&gt;162.1,Parameters!$B$5,Parameters!$B$4)</f>
        <v/>
      </c>
      <c r="C949">
        <f>C948-0.1*B949+0</f>
        <v/>
      </c>
      <c r="D949">
        <f>D948-0.1*B949+0</f>
        <v/>
      </c>
      <c r="E949">
        <f>Parameters!$B$25</f>
        <v/>
      </c>
    </row>
    <row r="950">
      <c r="A950" t="n">
        <v>94.8</v>
      </c>
      <c r="B950">
        <f>IF(A950&gt;162.1,Parameters!$B$5,Parameters!$B$4)</f>
        <v/>
      </c>
      <c r="C950">
        <f>C949-0.1*B950+0</f>
        <v/>
      </c>
      <c r="D950">
        <f>D949-0.1*B950+0</f>
        <v/>
      </c>
      <c r="E950">
        <f>Parameters!$B$25</f>
        <v/>
      </c>
    </row>
    <row r="951">
      <c r="A951" t="n">
        <v>94.90000000000001</v>
      </c>
      <c r="B951">
        <f>IF(A951&gt;162.1,Parameters!$B$5,Parameters!$B$4)</f>
        <v/>
      </c>
      <c r="C951">
        <f>C950-0.1*B951+0</f>
        <v/>
      </c>
      <c r="D951">
        <f>D950-0.1*B951+0</f>
        <v/>
      </c>
      <c r="E951">
        <f>Parameters!$B$25</f>
        <v/>
      </c>
    </row>
    <row r="952">
      <c r="A952" t="n">
        <v>95</v>
      </c>
      <c r="B952">
        <f>IF(A952&gt;162.1,Parameters!$B$5,Parameters!$B$4)</f>
        <v/>
      </c>
      <c r="C952">
        <f>C951-0.1*B952+0</f>
        <v/>
      </c>
      <c r="D952">
        <f>D951-0.1*B952+0</f>
        <v/>
      </c>
      <c r="E952">
        <f>Parameters!$B$25</f>
        <v/>
      </c>
    </row>
    <row r="953">
      <c r="A953" t="n">
        <v>95.09999999999999</v>
      </c>
      <c r="B953">
        <f>IF(A953&gt;162.1,Parameters!$B$5,Parameters!$B$4)</f>
        <v/>
      </c>
      <c r="C953">
        <f>C952-0.1*B953+0</f>
        <v/>
      </c>
      <c r="D953">
        <f>D952-0.1*B953+0</f>
        <v/>
      </c>
      <c r="E953">
        <f>Parameters!$B$25</f>
        <v/>
      </c>
    </row>
    <row r="954">
      <c r="A954" t="n">
        <v>95.2</v>
      </c>
      <c r="B954">
        <f>IF(A954&gt;162.1,Parameters!$B$5,Parameters!$B$4)</f>
        <v/>
      </c>
      <c r="C954">
        <f>C953-0.1*B954+0</f>
        <v/>
      </c>
      <c r="D954">
        <f>D953-0.1*B954+0</f>
        <v/>
      </c>
      <c r="E954">
        <f>Parameters!$B$25</f>
        <v/>
      </c>
    </row>
    <row r="955">
      <c r="A955" t="n">
        <v>95.3</v>
      </c>
      <c r="B955">
        <f>IF(A955&gt;162.1,Parameters!$B$5,Parameters!$B$4)</f>
        <v/>
      </c>
      <c r="C955">
        <f>C954-0.1*B955+0</f>
        <v/>
      </c>
      <c r="D955">
        <f>D954-0.1*B955+0</f>
        <v/>
      </c>
      <c r="E955">
        <f>Parameters!$B$25</f>
        <v/>
      </c>
    </row>
    <row r="956">
      <c r="A956" t="n">
        <v>95.40000000000001</v>
      </c>
      <c r="B956">
        <f>IF(A956&gt;162.1,Parameters!$B$5,Parameters!$B$4)</f>
        <v/>
      </c>
      <c r="C956">
        <f>C955-0.1*B956+0</f>
        <v/>
      </c>
      <c r="D956">
        <f>D955-0.1*B956+0</f>
        <v/>
      </c>
      <c r="E956">
        <f>Parameters!$B$25</f>
        <v/>
      </c>
    </row>
    <row r="957">
      <c r="A957" t="n">
        <v>95.5</v>
      </c>
      <c r="B957">
        <f>IF(A957&gt;162.1,Parameters!$B$5,Parameters!$B$4)</f>
        <v/>
      </c>
      <c r="C957">
        <f>C956-0.1*B957+0</f>
        <v/>
      </c>
      <c r="D957">
        <f>D956-0.1*B957+0</f>
        <v/>
      </c>
      <c r="E957">
        <f>Parameters!$B$25</f>
        <v/>
      </c>
    </row>
    <row r="958">
      <c r="A958" t="n">
        <v>95.59999999999999</v>
      </c>
      <c r="B958">
        <f>IF(A958&gt;162.1,Parameters!$B$5,Parameters!$B$4)</f>
        <v/>
      </c>
      <c r="C958">
        <f>C957-0.1*B958+0</f>
        <v/>
      </c>
      <c r="D958">
        <f>D957-0.1*B958+0</f>
        <v/>
      </c>
      <c r="E958">
        <f>Parameters!$B$25</f>
        <v/>
      </c>
    </row>
    <row r="959">
      <c r="A959" t="n">
        <v>95.7</v>
      </c>
      <c r="B959">
        <f>IF(A959&gt;162.1,Parameters!$B$5,Parameters!$B$4)</f>
        <v/>
      </c>
      <c r="C959">
        <f>C958-0.1*B959+0</f>
        <v/>
      </c>
      <c r="D959">
        <f>D958-0.1*B959+0</f>
        <v/>
      </c>
      <c r="E959">
        <f>Parameters!$B$25</f>
        <v/>
      </c>
    </row>
    <row r="960">
      <c r="A960" t="n">
        <v>95.8</v>
      </c>
      <c r="B960">
        <f>IF(A960&gt;162.1,Parameters!$B$5,Parameters!$B$4)</f>
        <v/>
      </c>
      <c r="C960">
        <f>C959-0.1*B960+0</f>
        <v/>
      </c>
      <c r="D960">
        <f>D959-0.1*B960+0</f>
        <v/>
      </c>
      <c r="E960">
        <f>Parameters!$B$25</f>
        <v/>
      </c>
    </row>
    <row r="961">
      <c r="A961" t="n">
        <v>95.90000000000001</v>
      </c>
      <c r="B961">
        <f>IF(A961&gt;162.1,Parameters!$B$5,Parameters!$B$4)</f>
        <v/>
      </c>
      <c r="C961">
        <f>C960-0.1*B961+0</f>
        <v/>
      </c>
      <c r="D961">
        <f>D960-0.1*B961+0</f>
        <v/>
      </c>
      <c r="E961">
        <f>Parameters!$B$25</f>
        <v/>
      </c>
    </row>
    <row r="962">
      <c r="A962" t="n">
        <v>96</v>
      </c>
      <c r="B962">
        <f>IF(A962&gt;162.1,Parameters!$B$5,Parameters!$B$4)</f>
        <v/>
      </c>
      <c r="C962">
        <f>C961-0.1*B962+0</f>
        <v/>
      </c>
      <c r="D962">
        <f>D961-0.1*B962+0</f>
        <v/>
      </c>
      <c r="E962">
        <f>Parameters!$B$25</f>
        <v/>
      </c>
    </row>
    <row r="963">
      <c r="A963" t="n">
        <v>96.09999999999999</v>
      </c>
      <c r="B963">
        <f>IF(A963&gt;162.1,Parameters!$B$5,Parameters!$B$4)</f>
        <v/>
      </c>
      <c r="C963">
        <f>C962-0.1*B963+0</f>
        <v/>
      </c>
      <c r="D963">
        <f>D962-0.1*B963+0</f>
        <v/>
      </c>
      <c r="E963">
        <f>Parameters!$B$25</f>
        <v/>
      </c>
    </row>
    <row r="964">
      <c r="A964" t="n">
        <v>96.2</v>
      </c>
      <c r="B964">
        <f>IF(A964&gt;162.1,Parameters!$B$5,Parameters!$B$4)</f>
        <v/>
      </c>
      <c r="C964">
        <f>C963-0.1*B964+0</f>
        <v/>
      </c>
      <c r="D964">
        <f>D963-0.1*B964+0</f>
        <v/>
      </c>
      <c r="E964">
        <f>Parameters!$B$25</f>
        <v/>
      </c>
    </row>
    <row r="965">
      <c r="A965" t="n">
        <v>96.3</v>
      </c>
      <c r="B965">
        <f>IF(A965&gt;162.1,Parameters!$B$5,Parameters!$B$4)</f>
        <v/>
      </c>
      <c r="C965">
        <f>C964-0.1*B965+0</f>
        <v/>
      </c>
      <c r="D965">
        <f>D964-0.1*B965+0</f>
        <v/>
      </c>
      <c r="E965">
        <f>Parameters!$B$25</f>
        <v/>
      </c>
    </row>
    <row r="966">
      <c r="A966" t="n">
        <v>96.40000000000001</v>
      </c>
      <c r="B966">
        <f>IF(A966&gt;162.1,Parameters!$B$5,Parameters!$B$4)</f>
        <v/>
      </c>
      <c r="C966">
        <f>C965-0.1*B966+0</f>
        <v/>
      </c>
      <c r="D966">
        <f>D965-0.1*B966+0</f>
        <v/>
      </c>
      <c r="E966">
        <f>Parameters!$B$25</f>
        <v/>
      </c>
    </row>
    <row r="967">
      <c r="A967" t="n">
        <v>96.5</v>
      </c>
      <c r="B967">
        <f>IF(A967&gt;162.1,Parameters!$B$5,Parameters!$B$4)</f>
        <v/>
      </c>
      <c r="C967">
        <f>C966-0.1*B967+0</f>
        <v/>
      </c>
      <c r="D967">
        <f>D966-0.1*B967+0</f>
        <v/>
      </c>
      <c r="E967">
        <f>Parameters!$B$25</f>
        <v/>
      </c>
    </row>
    <row r="968">
      <c r="A968" t="n">
        <v>96.59999999999999</v>
      </c>
      <c r="B968">
        <f>IF(A968&gt;162.1,Parameters!$B$5,Parameters!$B$4)</f>
        <v/>
      </c>
      <c r="C968">
        <f>C967-0.1*B968+0</f>
        <v/>
      </c>
      <c r="D968">
        <f>D967-0.1*B968+0</f>
        <v/>
      </c>
      <c r="E968">
        <f>Parameters!$B$25</f>
        <v/>
      </c>
    </row>
    <row r="969">
      <c r="A969" t="n">
        <v>96.7</v>
      </c>
      <c r="B969">
        <f>IF(A969&gt;162.1,Parameters!$B$5,Parameters!$B$4)</f>
        <v/>
      </c>
      <c r="C969">
        <f>C968-0.1*B969+0</f>
        <v/>
      </c>
      <c r="D969">
        <f>D968-0.1*B969+0</f>
        <v/>
      </c>
      <c r="E969">
        <f>Parameters!$B$25</f>
        <v/>
      </c>
    </row>
    <row r="970">
      <c r="A970" t="n">
        <v>96.8</v>
      </c>
      <c r="B970">
        <f>IF(A970&gt;162.1,Parameters!$B$5,Parameters!$B$4)</f>
        <v/>
      </c>
      <c r="C970">
        <f>C969-0.1*B970+0</f>
        <v/>
      </c>
      <c r="D970">
        <f>D969-0.1*B970+0</f>
        <v/>
      </c>
      <c r="E970">
        <f>Parameters!$B$25</f>
        <v/>
      </c>
    </row>
    <row r="971">
      <c r="A971" t="n">
        <v>96.90000000000001</v>
      </c>
      <c r="B971">
        <f>IF(A971&gt;162.1,Parameters!$B$5,Parameters!$B$4)</f>
        <v/>
      </c>
      <c r="C971">
        <f>C970-0.1*B971+0</f>
        <v/>
      </c>
      <c r="D971">
        <f>D970-0.1*B971+0</f>
        <v/>
      </c>
      <c r="E971">
        <f>Parameters!$B$25</f>
        <v/>
      </c>
    </row>
    <row r="972">
      <c r="A972" t="n">
        <v>97</v>
      </c>
      <c r="B972">
        <f>IF(A972&gt;162.1,Parameters!$B$5,Parameters!$B$4)</f>
        <v/>
      </c>
      <c r="C972">
        <f>C971-0.1*B972+0</f>
        <v/>
      </c>
      <c r="D972">
        <f>D971-0.1*B972+0</f>
        <v/>
      </c>
      <c r="E972">
        <f>Parameters!$B$25</f>
        <v/>
      </c>
    </row>
    <row r="973">
      <c r="A973" t="n">
        <v>97.09999999999999</v>
      </c>
      <c r="B973">
        <f>IF(A973&gt;162.1,Parameters!$B$5,Parameters!$B$4)</f>
        <v/>
      </c>
      <c r="C973">
        <f>C972-0.1*B973+0</f>
        <v/>
      </c>
      <c r="D973">
        <f>D972-0.1*B973+0</f>
        <v/>
      </c>
      <c r="E973">
        <f>Parameters!$B$25</f>
        <v/>
      </c>
    </row>
    <row r="974">
      <c r="A974" t="n">
        <v>97.2</v>
      </c>
      <c r="B974">
        <f>IF(A974&gt;162.1,Parameters!$B$5,Parameters!$B$4)</f>
        <v/>
      </c>
      <c r="C974">
        <f>C973-0.1*B974+0</f>
        <v/>
      </c>
      <c r="D974">
        <f>D973-0.1*B974+0</f>
        <v/>
      </c>
      <c r="E974">
        <f>Parameters!$B$25</f>
        <v/>
      </c>
    </row>
    <row r="975">
      <c r="A975" t="n">
        <v>97.3</v>
      </c>
      <c r="B975">
        <f>IF(A975&gt;162.1,Parameters!$B$5,Parameters!$B$4)</f>
        <v/>
      </c>
      <c r="C975">
        <f>C974-0.1*B975+0</f>
        <v/>
      </c>
      <c r="D975">
        <f>D974-0.1*B975+0</f>
        <v/>
      </c>
      <c r="E975">
        <f>Parameters!$B$25</f>
        <v/>
      </c>
    </row>
    <row r="976">
      <c r="A976" t="n">
        <v>97.40000000000001</v>
      </c>
      <c r="B976">
        <f>IF(A976&gt;162.1,Parameters!$B$5,Parameters!$B$4)</f>
        <v/>
      </c>
      <c r="C976">
        <f>C975-0.1*B976+0</f>
        <v/>
      </c>
      <c r="D976">
        <f>D975-0.1*B976+0</f>
        <v/>
      </c>
      <c r="E976">
        <f>Parameters!$B$25</f>
        <v/>
      </c>
    </row>
    <row r="977">
      <c r="A977" t="n">
        <v>97.5</v>
      </c>
      <c r="B977">
        <f>IF(A977&gt;162.1,Parameters!$B$5,Parameters!$B$4)</f>
        <v/>
      </c>
      <c r="C977">
        <f>C976-0.1*B977+0</f>
        <v/>
      </c>
      <c r="D977">
        <f>D976-0.1*B977+0</f>
        <v/>
      </c>
      <c r="E977">
        <f>Parameters!$B$25</f>
        <v/>
      </c>
    </row>
    <row r="978">
      <c r="A978" t="n">
        <v>97.59999999999999</v>
      </c>
      <c r="B978">
        <f>IF(A978&gt;162.1,Parameters!$B$5,Parameters!$B$4)</f>
        <v/>
      </c>
      <c r="C978">
        <f>C977-0.1*B978+0</f>
        <v/>
      </c>
      <c r="D978">
        <f>D977-0.1*B978+0</f>
        <v/>
      </c>
      <c r="E978">
        <f>Parameters!$B$25</f>
        <v/>
      </c>
    </row>
    <row r="979">
      <c r="A979" t="n">
        <v>97.7</v>
      </c>
      <c r="B979">
        <f>IF(A979&gt;162.1,Parameters!$B$5,Parameters!$B$4)</f>
        <v/>
      </c>
      <c r="C979">
        <f>C978-0.1*B979+0</f>
        <v/>
      </c>
      <c r="D979">
        <f>D978-0.1*B979+0</f>
        <v/>
      </c>
      <c r="E979">
        <f>Parameters!$B$25</f>
        <v/>
      </c>
    </row>
    <row r="980">
      <c r="A980" t="n">
        <v>97.8</v>
      </c>
      <c r="B980">
        <f>IF(A980&gt;162.1,Parameters!$B$5,Parameters!$B$4)</f>
        <v/>
      </c>
      <c r="C980">
        <f>C979-0.1*B980+0</f>
        <v/>
      </c>
      <c r="D980">
        <f>D979-0.1*B980+0</f>
        <v/>
      </c>
      <c r="E980">
        <f>Parameters!$B$25</f>
        <v/>
      </c>
    </row>
    <row r="981">
      <c r="A981" t="n">
        <v>97.90000000000001</v>
      </c>
      <c r="B981">
        <f>IF(A981&gt;162.1,Parameters!$B$5,Parameters!$B$4)</f>
        <v/>
      </c>
      <c r="C981">
        <f>C980-0.1*B981+0</f>
        <v/>
      </c>
      <c r="D981">
        <f>D980-0.1*B981+0</f>
        <v/>
      </c>
      <c r="E981">
        <f>Parameters!$B$25</f>
        <v/>
      </c>
    </row>
    <row r="982">
      <c r="A982" t="n">
        <v>98</v>
      </c>
      <c r="B982">
        <f>IF(A982&gt;162.1,Parameters!$B$5,Parameters!$B$4)</f>
        <v/>
      </c>
      <c r="C982">
        <f>C981-0.1*B982+0</f>
        <v/>
      </c>
      <c r="D982">
        <f>D981-0.1*B982+0</f>
        <v/>
      </c>
      <c r="E982">
        <f>Parameters!$B$25</f>
        <v/>
      </c>
    </row>
    <row r="983">
      <c r="A983" t="n">
        <v>98.09999999999999</v>
      </c>
      <c r="B983">
        <f>IF(A983&gt;162.1,Parameters!$B$5,Parameters!$B$4)</f>
        <v/>
      </c>
      <c r="C983">
        <f>C982-0.1*B983+0</f>
        <v/>
      </c>
      <c r="D983">
        <f>D982-0.1*B983+0</f>
        <v/>
      </c>
      <c r="E983">
        <f>Parameters!$B$25</f>
        <v/>
      </c>
    </row>
    <row r="984">
      <c r="A984" t="n">
        <v>98.2</v>
      </c>
      <c r="B984">
        <f>IF(A984&gt;162.1,Parameters!$B$5,Parameters!$B$4)</f>
        <v/>
      </c>
      <c r="C984">
        <f>C983-0.1*B984+0</f>
        <v/>
      </c>
      <c r="D984">
        <f>D983-0.1*B984+0</f>
        <v/>
      </c>
      <c r="E984">
        <f>Parameters!$B$25</f>
        <v/>
      </c>
    </row>
    <row r="985">
      <c r="A985" t="n">
        <v>98.3</v>
      </c>
      <c r="B985">
        <f>IF(A985&gt;162.1,Parameters!$B$5,Parameters!$B$4)</f>
        <v/>
      </c>
      <c r="C985">
        <f>C984-0.1*B985+0</f>
        <v/>
      </c>
      <c r="D985">
        <f>D984-0.1*B985+0</f>
        <v/>
      </c>
      <c r="E985">
        <f>Parameters!$B$25</f>
        <v/>
      </c>
    </row>
    <row r="986">
      <c r="A986" t="n">
        <v>98.40000000000001</v>
      </c>
      <c r="B986">
        <f>IF(A986&gt;162.1,Parameters!$B$5,Parameters!$B$4)</f>
        <v/>
      </c>
      <c r="C986">
        <f>C985-0.1*B986+0</f>
        <v/>
      </c>
      <c r="D986">
        <f>D985-0.1*B986+0</f>
        <v/>
      </c>
      <c r="E986">
        <f>Parameters!$B$25</f>
        <v/>
      </c>
    </row>
    <row r="987">
      <c r="A987" t="n">
        <v>98.5</v>
      </c>
      <c r="B987">
        <f>IF(A987&gt;162.1,Parameters!$B$5,Parameters!$B$4)</f>
        <v/>
      </c>
      <c r="C987">
        <f>C986-0.1*B987+0</f>
        <v/>
      </c>
      <c r="D987">
        <f>D986-0.1*B987+0</f>
        <v/>
      </c>
      <c r="E987">
        <f>Parameters!$B$25</f>
        <v/>
      </c>
    </row>
    <row r="988">
      <c r="A988" t="n">
        <v>98.59999999999999</v>
      </c>
      <c r="B988">
        <f>IF(A988&gt;162.1,Parameters!$B$5,Parameters!$B$4)</f>
        <v/>
      </c>
      <c r="C988">
        <f>C987-0.1*B988+0</f>
        <v/>
      </c>
      <c r="D988">
        <f>D987-0.1*B988+0</f>
        <v/>
      </c>
      <c r="E988">
        <f>Parameters!$B$25</f>
        <v/>
      </c>
    </row>
    <row r="989">
      <c r="A989" t="n">
        <v>98.7</v>
      </c>
      <c r="B989">
        <f>IF(A989&gt;162.1,Parameters!$B$5,Parameters!$B$4)</f>
        <v/>
      </c>
      <c r="C989">
        <f>C988-0.1*B989+0</f>
        <v/>
      </c>
      <c r="D989">
        <f>D988-0.1*B989+0</f>
        <v/>
      </c>
      <c r="E989">
        <f>Parameters!$B$25</f>
        <v/>
      </c>
    </row>
    <row r="990">
      <c r="A990" t="n">
        <v>98.8</v>
      </c>
      <c r="B990">
        <f>IF(A990&gt;162.1,Parameters!$B$5,Parameters!$B$4)</f>
        <v/>
      </c>
      <c r="C990">
        <f>C989-0.1*B990+0</f>
        <v/>
      </c>
      <c r="D990">
        <f>D989-0.1*B990+0</f>
        <v/>
      </c>
      <c r="E990">
        <f>Parameters!$B$25</f>
        <v/>
      </c>
    </row>
    <row r="991">
      <c r="A991" t="n">
        <v>98.90000000000001</v>
      </c>
      <c r="B991">
        <f>IF(A991&gt;162.1,Parameters!$B$5,Parameters!$B$4)</f>
        <v/>
      </c>
      <c r="C991">
        <f>C990-0.1*B991+0</f>
        <v/>
      </c>
      <c r="D991">
        <f>D990-0.1*B991+0</f>
        <v/>
      </c>
      <c r="E991">
        <f>Parameters!$B$25</f>
        <v/>
      </c>
    </row>
    <row r="992">
      <c r="A992" t="n">
        <v>99</v>
      </c>
      <c r="B992">
        <f>IF(A992&gt;162.1,Parameters!$B$5,Parameters!$B$4)</f>
        <v/>
      </c>
      <c r="C992">
        <f>C991-0.1*B992+0</f>
        <v/>
      </c>
      <c r="D992">
        <f>D991-0.1*B992+0</f>
        <v/>
      </c>
      <c r="E992">
        <f>Parameters!$B$25</f>
        <v/>
      </c>
    </row>
    <row r="993">
      <c r="A993" t="n">
        <v>99.09999999999999</v>
      </c>
      <c r="B993">
        <f>IF(A993&gt;162.1,Parameters!$B$5,Parameters!$B$4)</f>
        <v/>
      </c>
      <c r="C993">
        <f>C992-0.1*B993+0</f>
        <v/>
      </c>
      <c r="D993">
        <f>D992-0.1*B993+0</f>
        <v/>
      </c>
      <c r="E993">
        <f>Parameters!$B$25</f>
        <v/>
      </c>
    </row>
    <row r="994">
      <c r="A994" t="n">
        <v>99.2</v>
      </c>
      <c r="B994">
        <f>IF(A994&gt;162.1,Parameters!$B$5,Parameters!$B$4)</f>
        <v/>
      </c>
      <c r="C994">
        <f>C993-0.1*B994+0</f>
        <v/>
      </c>
      <c r="D994">
        <f>D993-0.1*B994+0</f>
        <v/>
      </c>
      <c r="E994">
        <f>Parameters!$B$25</f>
        <v/>
      </c>
    </row>
    <row r="995">
      <c r="A995" t="n">
        <v>99.3</v>
      </c>
      <c r="B995">
        <f>IF(A995&gt;162.1,Parameters!$B$5,Parameters!$B$4)</f>
        <v/>
      </c>
      <c r="C995">
        <f>C994-0.1*B995+0</f>
        <v/>
      </c>
      <c r="D995">
        <f>D994-0.1*B995+0</f>
        <v/>
      </c>
      <c r="E995">
        <f>Parameters!$B$25</f>
        <v/>
      </c>
    </row>
    <row r="996">
      <c r="A996" t="n">
        <v>99.40000000000001</v>
      </c>
      <c r="B996">
        <f>IF(A996&gt;162.1,Parameters!$B$5,Parameters!$B$4)</f>
        <v/>
      </c>
      <c r="C996">
        <f>C995-0.1*B996+0</f>
        <v/>
      </c>
      <c r="D996">
        <f>D995-0.1*B996+0</f>
        <v/>
      </c>
      <c r="E996">
        <f>Parameters!$B$25</f>
        <v/>
      </c>
    </row>
    <row r="997">
      <c r="A997" t="n">
        <v>99.5</v>
      </c>
      <c r="B997">
        <f>IF(A997&gt;162.1,Parameters!$B$5,Parameters!$B$4)</f>
        <v/>
      </c>
      <c r="C997">
        <f>C996-0.1*B997+0</f>
        <v/>
      </c>
      <c r="D997">
        <f>D996-0.1*B997+0</f>
        <v/>
      </c>
      <c r="E997">
        <f>Parameters!$B$25</f>
        <v/>
      </c>
    </row>
    <row r="998">
      <c r="A998" t="n">
        <v>99.59999999999999</v>
      </c>
      <c r="B998">
        <f>IF(A998&gt;162.1,Parameters!$B$5,Parameters!$B$4)</f>
        <v/>
      </c>
      <c r="C998">
        <f>C997-0.1*B998+0</f>
        <v/>
      </c>
      <c r="D998">
        <f>D997-0.1*B998+0</f>
        <v/>
      </c>
      <c r="E998">
        <f>Parameters!$B$25</f>
        <v/>
      </c>
    </row>
    <row r="999">
      <c r="A999" t="n">
        <v>99.7</v>
      </c>
      <c r="B999">
        <f>IF(A999&gt;162.1,Parameters!$B$5,Parameters!$B$4)</f>
        <v/>
      </c>
      <c r="C999">
        <f>C998-0.1*B999+0</f>
        <v/>
      </c>
      <c r="D999">
        <f>D998-0.1*B999+0</f>
        <v/>
      </c>
      <c r="E999">
        <f>Parameters!$B$25</f>
        <v/>
      </c>
    </row>
    <row r="1000">
      <c r="A1000" t="n">
        <v>99.8</v>
      </c>
      <c r="B1000">
        <f>IF(A1000&gt;162.1,Parameters!$B$5,Parameters!$B$4)</f>
        <v/>
      </c>
      <c r="C1000">
        <f>C999-0.1*B1000+0</f>
        <v/>
      </c>
      <c r="D1000">
        <f>D999-0.1*B1000+0</f>
        <v/>
      </c>
      <c r="E1000">
        <f>Parameters!$B$25</f>
        <v/>
      </c>
    </row>
    <row r="1001">
      <c r="A1001" t="n">
        <v>99.90000000000001</v>
      </c>
      <c r="B1001">
        <f>IF(A1001&gt;162.1,Parameters!$B$5,Parameters!$B$4)</f>
        <v/>
      </c>
      <c r="C1001">
        <f>C1000-0.1*B1001+0</f>
        <v/>
      </c>
      <c r="D1001">
        <f>D1000-0.1*B1001+0</f>
        <v/>
      </c>
      <c r="E1001">
        <f>Parameters!$B$25</f>
        <v/>
      </c>
    </row>
    <row r="1002">
      <c r="A1002" t="n">
        <v>100</v>
      </c>
      <c r="B1002">
        <f>IF(A1002&gt;162.1,Parameters!$B$5,Parameters!$B$4)</f>
        <v/>
      </c>
      <c r="C1002">
        <f>C1001-0.1*B1002+0</f>
        <v/>
      </c>
      <c r="D1002">
        <f>D1001-0.1*B1002+0</f>
        <v/>
      </c>
      <c r="E1002">
        <f>Parameters!$B$25</f>
        <v/>
      </c>
    </row>
    <row r="1003">
      <c r="A1003" t="n">
        <v>100.1</v>
      </c>
      <c r="B1003">
        <f>IF(A1003&gt;162.1,Parameters!$B$5,Parameters!$B$4)</f>
        <v/>
      </c>
      <c r="C1003">
        <f>C1002-0.1*B1003+0</f>
        <v/>
      </c>
      <c r="D1003">
        <f>D1002-0.1*B1003+0</f>
        <v/>
      </c>
      <c r="E1003">
        <f>Parameters!$B$25</f>
        <v/>
      </c>
    </row>
    <row r="1004">
      <c r="A1004" t="n">
        <v>100.2</v>
      </c>
      <c r="B1004">
        <f>IF(A1004&gt;162.1,Parameters!$B$5,Parameters!$B$4)</f>
        <v/>
      </c>
      <c r="C1004">
        <f>C1003-0.1*B1004+0</f>
        <v/>
      </c>
      <c r="D1004">
        <f>D1003-0.1*B1004+0</f>
        <v/>
      </c>
      <c r="E1004">
        <f>Parameters!$B$25</f>
        <v/>
      </c>
    </row>
    <row r="1005">
      <c r="A1005" t="n">
        <v>100.3</v>
      </c>
      <c r="B1005">
        <f>IF(A1005&gt;162.1,Parameters!$B$5,Parameters!$B$4)</f>
        <v/>
      </c>
      <c r="C1005">
        <f>C1004-0.1*B1005+0</f>
        <v/>
      </c>
      <c r="D1005">
        <f>D1004-0.1*B1005+0</f>
        <v/>
      </c>
      <c r="E1005">
        <f>Parameters!$B$25</f>
        <v/>
      </c>
    </row>
    <row r="1006">
      <c r="A1006" t="n">
        <v>100.4</v>
      </c>
      <c r="B1006">
        <f>IF(A1006&gt;162.1,Parameters!$B$5,Parameters!$B$4)</f>
        <v/>
      </c>
      <c r="C1006">
        <f>C1005-0.1*B1006+0</f>
        <v/>
      </c>
      <c r="D1006">
        <f>D1005-0.1*B1006+0</f>
        <v/>
      </c>
      <c r="E1006">
        <f>Parameters!$B$25</f>
        <v/>
      </c>
    </row>
    <row r="1007">
      <c r="A1007" t="n">
        <v>100.5</v>
      </c>
      <c r="B1007">
        <f>IF(A1007&gt;162.1,Parameters!$B$5,Parameters!$B$4)</f>
        <v/>
      </c>
      <c r="C1007">
        <f>C1006-0.1*B1007+0</f>
        <v/>
      </c>
      <c r="D1007">
        <f>D1006-0.1*B1007+0</f>
        <v/>
      </c>
      <c r="E1007">
        <f>Parameters!$B$25</f>
        <v/>
      </c>
    </row>
    <row r="1008">
      <c r="A1008" t="n">
        <v>100.6</v>
      </c>
      <c r="B1008">
        <f>IF(A1008&gt;162.1,Parameters!$B$5,Parameters!$B$4)</f>
        <v/>
      </c>
      <c r="C1008">
        <f>C1007-0.1*B1008+0</f>
        <v/>
      </c>
      <c r="D1008">
        <f>D1007-0.1*B1008+0</f>
        <v/>
      </c>
      <c r="E1008">
        <f>Parameters!$B$25</f>
        <v/>
      </c>
    </row>
    <row r="1009">
      <c r="A1009" t="n">
        <v>100.7</v>
      </c>
      <c r="B1009">
        <f>IF(A1009&gt;162.1,Parameters!$B$5,Parameters!$B$4)</f>
        <v/>
      </c>
      <c r="C1009">
        <f>C1008-0.1*B1009+0</f>
        <v/>
      </c>
      <c r="D1009">
        <f>D1008-0.1*B1009+0</f>
        <v/>
      </c>
      <c r="E1009">
        <f>Parameters!$B$25</f>
        <v/>
      </c>
    </row>
    <row r="1010">
      <c r="A1010" t="n">
        <v>100.8</v>
      </c>
      <c r="B1010">
        <f>IF(A1010&gt;162.1,Parameters!$B$5,Parameters!$B$4)</f>
        <v/>
      </c>
      <c r="C1010">
        <f>C1009-0.1*B1010+0</f>
        <v/>
      </c>
      <c r="D1010">
        <f>D1009-0.1*B1010+0</f>
        <v/>
      </c>
      <c r="E1010">
        <f>Parameters!$B$25</f>
        <v/>
      </c>
    </row>
    <row r="1011">
      <c r="A1011" t="n">
        <v>100.9</v>
      </c>
      <c r="B1011">
        <f>IF(A1011&gt;162.1,Parameters!$B$5,Parameters!$B$4)</f>
        <v/>
      </c>
      <c r="C1011">
        <f>C1010-0.1*B1011+0</f>
        <v/>
      </c>
      <c r="D1011">
        <f>D1010-0.1*B1011+0</f>
        <v/>
      </c>
      <c r="E1011">
        <f>Parameters!$B$25</f>
        <v/>
      </c>
    </row>
    <row r="1012">
      <c r="A1012" t="n">
        <v>101</v>
      </c>
      <c r="B1012">
        <f>IF(A1012&gt;162.1,Parameters!$B$5,Parameters!$B$4)</f>
        <v/>
      </c>
      <c r="C1012">
        <f>C1011-0.1*B1012+0</f>
        <v/>
      </c>
      <c r="D1012">
        <f>D1011-0.1*B1012+0</f>
        <v/>
      </c>
      <c r="E1012">
        <f>Parameters!$B$25</f>
        <v/>
      </c>
    </row>
    <row r="1013">
      <c r="A1013" t="n">
        <v>101.1</v>
      </c>
      <c r="B1013">
        <f>IF(A1013&gt;162.1,Parameters!$B$5,Parameters!$B$4)</f>
        <v/>
      </c>
      <c r="C1013">
        <f>C1012-0.1*B1013+0</f>
        <v/>
      </c>
      <c r="D1013">
        <f>D1012-0.1*B1013+0</f>
        <v/>
      </c>
      <c r="E1013">
        <f>Parameters!$B$25</f>
        <v/>
      </c>
    </row>
    <row r="1014">
      <c r="A1014" t="n">
        <v>101.2</v>
      </c>
      <c r="B1014">
        <f>IF(A1014&gt;162.1,Parameters!$B$5,Parameters!$B$4)</f>
        <v/>
      </c>
      <c r="C1014">
        <f>C1013-0.1*B1014+0</f>
        <v/>
      </c>
      <c r="D1014">
        <f>D1013-0.1*B1014+0</f>
        <v/>
      </c>
      <c r="E1014">
        <f>Parameters!$B$25</f>
        <v/>
      </c>
    </row>
    <row r="1015">
      <c r="A1015" t="n">
        <v>101.3</v>
      </c>
      <c r="B1015">
        <f>IF(A1015&gt;162.1,Parameters!$B$5,Parameters!$B$4)</f>
        <v/>
      </c>
      <c r="C1015">
        <f>C1014-0.1*B1015+0</f>
        <v/>
      </c>
      <c r="D1015">
        <f>D1014-0.1*B1015+0</f>
        <v/>
      </c>
      <c r="E1015">
        <f>Parameters!$B$25</f>
        <v/>
      </c>
    </row>
    <row r="1016">
      <c r="A1016" t="n">
        <v>101.4</v>
      </c>
      <c r="B1016">
        <f>IF(A1016&gt;162.1,Parameters!$B$5,Parameters!$B$4)</f>
        <v/>
      </c>
      <c r="C1016">
        <f>C1015-0.1*B1016+0</f>
        <v/>
      </c>
      <c r="D1016">
        <f>D1015-0.1*B1016+0</f>
        <v/>
      </c>
      <c r="E1016">
        <f>Parameters!$B$25</f>
        <v/>
      </c>
    </row>
    <row r="1017">
      <c r="A1017" t="n">
        <v>101.5</v>
      </c>
      <c r="B1017">
        <f>IF(A1017&gt;162.1,Parameters!$B$5,Parameters!$B$4)</f>
        <v/>
      </c>
      <c r="C1017">
        <f>C1016-0.1*B1017+0</f>
        <v/>
      </c>
      <c r="D1017">
        <f>D1016-0.1*B1017+0</f>
        <v/>
      </c>
      <c r="E1017">
        <f>Parameters!$B$25</f>
        <v/>
      </c>
    </row>
    <row r="1018">
      <c r="A1018" t="n">
        <v>101.6</v>
      </c>
      <c r="B1018">
        <f>IF(A1018&gt;162.1,Parameters!$B$5,Parameters!$B$4)</f>
        <v/>
      </c>
      <c r="C1018">
        <f>C1017-0.1*B1018+0</f>
        <v/>
      </c>
      <c r="D1018">
        <f>D1017-0.1*B1018+0</f>
        <v/>
      </c>
      <c r="E1018">
        <f>Parameters!$B$25</f>
        <v/>
      </c>
    </row>
    <row r="1019">
      <c r="A1019" t="n">
        <v>101.7</v>
      </c>
      <c r="B1019">
        <f>IF(A1019&gt;162.1,Parameters!$B$5,Parameters!$B$4)</f>
        <v/>
      </c>
      <c r="C1019">
        <f>C1018-0.1*B1019+0</f>
        <v/>
      </c>
      <c r="D1019">
        <f>D1018-0.1*B1019+0</f>
        <v/>
      </c>
      <c r="E1019">
        <f>Parameters!$B$25</f>
        <v/>
      </c>
    </row>
    <row r="1020">
      <c r="A1020" t="n">
        <v>101.8</v>
      </c>
      <c r="B1020">
        <f>IF(A1020&gt;162.1,Parameters!$B$5,Parameters!$B$4)</f>
        <v/>
      </c>
      <c r="C1020">
        <f>C1019-0.1*B1020+0</f>
        <v/>
      </c>
      <c r="D1020">
        <f>D1019-0.1*B1020+0</f>
        <v/>
      </c>
      <c r="E1020">
        <f>Parameters!$B$25</f>
        <v/>
      </c>
    </row>
    <row r="1021">
      <c r="A1021" t="n">
        <v>101.9</v>
      </c>
      <c r="B1021">
        <f>IF(A1021&gt;162.1,Parameters!$B$5,Parameters!$B$4)</f>
        <v/>
      </c>
      <c r="C1021">
        <f>C1020-0.1*B1021+0</f>
        <v/>
      </c>
      <c r="D1021">
        <f>D1020-0.1*B1021+0</f>
        <v/>
      </c>
      <c r="E1021">
        <f>Parameters!$B$25</f>
        <v/>
      </c>
    </row>
    <row r="1022">
      <c r="A1022" t="n">
        <v>102</v>
      </c>
      <c r="B1022">
        <f>IF(A1022&gt;162.1,Parameters!$B$5,Parameters!$B$4)</f>
        <v/>
      </c>
      <c r="C1022">
        <f>C1021-0.1*B1022+0</f>
        <v/>
      </c>
      <c r="D1022">
        <f>D1021-0.1*B1022+0</f>
        <v/>
      </c>
      <c r="E1022">
        <f>Parameters!$B$25</f>
        <v/>
      </c>
    </row>
    <row r="1023">
      <c r="A1023" t="n">
        <v>102.1</v>
      </c>
      <c r="B1023">
        <f>IF(A1023&gt;162.1,Parameters!$B$5,Parameters!$B$4)</f>
        <v/>
      </c>
      <c r="C1023">
        <f>C1022-0.1*B1023+0</f>
        <v/>
      </c>
      <c r="D1023">
        <f>D1022-0.1*B1023+0</f>
        <v/>
      </c>
      <c r="E1023">
        <f>Parameters!$B$25</f>
        <v/>
      </c>
    </row>
    <row r="1024">
      <c r="A1024" t="n">
        <v>102.2</v>
      </c>
      <c r="B1024">
        <f>IF(A1024&gt;162.1,Parameters!$B$5,Parameters!$B$4)</f>
        <v/>
      </c>
      <c r="C1024">
        <f>C1023-0.1*B1024+0</f>
        <v/>
      </c>
      <c r="D1024">
        <f>D1023-0.1*B1024+0</f>
        <v/>
      </c>
      <c r="E1024">
        <f>Parameters!$B$25</f>
        <v/>
      </c>
    </row>
    <row r="1025">
      <c r="A1025" t="n">
        <v>102.3</v>
      </c>
      <c r="B1025">
        <f>IF(A1025&gt;162.1,Parameters!$B$5,Parameters!$B$4)</f>
        <v/>
      </c>
      <c r="C1025">
        <f>C1024-0.1*B1025+0</f>
        <v/>
      </c>
      <c r="D1025">
        <f>D1024-0.1*B1025+0</f>
        <v/>
      </c>
      <c r="E1025">
        <f>Parameters!$B$25</f>
        <v/>
      </c>
    </row>
    <row r="1026">
      <c r="A1026" t="n">
        <v>102.4</v>
      </c>
      <c r="B1026">
        <f>IF(A1026&gt;162.1,Parameters!$B$5,Parameters!$B$4)</f>
        <v/>
      </c>
      <c r="C1026">
        <f>C1025-0.1*B1026+0</f>
        <v/>
      </c>
      <c r="D1026">
        <f>D1025-0.1*B1026+0</f>
        <v/>
      </c>
      <c r="E1026">
        <f>Parameters!$B$25</f>
        <v/>
      </c>
    </row>
    <row r="1027">
      <c r="A1027" t="n">
        <v>102.5</v>
      </c>
      <c r="B1027">
        <f>IF(A1027&gt;162.1,Parameters!$B$5,Parameters!$B$4)</f>
        <v/>
      </c>
      <c r="C1027">
        <f>C1026-0.1*B1027+0</f>
        <v/>
      </c>
      <c r="D1027">
        <f>D1026-0.1*B1027+0</f>
        <v/>
      </c>
      <c r="E1027">
        <f>Parameters!$B$25</f>
        <v/>
      </c>
    </row>
    <row r="1028">
      <c r="A1028" t="n">
        <v>102.6</v>
      </c>
      <c r="B1028">
        <f>IF(A1028&gt;162.1,Parameters!$B$5,Parameters!$B$4)</f>
        <v/>
      </c>
      <c r="C1028">
        <f>C1027-0.1*B1028+0</f>
        <v/>
      </c>
      <c r="D1028">
        <f>D1027-0.1*B1028+0</f>
        <v/>
      </c>
      <c r="E1028">
        <f>Parameters!$B$25</f>
        <v/>
      </c>
    </row>
    <row r="1029">
      <c r="A1029" t="n">
        <v>102.7</v>
      </c>
      <c r="B1029">
        <f>IF(A1029&gt;162.1,Parameters!$B$5,Parameters!$B$4)</f>
        <v/>
      </c>
      <c r="C1029">
        <f>C1028-0.1*B1029+0</f>
        <v/>
      </c>
      <c r="D1029">
        <f>D1028-0.1*B1029+0</f>
        <v/>
      </c>
      <c r="E1029">
        <f>Parameters!$B$25</f>
        <v/>
      </c>
    </row>
    <row r="1030">
      <c r="A1030" t="n">
        <v>102.8</v>
      </c>
      <c r="B1030">
        <f>IF(A1030&gt;162.1,Parameters!$B$5,Parameters!$B$4)</f>
        <v/>
      </c>
      <c r="C1030">
        <f>C1029-0.1*B1030+0</f>
        <v/>
      </c>
      <c r="D1030">
        <f>D1029-0.1*B1030+0</f>
        <v/>
      </c>
      <c r="E1030">
        <f>Parameters!$B$25</f>
        <v/>
      </c>
    </row>
    <row r="1031">
      <c r="A1031" t="n">
        <v>102.9</v>
      </c>
      <c r="B1031">
        <f>IF(A1031&gt;162.1,Parameters!$B$5,Parameters!$B$4)</f>
        <v/>
      </c>
      <c r="C1031">
        <f>C1030-0.1*B1031+0</f>
        <v/>
      </c>
      <c r="D1031">
        <f>D1030-0.1*B1031+0</f>
        <v/>
      </c>
      <c r="E1031">
        <f>Parameters!$B$25</f>
        <v/>
      </c>
    </row>
    <row r="1032">
      <c r="A1032" t="n">
        <v>103</v>
      </c>
      <c r="B1032">
        <f>IF(A1032&gt;162.1,Parameters!$B$5,Parameters!$B$4)</f>
        <v/>
      </c>
      <c r="C1032">
        <f>C1031-0.1*B1032+0</f>
        <v/>
      </c>
      <c r="D1032">
        <f>D1031-0.1*B1032+0</f>
        <v/>
      </c>
      <c r="E1032">
        <f>Parameters!$B$25</f>
        <v/>
      </c>
    </row>
    <row r="1033">
      <c r="A1033" t="n">
        <v>103.1</v>
      </c>
      <c r="B1033">
        <f>IF(A1033&gt;162.1,Parameters!$B$5,Parameters!$B$4)</f>
        <v/>
      </c>
      <c r="C1033">
        <f>C1032-0.1*B1033+0</f>
        <v/>
      </c>
      <c r="D1033">
        <f>D1032-0.1*B1033+0</f>
        <v/>
      </c>
      <c r="E1033">
        <f>Parameters!$B$25</f>
        <v/>
      </c>
    </row>
    <row r="1034">
      <c r="A1034" t="n">
        <v>103.2</v>
      </c>
      <c r="B1034">
        <f>IF(A1034&gt;162.1,Parameters!$B$5,Parameters!$B$4)</f>
        <v/>
      </c>
      <c r="C1034">
        <f>C1033-0.1*B1034+0</f>
        <v/>
      </c>
      <c r="D1034">
        <f>D1033-0.1*B1034+0</f>
        <v/>
      </c>
      <c r="E1034">
        <f>Parameters!$B$25</f>
        <v/>
      </c>
    </row>
    <row r="1035">
      <c r="A1035" t="n">
        <v>103.3</v>
      </c>
      <c r="B1035">
        <f>IF(A1035&gt;162.1,Parameters!$B$5,Parameters!$B$4)</f>
        <v/>
      </c>
      <c r="C1035">
        <f>C1034-0.1*B1035+0</f>
        <v/>
      </c>
      <c r="D1035">
        <f>D1034-0.1*B1035+0</f>
        <v/>
      </c>
      <c r="E1035">
        <f>Parameters!$B$25</f>
        <v/>
      </c>
    </row>
    <row r="1036">
      <c r="A1036" t="n">
        <v>103.4</v>
      </c>
      <c r="B1036">
        <f>IF(A1036&gt;162.1,Parameters!$B$5,Parameters!$B$4)</f>
        <v/>
      </c>
      <c r="C1036">
        <f>C1035-0.1*B1036+0</f>
        <v/>
      </c>
      <c r="D1036">
        <f>D1035-0.1*B1036+0</f>
        <v/>
      </c>
      <c r="E1036">
        <f>Parameters!$B$25</f>
        <v/>
      </c>
    </row>
    <row r="1037">
      <c r="A1037" t="n">
        <v>103.5</v>
      </c>
      <c r="B1037">
        <f>IF(A1037&gt;162.1,Parameters!$B$5,Parameters!$B$4)</f>
        <v/>
      </c>
      <c r="C1037">
        <f>C1036-0.1*B1037+0</f>
        <v/>
      </c>
      <c r="D1037">
        <f>D1036-0.1*B1037+0</f>
        <v/>
      </c>
      <c r="E1037">
        <f>Parameters!$B$25</f>
        <v/>
      </c>
    </row>
    <row r="1038">
      <c r="A1038" t="n">
        <v>103.6</v>
      </c>
      <c r="B1038">
        <f>IF(A1038&gt;162.1,Parameters!$B$5,Parameters!$B$4)</f>
        <v/>
      </c>
      <c r="C1038">
        <f>C1037-0.1*B1038+0</f>
        <v/>
      </c>
      <c r="D1038">
        <f>D1037-0.1*B1038+0</f>
        <v/>
      </c>
      <c r="E1038">
        <f>Parameters!$B$25</f>
        <v/>
      </c>
    </row>
    <row r="1039">
      <c r="A1039" t="n">
        <v>103.7</v>
      </c>
      <c r="B1039">
        <f>IF(A1039&gt;162.1,Parameters!$B$5,Parameters!$B$4)</f>
        <v/>
      </c>
      <c r="C1039">
        <f>C1038-0.1*B1039+0</f>
        <v/>
      </c>
      <c r="D1039">
        <f>D1038-0.1*B1039+0</f>
        <v/>
      </c>
      <c r="E1039">
        <f>Parameters!$B$25</f>
        <v/>
      </c>
    </row>
    <row r="1040">
      <c r="A1040" t="n">
        <v>103.8</v>
      </c>
      <c r="B1040">
        <f>IF(A1040&gt;162.1,Parameters!$B$5,Parameters!$B$4)</f>
        <v/>
      </c>
      <c r="C1040">
        <f>C1039-0.1*B1040+0</f>
        <v/>
      </c>
      <c r="D1040">
        <f>D1039-0.1*B1040+0</f>
        <v/>
      </c>
      <c r="E1040">
        <f>Parameters!$B$25</f>
        <v/>
      </c>
    </row>
    <row r="1041">
      <c r="A1041" t="n">
        <v>103.9</v>
      </c>
      <c r="B1041">
        <f>IF(A1041&gt;162.1,Parameters!$B$5,Parameters!$B$4)</f>
        <v/>
      </c>
      <c r="C1041">
        <f>C1040-0.1*B1041+0</f>
        <v/>
      </c>
      <c r="D1041">
        <f>D1040-0.1*B1041+0</f>
        <v/>
      </c>
      <c r="E1041">
        <f>Parameters!$B$25</f>
        <v/>
      </c>
    </row>
    <row r="1042">
      <c r="A1042" t="n">
        <v>104</v>
      </c>
      <c r="B1042">
        <f>IF(A1042&gt;162.1,Parameters!$B$5,Parameters!$B$4)</f>
        <v/>
      </c>
      <c r="C1042">
        <f>C1041-0.1*B1042+0</f>
        <v/>
      </c>
      <c r="D1042">
        <f>D1041-0.1*B1042+0</f>
        <v/>
      </c>
      <c r="E1042">
        <f>Parameters!$B$25</f>
        <v/>
      </c>
    </row>
    <row r="1043">
      <c r="A1043" t="n">
        <v>104.1</v>
      </c>
      <c r="B1043">
        <f>IF(A1043&gt;162.1,Parameters!$B$5,Parameters!$B$4)</f>
        <v/>
      </c>
      <c r="C1043">
        <f>C1042-0.1*B1043+0</f>
        <v/>
      </c>
      <c r="D1043">
        <f>D1042-0.1*B1043+0</f>
        <v/>
      </c>
      <c r="E1043">
        <f>Parameters!$B$25</f>
        <v/>
      </c>
    </row>
    <row r="1044">
      <c r="A1044" t="n">
        <v>104.2</v>
      </c>
      <c r="B1044">
        <f>IF(A1044&gt;162.1,Parameters!$B$5,Parameters!$B$4)</f>
        <v/>
      </c>
      <c r="C1044">
        <f>C1043-0.1*B1044+0</f>
        <v/>
      </c>
      <c r="D1044">
        <f>D1043-0.1*B1044+0</f>
        <v/>
      </c>
      <c r="E1044">
        <f>Parameters!$B$25</f>
        <v/>
      </c>
    </row>
    <row r="1045">
      <c r="A1045" t="n">
        <v>104.3</v>
      </c>
      <c r="B1045">
        <f>IF(A1045&gt;162.1,Parameters!$B$5,Parameters!$B$4)</f>
        <v/>
      </c>
      <c r="C1045">
        <f>C1044-0.1*B1045+0</f>
        <v/>
      </c>
      <c r="D1045">
        <f>D1044-0.1*B1045+0</f>
        <v/>
      </c>
      <c r="E1045">
        <f>Parameters!$B$25</f>
        <v/>
      </c>
    </row>
    <row r="1046">
      <c r="A1046" t="n">
        <v>104.4</v>
      </c>
      <c r="B1046">
        <f>IF(A1046&gt;162.1,Parameters!$B$5,Parameters!$B$4)</f>
        <v/>
      </c>
      <c r="C1046">
        <f>C1045-0.1*B1046+0</f>
        <v/>
      </c>
      <c r="D1046">
        <f>D1045-0.1*B1046+0</f>
        <v/>
      </c>
      <c r="E1046">
        <f>Parameters!$B$25</f>
        <v/>
      </c>
    </row>
    <row r="1047">
      <c r="A1047" t="n">
        <v>104.5</v>
      </c>
      <c r="B1047">
        <f>IF(A1047&gt;162.1,Parameters!$B$5,Parameters!$B$4)</f>
        <v/>
      </c>
      <c r="C1047">
        <f>C1046-0.1*B1047+0</f>
        <v/>
      </c>
      <c r="D1047">
        <f>D1046-0.1*B1047+0</f>
        <v/>
      </c>
      <c r="E1047">
        <f>Parameters!$B$25</f>
        <v/>
      </c>
    </row>
    <row r="1048">
      <c r="A1048" t="n">
        <v>104.6</v>
      </c>
      <c r="B1048">
        <f>IF(A1048&gt;162.1,Parameters!$B$5,Parameters!$B$4)</f>
        <v/>
      </c>
      <c r="C1048">
        <f>C1047-0.1*B1048+0</f>
        <v/>
      </c>
      <c r="D1048">
        <f>D1047-0.1*B1048+0</f>
        <v/>
      </c>
      <c r="E1048">
        <f>Parameters!$B$25</f>
        <v/>
      </c>
    </row>
    <row r="1049">
      <c r="A1049" t="n">
        <v>104.7</v>
      </c>
      <c r="B1049">
        <f>IF(A1049&gt;162.1,Parameters!$B$5,Parameters!$B$4)</f>
        <v/>
      </c>
      <c r="C1049">
        <f>C1048-0.1*B1049+0</f>
        <v/>
      </c>
      <c r="D1049">
        <f>D1048-0.1*B1049+0</f>
        <v/>
      </c>
      <c r="E1049">
        <f>Parameters!$B$25</f>
        <v/>
      </c>
    </row>
    <row r="1050">
      <c r="A1050" t="n">
        <v>104.8</v>
      </c>
      <c r="B1050">
        <f>IF(A1050&gt;162.1,Parameters!$B$5,Parameters!$B$4)</f>
        <v/>
      </c>
      <c r="C1050">
        <f>C1049-0.1*B1050+0</f>
        <v/>
      </c>
      <c r="D1050">
        <f>D1049-0.1*B1050+0</f>
        <v/>
      </c>
      <c r="E1050">
        <f>Parameters!$B$25</f>
        <v/>
      </c>
    </row>
    <row r="1051">
      <c r="A1051" t="n">
        <v>104.9</v>
      </c>
      <c r="B1051">
        <f>IF(A1051&gt;162.1,Parameters!$B$5,Parameters!$B$4)</f>
        <v/>
      </c>
      <c r="C1051">
        <f>C1050-0.1*B1051+0</f>
        <v/>
      </c>
      <c r="D1051">
        <f>D1050-0.1*B1051+0</f>
        <v/>
      </c>
      <c r="E1051">
        <f>Parameters!$B$25</f>
        <v/>
      </c>
    </row>
    <row r="1052">
      <c r="A1052" t="n">
        <v>105</v>
      </c>
      <c r="B1052">
        <f>IF(A1052&gt;162.1,Parameters!$B$5,Parameters!$B$4)</f>
        <v/>
      </c>
      <c r="C1052">
        <f>C1051-0.1*B1052+0</f>
        <v/>
      </c>
      <c r="D1052">
        <f>D1051-0.1*B1052+0</f>
        <v/>
      </c>
      <c r="E1052">
        <f>Parameters!$B$25</f>
        <v/>
      </c>
    </row>
    <row r="1053">
      <c r="A1053" t="n">
        <v>105.1</v>
      </c>
      <c r="B1053">
        <f>IF(A1053&gt;162.1,Parameters!$B$5,Parameters!$B$4)</f>
        <v/>
      </c>
      <c r="C1053">
        <f>C1052-0.1*B1053+0</f>
        <v/>
      </c>
      <c r="D1053">
        <f>D1052-0.1*B1053+0</f>
        <v/>
      </c>
      <c r="E1053">
        <f>Parameters!$B$25</f>
        <v/>
      </c>
    </row>
    <row r="1054">
      <c r="A1054" t="n">
        <v>105.2</v>
      </c>
      <c r="B1054">
        <f>IF(A1054&gt;162.1,Parameters!$B$5,Parameters!$B$4)</f>
        <v/>
      </c>
      <c r="C1054">
        <f>C1053-0.1*B1054+0</f>
        <v/>
      </c>
      <c r="D1054">
        <f>D1053-0.1*B1054+0</f>
        <v/>
      </c>
      <c r="E1054">
        <f>Parameters!$B$25</f>
        <v/>
      </c>
    </row>
    <row r="1055">
      <c r="A1055" t="n">
        <v>105.3</v>
      </c>
      <c r="B1055">
        <f>IF(A1055&gt;162.1,Parameters!$B$5,Parameters!$B$4)</f>
        <v/>
      </c>
      <c r="C1055">
        <f>C1054-0.1*B1055+0</f>
        <v/>
      </c>
      <c r="D1055">
        <f>D1054-0.1*B1055+0</f>
        <v/>
      </c>
      <c r="E1055">
        <f>Parameters!$B$25</f>
        <v/>
      </c>
    </row>
    <row r="1056">
      <c r="A1056" t="n">
        <v>105.4</v>
      </c>
      <c r="B1056">
        <f>IF(A1056&gt;162.1,Parameters!$B$5,Parameters!$B$4)</f>
        <v/>
      </c>
      <c r="C1056">
        <f>C1055-0.1*B1056+0</f>
        <v/>
      </c>
      <c r="D1056">
        <f>D1055-0.1*B1056+0</f>
        <v/>
      </c>
      <c r="E1056">
        <f>Parameters!$B$25</f>
        <v/>
      </c>
    </row>
    <row r="1057">
      <c r="A1057" t="n">
        <v>105.5</v>
      </c>
      <c r="B1057">
        <f>IF(A1057&gt;162.1,Parameters!$B$5,Parameters!$B$4)</f>
        <v/>
      </c>
      <c r="C1057">
        <f>C1056-0.1*B1057+0</f>
        <v/>
      </c>
      <c r="D1057">
        <f>D1056-0.1*B1057+0</f>
        <v/>
      </c>
      <c r="E1057">
        <f>Parameters!$B$25</f>
        <v/>
      </c>
    </row>
    <row r="1058">
      <c r="A1058" t="n">
        <v>105.6</v>
      </c>
      <c r="B1058">
        <f>IF(A1058&gt;162.1,Parameters!$B$5,Parameters!$B$4)</f>
        <v/>
      </c>
      <c r="C1058">
        <f>C1057-0.1*B1058+0</f>
        <v/>
      </c>
      <c r="D1058">
        <f>D1057-0.1*B1058+0</f>
        <v/>
      </c>
      <c r="E1058">
        <f>Parameters!$B$25</f>
        <v/>
      </c>
    </row>
    <row r="1059">
      <c r="A1059" t="n">
        <v>105.7</v>
      </c>
      <c r="B1059">
        <f>IF(A1059&gt;162.1,Parameters!$B$5,Parameters!$B$4)</f>
        <v/>
      </c>
      <c r="C1059">
        <f>C1058-0.1*B1059+0</f>
        <v/>
      </c>
      <c r="D1059">
        <f>D1058-0.1*B1059+0</f>
        <v/>
      </c>
      <c r="E1059">
        <f>Parameters!$B$25</f>
        <v/>
      </c>
    </row>
    <row r="1060">
      <c r="A1060" t="n">
        <v>105.8</v>
      </c>
      <c r="B1060">
        <f>IF(A1060&gt;162.1,Parameters!$B$5,Parameters!$B$4)</f>
        <v/>
      </c>
      <c r="C1060">
        <f>C1059-0.1*B1060+0</f>
        <v/>
      </c>
      <c r="D1060">
        <f>D1059-0.1*B1060+0</f>
        <v/>
      </c>
      <c r="E1060">
        <f>Parameters!$B$25</f>
        <v/>
      </c>
    </row>
    <row r="1061">
      <c r="A1061" t="n">
        <v>105.9</v>
      </c>
      <c r="B1061">
        <f>IF(A1061&gt;162.1,Parameters!$B$5,Parameters!$B$4)</f>
        <v/>
      </c>
      <c r="C1061">
        <f>C1060-0.1*B1061+0</f>
        <v/>
      </c>
      <c r="D1061">
        <f>D1060-0.1*B1061+0</f>
        <v/>
      </c>
      <c r="E1061">
        <f>Parameters!$B$25</f>
        <v/>
      </c>
    </row>
    <row r="1062">
      <c r="A1062" t="n">
        <v>106</v>
      </c>
      <c r="B1062">
        <f>IF(A1062&gt;162.1,Parameters!$B$5,Parameters!$B$4)</f>
        <v/>
      </c>
      <c r="C1062">
        <f>C1061-0.1*B1062+0</f>
        <v/>
      </c>
      <c r="D1062">
        <f>D1061-0.1*B1062+0</f>
        <v/>
      </c>
      <c r="E1062">
        <f>Parameters!$B$25</f>
        <v/>
      </c>
    </row>
    <row r="1063">
      <c r="A1063" t="n">
        <v>106.1</v>
      </c>
      <c r="B1063">
        <f>IF(A1063&gt;162.1,Parameters!$B$5,Parameters!$B$4)</f>
        <v/>
      </c>
      <c r="C1063">
        <f>C1062-0.1*B1063+0</f>
        <v/>
      </c>
      <c r="D1063">
        <f>D1062-0.1*B1063+0</f>
        <v/>
      </c>
      <c r="E1063">
        <f>Parameters!$B$25</f>
        <v/>
      </c>
    </row>
    <row r="1064">
      <c r="A1064" t="n">
        <v>106.2</v>
      </c>
      <c r="B1064">
        <f>IF(A1064&gt;162.1,Parameters!$B$5,Parameters!$B$4)</f>
        <v/>
      </c>
      <c r="C1064">
        <f>C1063-0.1*B1064+0</f>
        <v/>
      </c>
      <c r="D1064">
        <f>D1063-0.1*B1064+0</f>
        <v/>
      </c>
      <c r="E1064">
        <f>Parameters!$B$25</f>
        <v/>
      </c>
    </row>
    <row r="1065">
      <c r="A1065" t="n">
        <v>106.3</v>
      </c>
      <c r="B1065">
        <f>IF(A1065&gt;162.1,Parameters!$B$5,Parameters!$B$4)</f>
        <v/>
      </c>
      <c r="C1065">
        <f>C1064-0.1*B1065+0</f>
        <v/>
      </c>
      <c r="D1065">
        <f>D1064-0.1*B1065+0</f>
        <v/>
      </c>
      <c r="E1065">
        <f>Parameters!$B$25</f>
        <v/>
      </c>
    </row>
    <row r="1066">
      <c r="A1066" t="n">
        <v>106.4</v>
      </c>
      <c r="B1066">
        <f>IF(A1066&gt;162.1,Parameters!$B$5,Parameters!$B$4)</f>
        <v/>
      </c>
      <c r="C1066">
        <f>C1065-0.1*B1066+0</f>
        <v/>
      </c>
      <c r="D1066">
        <f>D1065-0.1*B1066+0</f>
        <v/>
      </c>
      <c r="E1066">
        <f>Parameters!$B$25</f>
        <v/>
      </c>
    </row>
    <row r="1067">
      <c r="A1067" t="n">
        <v>106.5</v>
      </c>
      <c r="B1067">
        <f>IF(A1067&gt;162.1,Parameters!$B$5,Parameters!$B$4)</f>
        <v/>
      </c>
      <c r="C1067">
        <f>C1066-0.1*B1067+0</f>
        <v/>
      </c>
      <c r="D1067">
        <f>D1066-0.1*B1067+0</f>
        <v/>
      </c>
      <c r="E1067">
        <f>Parameters!$B$25</f>
        <v/>
      </c>
    </row>
    <row r="1068">
      <c r="A1068" t="n">
        <v>106.6</v>
      </c>
      <c r="B1068">
        <f>IF(A1068&gt;162.1,Parameters!$B$5,Parameters!$B$4)</f>
        <v/>
      </c>
      <c r="C1068">
        <f>C1067-0.1*B1068+0</f>
        <v/>
      </c>
      <c r="D1068">
        <f>D1067-0.1*B1068+0</f>
        <v/>
      </c>
      <c r="E1068">
        <f>Parameters!$B$25</f>
        <v/>
      </c>
    </row>
    <row r="1069">
      <c r="A1069" t="n">
        <v>106.7</v>
      </c>
      <c r="B1069">
        <f>IF(A1069&gt;162.1,Parameters!$B$5,Parameters!$B$4)</f>
        <v/>
      </c>
      <c r="C1069">
        <f>C1068-0.1*B1069+0</f>
        <v/>
      </c>
      <c r="D1069">
        <f>D1068-0.1*B1069+0</f>
        <v/>
      </c>
      <c r="E1069">
        <f>Parameters!$B$25</f>
        <v/>
      </c>
    </row>
    <row r="1070">
      <c r="A1070" t="n">
        <v>106.8</v>
      </c>
      <c r="B1070">
        <f>IF(A1070&gt;162.1,Parameters!$B$5,Parameters!$B$4)</f>
        <v/>
      </c>
      <c r="C1070">
        <f>C1069-0.1*B1070+0</f>
        <v/>
      </c>
      <c r="D1070">
        <f>D1069-0.1*B1070+0</f>
        <v/>
      </c>
      <c r="E1070">
        <f>Parameters!$B$25</f>
        <v/>
      </c>
    </row>
    <row r="1071">
      <c r="A1071" t="n">
        <v>106.9</v>
      </c>
      <c r="B1071">
        <f>IF(A1071&gt;162.1,Parameters!$B$5,Parameters!$B$4)</f>
        <v/>
      </c>
      <c r="C1071">
        <f>C1070-0.1*B1071+0</f>
        <v/>
      </c>
      <c r="D1071">
        <f>D1070-0.1*B1071+0</f>
        <v/>
      </c>
      <c r="E1071">
        <f>Parameters!$B$25</f>
        <v/>
      </c>
    </row>
    <row r="1072">
      <c r="A1072" t="n">
        <v>107</v>
      </c>
      <c r="B1072">
        <f>IF(A1072&gt;162.1,Parameters!$B$5,Parameters!$B$4)</f>
        <v/>
      </c>
      <c r="C1072">
        <f>C1071-0.1*B1072+0</f>
        <v/>
      </c>
      <c r="D1072">
        <f>D1071-0.1*B1072+0</f>
        <v/>
      </c>
      <c r="E1072">
        <f>Parameters!$B$25</f>
        <v/>
      </c>
    </row>
    <row r="1073">
      <c r="A1073" t="n">
        <v>107.1</v>
      </c>
      <c r="B1073">
        <f>IF(A1073&gt;162.1,Parameters!$B$5,Parameters!$B$4)</f>
        <v/>
      </c>
      <c r="C1073">
        <f>C1072-0.1*B1073+0</f>
        <v/>
      </c>
      <c r="D1073">
        <f>D1072-0.1*B1073+0</f>
        <v/>
      </c>
      <c r="E1073">
        <f>Parameters!$B$25</f>
        <v/>
      </c>
    </row>
    <row r="1074">
      <c r="A1074" t="n">
        <v>107.2</v>
      </c>
      <c r="B1074">
        <f>IF(A1074&gt;162.1,Parameters!$B$5,Parameters!$B$4)</f>
        <v/>
      </c>
      <c r="C1074">
        <f>C1073-0.1*B1074+0</f>
        <v/>
      </c>
      <c r="D1074">
        <f>D1073-0.1*B1074+0</f>
        <v/>
      </c>
      <c r="E1074">
        <f>Parameters!$B$25</f>
        <v/>
      </c>
    </row>
    <row r="1075">
      <c r="A1075" t="n">
        <v>107.3</v>
      </c>
      <c r="B1075">
        <f>IF(A1075&gt;162.1,Parameters!$B$5,Parameters!$B$4)</f>
        <v/>
      </c>
      <c r="C1075">
        <f>C1074-0.1*B1075+0</f>
        <v/>
      </c>
      <c r="D1075">
        <f>D1074-0.1*B1075+0</f>
        <v/>
      </c>
      <c r="E1075">
        <f>Parameters!$B$25</f>
        <v/>
      </c>
    </row>
    <row r="1076">
      <c r="A1076" t="n">
        <v>107.4</v>
      </c>
      <c r="B1076">
        <f>IF(A1076&gt;162.1,Parameters!$B$5,Parameters!$B$4)</f>
        <v/>
      </c>
      <c r="C1076">
        <f>C1075-0.1*B1076+0</f>
        <v/>
      </c>
      <c r="D1076">
        <f>D1075-0.1*B1076+0</f>
        <v/>
      </c>
      <c r="E1076">
        <f>Parameters!$B$25</f>
        <v/>
      </c>
    </row>
    <row r="1077">
      <c r="A1077" t="n">
        <v>107.5</v>
      </c>
      <c r="B1077">
        <f>IF(A1077&gt;162.1,Parameters!$B$5,Parameters!$B$4)</f>
        <v/>
      </c>
      <c r="C1077">
        <f>C1076-0.1*B1077+0</f>
        <v/>
      </c>
      <c r="D1077">
        <f>D1076-0.1*B1077+0</f>
        <v/>
      </c>
      <c r="E1077">
        <f>Parameters!$B$25</f>
        <v/>
      </c>
    </row>
    <row r="1078">
      <c r="A1078" t="n">
        <v>107.6</v>
      </c>
      <c r="B1078">
        <f>IF(A1078&gt;162.1,Parameters!$B$5,Parameters!$B$4)</f>
        <v/>
      </c>
      <c r="C1078">
        <f>C1077-0.1*B1078+0</f>
        <v/>
      </c>
      <c r="D1078">
        <f>D1077-0.1*B1078+0</f>
        <v/>
      </c>
      <c r="E1078">
        <f>Parameters!$B$25</f>
        <v/>
      </c>
    </row>
    <row r="1079">
      <c r="A1079" t="n">
        <v>107.7</v>
      </c>
      <c r="B1079">
        <f>IF(A1079&gt;162.1,Parameters!$B$5,Parameters!$B$4)</f>
        <v/>
      </c>
      <c r="C1079">
        <f>C1078-0.1*B1079+0</f>
        <v/>
      </c>
      <c r="D1079">
        <f>D1078-0.1*B1079+0</f>
        <v/>
      </c>
      <c r="E1079">
        <f>Parameters!$B$25</f>
        <v/>
      </c>
    </row>
    <row r="1080">
      <c r="A1080" t="n">
        <v>107.8</v>
      </c>
      <c r="B1080">
        <f>IF(A1080&gt;162.1,Parameters!$B$5,Parameters!$B$4)</f>
        <v/>
      </c>
      <c r="C1080">
        <f>C1079-0.1*B1080+0</f>
        <v/>
      </c>
      <c r="D1080">
        <f>D1079-0.1*B1080+0</f>
        <v/>
      </c>
      <c r="E1080">
        <f>Parameters!$B$25</f>
        <v/>
      </c>
    </row>
    <row r="1081">
      <c r="A1081" t="n">
        <v>107.9</v>
      </c>
      <c r="B1081">
        <f>IF(A1081&gt;162.1,Parameters!$B$5,Parameters!$B$4)</f>
        <v/>
      </c>
      <c r="C1081">
        <f>C1080-0.1*B1081+0</f>
        <v/>
      </c>
      <c r="D1081">
        <f>D1080-0.1*B1081+0</f>
        <v/>
      </c>
      <c r="E1081">
        <f>Parameters!$B$25</f>
        <v/>
      </c>
    </row>
    <row r="1082">
      <c r="A1082" t="n">
        <v>108</v>
      </c>
      <c r="B1082">
        <f>IF(A1082&gt;162.1,Parameters!$B$5,Parameters!$B$4)</f>
        <v/>
      </c>
      <c r="C1082">
        <f>C1081-0.1*B1082+0</f>
        <v/>
      </c>
      <c r="D1082">
        <f>D1081-0.1*B1082+0</f>
        <v/>
      </c>
      <c r="E1082">
        <f>Parameters!$B$25</f>
        <v/>
      </c>
    </row>
    <row r="1083">
      <c r="A1083" t="n">
        <v>108.1</v>
      </c>
      <c r="B1083">
        <f>IF(A1083&gt;162.1,Parameters!$B$5,Parameters!$B$4)</f>
        <v/>
      </c>
      <c r="C1083">
        <f>C1082-0.1*B1083+0</f>
        <v/>
      </c>
      <c r="D1083">
        <f>D1082-0.1*B1083+0</f>
        <v/>
      </c>
      <c r="E1083">
        <f>Parameters!$B$25</f>
        <v/>
      </c>
    </row>
    <row r="1084">
      <c r="A1084" t="n">
        <v>108.2</v>
      </c>
      <c r="B1084">
        <f>IF(A1084&gt;162.1,Parameters!$B$5,Parameters!$B$4)</f>
        <v/>
      </c>
      <c r="C1084">
        <f>C1083-0.1*B1084+0</f>
        <v/>
      </c>
      <c r="D1084">
        <f>D1083-0.1*B1084+0</f>
        <v/>
      </c>
      <c r="E1084">
        <f>Parameters!$B$25</f>
        <v/>
      </c>
    </row>
    <row r="1085">
      <c r="A1085" t="n">
        <v>108.3</v>
      </c>
      <c r="B1085">
        <f>IF(A1085&gt;162.1,Parameters!$B$5,Parameters!$B$4)</f>
        <v/>
      </c>
      <c r="C1085">
        <f>C1084-0.1*B1085+0</f>
        <v/>
      </c>
      <c r="D1085">
        <f>D1084-0.1*B1085+0</f>
        <v/>
      </c>
      <c r="E1085">
        <f>Parameters!$B$25</f>
        <v/>
      </c>
    </row>
    <row r="1086">
      <c r="A1086" t="n">
        <v>108.4</v>
      </c>
      <c r="B1086">
        <f>IF(A1086&gt;162.1,Parameters!$B$5,Parameters!$B$4)</f>
        <v/>
      </c>
      <c r="C1086">
        <f>C1085-0.1*B1086+0</f>
        <v/>
      </c>
      <c r="D1086">
        <f>D1085-0.1*B1086+0</f>
        <v/>
      </c>
      <c r="E1086">
        <f>Parameters!$B$25</f>
        <v/>
      </c>
    </row>
    <row r="1087">
      <c r="A1087" t="n">
        <v>108.5</v>
      </c>
      <c r="B1087">
        <f>IF(A1087&gt;162.1,Parameters!$B$5,Parameters!$B$4)</f>
        <v/>
      </c>
      <c r="C1087">
        <f>C1086-0.1*B1087+0</f>
        <v/>
      </c>
      <c r="D1087">
        <f>D1086-0.1*B1087+0</f>
        <v/>
      </c>
      <c r="E1087">
        <f>Parameters!$B$25</f>
        <v/>
      </c>
    </row>
    <row r="1088">
      <c r="A1088" t="n">
        <v>108.6</v>
      </c>
      <c r="B1088">
        <f>IF(A1088&gt;162.1,Parameters!$B$5,Parameters!$B$4)</f>
        <v/>
      </c>
      <c r="C1088">
        <f>C1087-0.1*B1088+0</f>
        <v/>
      </c>
      <c r="D1088">
        <f>D1087-0.1*B1088+0</f>
        <v/>
      </c>
      <c r="E1088">
        <f>Parameters!$B$25</f>
        <v/>
      </c>
    </row>
    <row r="1089">
      <c r="A1089" t="n">
        <v>108.7</v>
      </c>
      <c r="B1089">
        <f>IF(A1089&gt;162.1,Parameters!$B$5,Parameters!$B$4)</f>
        <v/>
      </c>
      <c r="C1089">
        <f>C1088-0.1*B1089+0</f>
        <v/>
      </c>
      <c r="D1089">
        <f>D1088-0.1*B1089+0</f>
        <v/>
      </c>
      <c r="E1089">
        <f>Parameters!$B$25</f>
        <v/>
      </c>
    </row>
    <row r="1090">
      <c r="A1090" t="n">
        <v>108.8</v>
      </c>
      <c r="B1090">
        <f>IF(A1090&gt;162.1,Parameters!$B$5,Parameters!$B$4)</f>
        <v/>
      </c>
      <c r="C1090">
        <f>C1089-0.1*B1090+0</f>
        <v/>
      </c>
      <c r="D1090">
        <f>D1089-0.1*B1090+0</f>
        <v/>
      </c>
      <c r="E1090">
        <f>Parameters!$B$25</f>
        <v/>
      </c>
    </row>
    <row r="1091">
      <c r="A1091" t="n">
        <v>108.9</v>
      </c>
      <c r="B1091">
        <f>IF(A1091&gt;162.1,Parameters!$B$5,Parameters!$B$4)</f>
        <v/>
      </c>
      <c r="C1091">
        <f>C1090-0.1*B1091+0</f>
        <v/>
      </c>
      <c r="D1091">
        <f>D1090-0.1*B1091+0</f>
        <v/>
      </c>
      <c r="E1091">
        <f>Parameters!$B$25</f>
        <v/>
      </c>
    </row>
    <row r="1092">
      <c r="A1092" t="n">
        <v>109</v>
      </c>
      <c r="B1092">
        <f>IF(A1092&gt;162.1,Parameters!$B$5,Parameters!$B$4)</f>
        <v/>
      </c>
      <c r="C1092">
        <f>C1091-0.1*B1092+0</f>
        <v/>
      </c>
      <c r="D1092">
        <f>D1091-0.1*B1092+0</f>
        <v/>
      </c>
      <c r="E1092">
        <f>Parameters!$B$25</f>
        <v/>
      </c>
    </row>
    <row r="1093">
      <c r="A1093" t="n">
        <v>109.1</v>
      </c>
      <c r="B1093">
        <f>IF(A1093&gt;162.1,Parameters!$B$5,Parameters!$B$4)</f>
        <v/>
      </c>
      <c r="C1093">
        <f>C1092-0.1*B1093+0</f>
        <v/>
      </c>
      <c r="D1093">
        <f>D1092-0.1*B1093+0</f>
        <v/>
      </c>
      <c r="E1093">
        <f>Parameters!$B$25</f>
        <v/>
      </c>
    </row>
    <row r="1094">
      <c r="A1094" t="n">
        <v>109.2</v>
      </c>
      <c r="B1094">
        <f>IF(A1094&gt;162.1,Parameters!$B$5,Parameters!$B$4)</f>
        <v/>
      </c>
      <c r="C1094">
        <f>C1093-0.1*B1094+0</f>
        <v/>
      </c>
      <c r="D1094">
        <f>D1093-0.1*B1094+0</f>
        <v/>
      </c>
      <c r="E1094">
        <f>Parameters!$B$25</f>
        <v/>
      </c>
    </row>
    <row r="1095">
      <c r="A1095" t="n">
        <v>109.3</v>
      </c>
      <c r="B1095">
        <f>IF(A1095&gt;162.1,Parameters!$B$5,Parameters!$B$4)</f>
        <v/>
      </c>
      <c r="C1095">
        <f>C1094-0.1*B1095+0</f>
        <v/>
      </c>
      <c r="D1095">
        <f>D1094-0.1*B1095+0</f>
        <v/>
      </c>
      <c r="E1095">
        <f>Parameters!$B$25</f>
        <v/>
      </c>
    </row>
    <row r="1096">
      <c r="A1096" t="n">
        <v>109.4</v>
      </c>
      <c r="B1096">
        <f>IF(A1096&gt;162.1,Parameters!$B$5,Parameters!$B$4)</f>
        <v/>
      </c>
      <c r="C1096">
        <f>C1095-0.1*B1096+0</f>
        <v/>
      </c>
      <c r="D1096">
        <f>D1095-0.1*B1096+0</f>
        <v/>
      </c>
      <c r="E1096">
        <f>Parameters!$B$25</f>
        <v/>
      </c>
    </row>
    <row r="1097">
      <c r="A1097" t="n">
        <v>109.5</v>
      </c>
      <c r="B1097">
        <f>IF(A1097&gt;162.1,Parameters!$B$5,Parameters!$B$4)</f>
        <v/>
      </c>
      <c r="C1097">
        <f>C1096-0.1*B1097+0</f>
        <v/>
      </c>
      <c r="D1097">
        <f>D1096-0.1*B1097+0</f>
        <v/>
      </c>
      <c r="E1097">
        <f>Parameters!$B$25</f>
        <v/>
      </c>
    </row>
    <row r="1098">
      <c r="A1098" t="n">
        <v>109.6</v>
      </c>
      <c r="B1098">
        <f>IF(A1098&gt;162.1,Parameters!$B$5,Parameters!$B$4)</f>
        <v/>
      </c>
      <c r="C1098">
        <f>C1097-0.1*B1098+0</f>
        <v/>
      </c>
      <c r="D1098">
        <f>D1097-0.1*B1098+0</f>
        <v/>
      </c>
      <c r="E1098">
        <f>Parameters!$B$25</f>
        <v/>
      </c>
    </row>
    <row r="1099">
      <c r="A1099" t="n">
        <v>109.7</v>
      </c>
      <c r="B1099">
        <f>IF(A1099&gt;162.1,Parameters!$B$5,Parameters!$B$4)</f>
        <v/>
      </c>
      <c r="C1099">
        <f>C1098-0.1*B1099+0</f>
        <v/>
      </c>
      <c r="D1099">
        <f>D1098-0.1*B1099+0</f>
        <v/>
      </c>
      <c r="E1099">
        <f>Parameters!$B$25</f>
        <v/>
      </c>
    </row>
    <row r="1100">
      <c r="A1100" t="n">
        <v>109.8</v>
      </c>
      <c r="B1100">
        <f>IF(A1100&gt;162.1,Parameters!$B$5,Parameters!$B$4)</f>
        <v/>
      </c>
      <c r="C1100">
        <f>C1099-0.1*B1100+0</f>
        <v/>
      </c>
      <c r="D1100">
        <f>D1099-0.1*B1100+0</f>
        <v/>
      </c>
      <c r="E1100">
        <f>Parameters!$B$25</f>
        <v/>
      </c>
    </row>
    <row r="1101">
      <c r="A1101" t="n">
        <v>109.9</v>
      </c>
      <c r="B1101">
        <f>IF(A1101&gt;162.1,Parameters!$B$5,Parameters!$B$4)</f>
        <v/>
      </c>
      <c r="C1101">
        <f>C1100-0.1*B1101+0</f>
        <v/>
      </c>
      <c r="D1101">
        <f>D1100-0.1*B1101+0</f>
        <v/>
      </c>
      <c r="E1101">
        <f>Parameters!$B$25</f>
        <v/>
      </c>
    </row>
    <row r="1102">
      <c r="A1102" t="n">
        <v>110</v>
      </c>
      <c r="B1102">
        <f>IF(A1102&gt;162.1,Parameters!$B$5,Parameters!$B$4)</f>
        <v/>
      </c>
      <c r="C1102">
        <f>C1101-0.1*B1102+0</f>
        <v/>
      </c>
      <c r="D1102">
        <f>D1101-0.1*B1102+0</f>
        <v/>
      </c>
      <c r="E1102">
        <f>Parameters!$B$25</f>
        <v/>
      </c>
    </row>
    <row r="1103">
      <c r="A1103" t="n">
        <v>110.1</v>
      </c>
      <c r="B1103">
        <f>IF(A1103&gt;162.1,Parameters!$B$5,Parameters!$B$4)</f>
        <v/>
      </c>
      <c r="C1103">
        <f>C1102-0.1*B1103+0</f>
        <v/>
      </c>
      <c r="D1103">
        <f>D1102-0.1*B1103+0</f>
        <v/>
      </c>
      <c r="E1103">
        <f>Parameters!$B$25</f>
        <v/>
      </c>
    </row>
    <row r="1104">
      <c r="A1104" t="n">
        <v>110.2</v>
      </c>
      <c r="B1104">
        <f>IF(A1104&gt;162.1,Parameters!$B$5,Parameters!$B$4)</f>
        <v/>
      </c>
      <c r="C1104">
        <f>C1103-0.1*B1104+0</f>
        <v/>
      </c>
      <c r="D1104">
        <f>D1103-0.1*B1104+0</f>
        <v/>
      </c>
      <c r="E1104">
        <f>Parameters!$B$25</f>
        <v/>
      </c>
    </row>
    <row r="1105">
      <c r="A1105" t="n">
        <v>110.3</v>
      </c>
      <c r="B1105">
        <f>IF(A1105&gt;162.1,Parameters!$B$5,Parameters!$B$4)</f>
        <v/>
      </c>
      <c r="C1105">
        <f>C1104-0.1*B1105+0</f>
        <v/>
      </c>
      <c r="D1105">
        <f>D1104-0.1*B1105+0</f>
        <v/>
      </c>
      <c r="E1105">
        <f>Parameters!$B$25</f>
        <v/>
      </c>
    </row>
    <row r="1106">
      <c r="A1106" t="n">
        <v>110.4</v>
      </c>
      <c r="B1106">
        <f>IF(A1106&gt;162.1,Parameters!$B$5,Parameters!$B$4)</f>
        <v/>
      </c>
      <c r="C1106">
        <f>C1105-0.1*B1106+0</f>
        <v/>
      </c>
      <c r="D1106">
        <f>D1105-0.1*B1106+0</f>
        <v/>
      </c>
      <c r="E1106">
        <f>Parameters!$B$25</f>
        <v/>
      </c>
    </row>
    <row r="1107">
      <c r="A1107" t="n">
        <v>110.5</v>
      </c>
      <c r="B1107">
        <f>IF(A1107&gt;162.1,Parameters!$B$5,Parameters!$B$4)</f>
        <v/>
      </c>
      <c r="C1107">
        <f>C1106-0.1*B1107+0</f>
        <v/>
      </c>
      <c r="D1107">
        <f>D1106-0.1*B1107+0</f>
        <v/>
      </c>
      <c r="E1107">
        <f>Parameters!$B$25</f>
        <v/>
      </c>
    </row>
    <row r="1108">
      <c r="A1108" t="n">
        <v>110.6</v>
      </c>
      <c r="B1108">
        <f>IF(A1108&gt;162.1,Parameters!$B$5,Parameters!$B$4)</f>
        <v/>
      </c>
      <c r="C1108">
        <f>C1107-0.1*B1108+0</f>
        <v/>
      </c>
      <c r="D1108">
        <f>D1107-0.1*B1108+0</f>
        <v/>
      </c>
      <c r="E1108">
        <f>Parameters!$B$25</f>
        <v/>
      </c>
    </row>
    <row r="1109">
      <c r="A1109" t="n">
        <v>110.7</v>
      </c>
      <c r="B1109">
        <f>IF(A1109&gt;162.1,Parameters!$B$5,Parameters!$B$4)</f>
        <v/>
      </c>
      <c r="C1109">
        <f>C1108-0.1*B1109+0</f>
        <v/>
      </c>
      <c r="D1109">
        <f>D1108-0.1*B1109+0</f>
        <v/>
      </c>
      <c r="E1109">
        <f>Parameters!$B$25</f>
        <v/>
      </c>
    </row>
    <row r="1110">
      <c r="A1110" t="n">
        <v>110.8</v>
      </c>
      <c r="B1110">
        <f>IF(A1110&gt;162.1,Parameters!$B$5,Parameters!$B$4)</f>
        <v/>
      </c>
      <c r="C1110">
        <f>C1109-0.1*B1110+0</f>
        <v/>
      </c>
      <c r="D1110">
        <f>D1109-0.1*B1110+0</f>
        <v/>
      </c>
      <c r="E1110">
        <f>Parameters!$B$25</f>
        <v/>
      </c>
    </row>
    <row r="1111">
      <c r="A1111" t="n">
        <v>110.9</v>
      </c>
      <c r="B1111">
        <f>IF(A1111&gt;162.1,Parameters!$B$5,Parameters!$B$4)</f>
        <v/>
      </c>
      <c r="C1111">
        <f>C1110-0.1*B1111+0</f>
        <v/>
      </c>
      <c r="D1111">
        <f>D1110-0.1*B1111+0</f>
        <v/>
      </c>
      <c r="E1111">
        <f>Parameters!$B$25</f>
        <v/>
      </c>
    </row>
    <row r="1112">
      <c r="A1112" t="n">
        <v>111</v>
      </c>
      <c r="B1112">
        <f>IF(A1112&gt;162.1,Parameters!$B$5,Parameters!$B$4)</f>
        <v/>
      </c>
      <c r="C1112">
        <f>C1111-0.1*B1112+0</f>
        <v/>
      </c>
      <c r="D1112">
        <f>D1111-0.1*B1112+0</f>
        <v/>
      </c>
      <c r="E1112">
        <f>Parameters!$B$25</f>
        <v/>
      </c>
    </row>
    <row r="1113">
      <c r="A1113" t="n">
        <v>111.1</v>
      </c>
      <c r="B1113">
        <f>IF(A1113&gt;162.1,Parameters!$B$5,Parameters!$B$4)</f>
        <v/>
      </c>
      <c r="C1113">
        <f>C1112-0.1*B1113+0</f>
        <v/>
      </c>
      <c r="D1113">
        <f>D1112-0.1*B1113+0</f>
        <v/>
      </c>
      <c r="E1113">
        <f>Parameters!$B$25</f>
        <v/>
      </c>
    </row>
    <row r="1114">
      <c r="A1114" t="n">
        <v>111.2</v>
      </c>
      <c r="B1114">
        <f>IF(A1114&gt;162.1,Parameters!$B$5,Parameters!$B$4)</f>
        <v/>
      </c>
      <c r="C1114">
        <f>C1113-0.1*B1114+0</f>
        <v/>
      </c>
      <c r="D1114">
        <f>D1113-0.1*B1114+0</f>
        <v/>
      </c>
      <c r="E1114">
        <f>Parameters!$B$25</f>
        <v/>
      </c>
    </row>
    <row r="1115">
      <c r="A1115" t="n">
        <v>111.3</v>
      </c>
      <c r="B1115">
        <f>IF(A1115&gt;162.1,Parameters!$B$5,Parameters!$B$4)</f>
        <v/>
      </c>
      <c r="C1115">
        <f>C1114-0.1*B1115+0</f>
        <v/>
      </c>
      <c r="D1115">
        <f>D1114-0.1*B1115+0</f>
        <v/>
      </c>
      <c r="E1115">
        <f>Parameters!$B$25</f>
        <v/>
      </c>
    </row>
    <row r="1116">
      <c r="A1116" t="n">
        <v>111.4</v>
      </c>
      <c r="B1116">
        <f>IF(A1116&gt;162.1,Parameters!$B$5,Parameters!$B$4)</f>
        <v/>
      </c>
      <c r="C1116">
        <f>C1115-0.1*B1116+0</f>
        <v/>
      </c>
      <c r="D1116">
        <f>D1115-0.1*B1116+0</f>
        <v/>
      </c>
      <c r="E1116">
        <f>Parameters!$B$25</f>
        <v/>
      </c>
    </row>
    <row r="1117">
      <c r="A1117" t="n">
        <v>111.5</v>
      </c>
      <c r="B1117">
        <f>IF(A1117&gt;162.1,Parameters!$B$5,Parameters!$B$4)</f>
        <v/>
      </c>
      <c r="C1117">
        <f>C1116-0.1*B1117+0</f>
        <v/>
      </c>
      <c r="D1117">
        <f>D1116-0.1*B1117+0</f>
        <v/>
      </c>
      <c r="E1117">
        <f>Parameters!$B$25</f>
        <v/>
      </c>
    </row>
    <row r="1118">
      <c r="A1118" t="n">
        <v>111.6</v>
      </c>
      <c r="B1118">
        <f>IF(A1118&gt;162.1,Parameters!$B$5,Parameters!$B$4)</f>
        <v/>
      </c>
      <c r="C1118">
        <f>C1117-0.1*B1118+0</f>
        <v/>
      </c>
      <c r="D1118">
        <f>D1117-0.1*B1118+0</f>
        <v/>
      </c>
      <c r="E1118">
        <f>Parameters!$B$25</f>
        <v/>
      </c>
    </row>
    <row r="1119">
      <c r="A1119" t="n">
        <v>111.7</v>
      </c>
      <c r="B1119">
        <f>IF(A1119&gt;162.1,Parameters!$B$5,Parameters!$B$4)</f>
        <v/>
      </c>
      <c r="C1119">
        <f>C1118-0.1*B1119+0</f>
        <v/>
      </c>
      <c r="D1119">
        <f>D1118-0.1*B1119+0</f>
        <v/>
      </c>
      <c r="E1119">
        <f>Parameters!$B$25</f>
        <v/>
      </c>
    </row>
    <row r="1120">
      <c r="A1120" t="n">
        <v>111.8</v>
      </c>
      <c r="B1120">
        <f>IF(A1120&gt;162.1,Parameters!$B$5,Parameters!$B$4)</f>
        <v/>
      </c>
      <c r="C1120">
        <f>C1119-0.1*B1120+0</f>
        <v/>
      </c>
      <c r="D1120">
        <f>D1119-0.1*B1120+0</f>
        <v/>
      </c>
      <c r="E1120">
        <f>Parameters!$B$25</f>
        <v/>
      </c>
    </row>
    <row r="1121">
      <c r="A1121" t="n">
        <v>111.9</v>
      </c>
      <c r="B1121">
        <f>IF(A1121&gt;162.1,Parameters!$B$5,Parameters!$B$4)</f>
        <v/>
      </c>
      <c r="C1121">
        <f>C1120-0.1*B1121+0</f>
        <v/>
      </c>
      <c r="D1121">
        <f>D1120-0.1*B1121+0</f>
        <v/>
      </c>
      <c r="E1121">
        <f>Parameters!$B$25</f>
        <v/>
      </c>
    </row>
    <row r="1122">
      <c r="A1122" t="n">
        <v>112</v>
      </c>
      <c r="B1122">
        <f>IF(A1122&gt;162.1,Parameters!$B$5,Parameters!$B$4)</f>
        <v/>
      </c>
      <c r="C1122">
        <f>C1121-0.1*B1122+0</f>
        <v/>
      </c>
      <c r="D1122">
        <f>D1121-0.1*B1122+0</f>
        <v/>
      </c>
      <c r="E1122">
        <f>Parameters!$B$25</f>
        <v/>
      </c>
    </row>
    <row r="1123">
      <c r="A1123" t="n">
        <v>112.1</v>
      </c>
      <c r="B1123">
        <f>IF(A1123&gt;162.1,Parameters!$B$5,Parameters!$B$4)</f>
        <v/>
      </c>
      <c r="C1123">
        <f>C1122-0.1*B1123+0</f>
        <v/>
      </c>
      <c r="D1123">
        <f>D1122-0.1*B1123+0</f>
        <v/>
      </c>
      <c r="E1123">
        <f>Parameters!$B$25</f>
        <v/>
      </c>
    </row>
    <row r="1124">
      <c r="A1124" t="n">
        <v>112.2</v>
      </c>
      <c r="B1124">
        <f>IF(A1124&gt;162.1,Parameters!$B$5,Parameters!$B$4)</f>
        <v/>
      </c>
      <c r="C1124">
        <f>C1123-0.1*B1124+0</f>
        <v/>
      </c>
      <c r="D1124">
        <f>D1123-0.1*B1124+0</f>
        <v/>
      </c>
      <c r="E1124">
        <f>Parameters!$B$25</f>
        <v/>
      </c>
    </row>
    <row r="1125">
      <c r="A1125" t="n">
        <v>112.3</v>
      </c>
      <c r="B1125">
        <f>IF(A1125&gt;162.1,Parameters!$B$5,Parameters!$B$4)</f>
        <v/>
      </c>
      <c r="C1125">
        <f>C1124-0.1*B1125+0</f>
        <v/>
      </c>
      <c r="D1125">
        <f>D1124-0.1*B1125+0</f>
        <v/>
      </c>
      <c r="E1125">
        <f>Parameters!$B$25</f>
        <v/>
      </c>
    </row>
    <row r="1126">
      <c r="A1126" t="n">
        <v>112.4</v>
      </c>
      <c r="B1126">
        <f>IF(A1126&gt;162.1,Parameters!$B$5,Parameters!$B$4)</f>
        <v/>
      </c>
      <c r="C1126">
        <f>C1125-0.1*B1126+0</f>
        <v/>
      </c>
      <c r="D1126">
        <f>D1125-0.1*B1126+0</f>
        <v/>
      </c>
      <c r="E1126">
        <f>Parameters!$B$25</f>
        <v/>
      </c>
    </row>
    <row r="1127">
      <c r="A1127" t="n">
        <v>112.5</v>
      </c>
      <c r="B1127">
        <f>IF(A1127&gt;162.1,Parameters!$B$5,Parameters!$B$4)</f>
        <v/>
      </c>
      <c r="C1127">
        <f>C1126-0.1*B1127+0</f>
        <v/>
      </c>
      <c r="D1127">
        <f>D1126-0.1*B1127+0</f>
        <v/>
      </c>
      <c r="E1127">
        <f>Parameters!$B$25</f>
        <v/>
      </c>
    </row>
    <row r="1128">
      <c r="A1128" t="n">
        <v>112.6</v>
      </c>
      <c r="B1128">
        <f>IF(A1128&gt;162.1,Parameters!$B$5,Parameters!$B$4)</f>
        <v/>
      </c>
      <c r="C1128">
        <f>C1127-0.1*B1128+0</f>
        <v/>
      </c>
      <c r="D1128">
        <f>D1127-0.1*B1128+0</f>
        <v/>
      </c>
      <c r="E1128">
        <f>Parameters!$B$25</f>
        <v/>
      </c>
    </row>
    <row r="1129">
      <c r="A1129" t="n">
        <v>112.7</v>
      </c>
      <c r="B1129">
        <f>IF(A1129&gt;162.1,Parameters!$B$5,Parameters!$B$4)</f>
        <v/>
      </c>
      <c r="C1129">
        <f>C1128-0.1*B1129+0</f>
        <v/>
      </c>
      <c r="D1129">
        <f>D1128-0.1*B1129+0</f>
        <v/>
      </c>
      <c r="E1129">
        <f>Parameters!$B$25</f>
        <v/>
      </c>
    </row>
    <row r="1130">
      <c r="A1130" t="n">
        <v>112.8</v>
      </c>
      <c r="B1130">
        <f>IF(A1130&gt;162.1,Parameters!$B$5,Parameters!$B$4)</f>
        <v/>
      </c>
      <c r="C1130">
        <f>C1129-0.1*B1130+0</f>
        <v/>
      </c>
      <c r="D1130">
        <f>D1129-0.1*B1130+0</f>
        <v/>
      </c>
      <c r="E1130">
        <f>Parameters!$B$25</f>
        <v/>
      </c>
    </row>
    <row r="1131">
      <c r="A1131" t="n">
        <v>112.9</v>
      </c>
      <c r="B1131">
        <f>IF(A1131&gt;162.1,Parameters!$B$5,Parameters!$B$4)</f>
        <v/>
      </c>
      <c r="C1131">
        <f>C1130-0.1*B1131+0</f>
        <v/>
      </c>
      <c r="D1131">
        <f>D1130-0.1*B1131+0</f>
        <v/>
      </c>
      <c r="E1131">
        <f>Parameters!$B$25</f>
        <v/>
      </c>
    </row>
    <row r="1132">
      <c r="A1132" t="n">
        <v>113</v>
      </c>
      <c r="B1132">
        <f>IF(A1132&gt;162.1,Parameters!$B$5,Parameters!$B$4)</f>
        <v/>
      </c>
      <c r="C1132">
        <f>C1131-0.1*B1132+0</f>
        <v/>
      </c>
      <c r="D1132">
        <f>D1131-0.1*B1132+0</f>
        <v/>
      </c>
      <c r="E1132">
        <f>Parameters!$B$25</f>
        <v/>
      </c>
    </row>
    <row r="1133">
      <c r="A1133" t="n">
        <v>113.1</v>
      </c>
      <c r="B1133">
        <f>IF(A1133&gt;162.1,Parameters!$B$5,Parameters!$B$4)</f>
        <v/>
      </c>
      <c r="C1133">
        <f>C1132-0.1*B1133+0</f>
        <v/>
      </c>
      <c r="D1133">
        <f>D1132-0.1*B1133+0</f>
        <v/>
      </c>
      <c r="E1133">
        <f>Parameters!$B$25</f>
        <v/>
      </c>
    </row>
    <row r="1134">
      <c r="A1134" t="n">
        <v>113.2</v>
      </c>
      <c r="B1134">
        <f>IF(A1134&gt;162.1,Parameters!$B$5,Parameters!$B$4)</f>
        <v/>
      </c>
      <c r="C1134">
        <f>C1133-0.1*B1134+0</f>
        <v/>
      </c>
      <c r="D1134">
        <f>D1133-0.1*B1134+0</f>
        <v/>
      </c>
      <c r="E1134">
        <f>Parameters!$B$25</f>
        <v/>
      </c>
    </row>
    <row r="1135">
      <c r="A1135" t="n">
        <v>113.3</v>
      </c>
      <c r="B1135">
        <f>IF(A1135&gt;162.1,Parameters!$B$5,Parameters!$B$4)</f>
        <v/>
      </c>
      <c r="C1135">
        <f>C1134-0.1*B1135+0</f>
        <v/>
      </c>
      <c r="D1135">
        <f>D1134-0.1*B1135+0</f>
        <v/>
      </c>
      <c r="E1135">
        <f>Parameters!$B$25</f>
        <v/>
      </c>
    </row>
    <row r="1136">
      <c r="A1136" t="n">
        <v>113.4</v>
      </c>
      <c r="B1136">
        <f>IF(A1136&gt;162.1,Parameters!$B$5,Parameters!$B$4)</f>
        <v/>
      </c>
      <c r="C1136">
        <f>C1135-0.1*B1136+0</f>
        <v/>
      </c>
      <c r="D1136">
        <f>D1135-0.1*B1136+0</f>
        <v/>
      </c>
      <c r="E1136">
        <f>Parameters!$B$25</f>
        <v/>
      </c>
    </row>
    <row r="1137">
      <c r="A1137" t="n">
        <v>113.5</v>
      </c>
      <c r="B1137">
        <f>IF(A1137&gt;162.1,Parameters!$B$5,Parameters!$B$4)</f>
        <v/>
      </c>
      <c r="C1137">
        <f>C1136-0.1*B1137+0</f>
        <v/>
      </c>
      <c r="D1137">
        <f>D1136-0.1*B1137+0</f>
        <v/>
      </c>
      <c r="E1137">
        <f>Parameters!$B$25</f>
        <v/>
      </c>
    </row>
    <row r="1138">
      <c r="A1138" t="n">
        <v>113.6</v>
      </c>
      <c r="B1138">
        <f>IF(A1138&gt;162.1,Parameters!$B$5,Parameters!$B$4)</f>
        <v/>
      </c>
      <c r="C1138">
        <f>C1137-0.1*B1138+0</f>
        <v/>
      </c>
      <c r="D1138">
        <f>D1137-0.1*B1138+0</f>
        <v/>
      </c>
      <c r="E1138">
        <f>Parameters!$B$25</f>
        <v/>
      </c>
    </row>
    <row r="1139">
      <c r="A1139" t="n">
        <v>113.7</v>
      </c>
      <c r="B1139">
        <f>IF(A1139&gt;162.1,Parameters!$B$5,Parameters!$B$4)</f>
        <v/>
      </c>
      <c r="C1139">
        <f>C1138-0.1*B1139+0</f>
        <v/>
      </c>
      <c r="D1139">
        <f>D1138-0.1*B1139+0</f>
        <v/>
      </c>
      <c r="E1139">
        <f>Parameters!$B$25</f>
        <v/>
      </c>
    </row>
    <row r="1140">
      <c r="A1140" t="n">
        <v>113.8</v>
      </c>
      <c r="B1140">
        <f>IF(A1140&gt;162.1,Parameters!$B$5,Parameters!$B$4)</f>
        <v/>
      </c>
      <c r="C1140">
        <f>C1139-0.1*B1140+0</f>
        <v/>
      </c>
      <c r="D1140">
        <f>D1139-0.1*B1140+0</f>
        <v/>
      </c>
      <c r="E1140">
        <f>Parameters!$B$25</f>
        <v/>
      </c>
    </row>
    <row r="1141">
      <c r="A1141" t="n">
        <v>113.9</v>
      </c>
      <c r="B1141">
        <f>IF(A1141&gt;162.1,Parameters!$B$5,Parameters!$B$4)</f>
        <v/>
      </c>
      <c r="C1141">
        <f>C1140-0.1*B1141+0</f>
        <v/>
      </c>
      <c r="D1141">
        <f>D1140-0.1*B1141+0</f>
        <v/>
      </c>
      <c r="E1141">
        <f>Parameters!$B$25</f>
        <v/>
      </c>
    </row>
    <row r="1142">
      <c r="A1142" t="n">
        <v>114</v>
      </c>
      <c r="B1142">
        <f>IF(A1142&gt;162.1,Parameters!$B$5,Parameters!$B$4)</f>
        <v/>
      </c>
      <c r="C1142">
        <f>C1141-0.1*B1142+0</f>
        <v/>
      </c>
      <c r="D1142">
        <f>D1141-0.1*B1142+0</f>
        <v/>
      </c>
      <c r="E1142">
        <f>Parameters!$B$25</f>
        <v/>
      </c>
    </row>
    <row r="1143">
      <c r="A1143" t="n">
        <v>114.1</v>
      </c>
      <c r="B1143">
        <f>IF(A1143&gt;162.1,Parameters!$B$5,Parameters!$B$4)</f>
        <v/>
      </c>
      <c r="C1143">
        <f>C1142-0.1*B1143+0</f>
        <v/>
      </c>
      <c r="D1143">
        <f>D1142-0.1*B1143+0</f>
        <v/>
      </c>
      <c r="E1143">
        <f>Parameters!$B$25</f>
        <v/>
      </c>
    </row>
    <row r="1144">
      <c r="A1144" t="n">
        <v>114.2</v>
      </c>
      <c r="B1144">
        <f>IF(A1144&gt;162.1,Parameters!$B$5,Parameters!$B$4)</f>
        <v/>
      </c>
      <c r="C1144">
        <f>C1143-0.1*B1144+0</f>
        <v/>
      </c>
      <c r="D1144">
        <f>D1143-0.1*B1144+0</f>
        <v/>
      </c>
      <c r="E1144">
        <f>Parameters!$B$25</f>
        <v/>
      </c>
    </row>
    <row r="1145">
      <c r="A1145" t="n">
        <v>114.3</v>
      </c>
      <c r="B1145">
        <f>IF(A1145&gt;162.1,Parameters!$B$5,Parameters!$B$4)</f>
        <v/>
      </c>
      <c r="C1145">
        <f>C1144-0.1*B1145+0</f>
        <v/>
      </c>
      <c r="D1145">
        <f>D1144-0.1*B1145+0</f>
        <v/>
      </c>
      <c r="E1145">
        <f>Parameters!$B$25</f>
        <v/>
      </c>
    </row>
    <row r="1146">
      <c r="A1146" t="n">
        <v>114.4</v>
      </c>
      <c r="B1146">
        <f>IF(A1146&gt;162.1,Parameters!$B$5,Parameters!$B$4)</f>
        <v/>
      </c>
      <c r="C1146">
        <f>C1145-0.1*B1146+0</f>
        <v/>
      </c>
      <c r="D1146">
        <f>D1145-0.1*B1146+0</f>
        <v/>
      </c>
      <c r="E1146">
        <f>Parameters!$B$25</f>
        <v/>
      </c>
    </row>
    <row r="1147">
      <c r="A1147" t="n">
        <v>114.5</v>
      </c>
      <c r="B1147">
        <f>IF(A1147&gt;162.1,Parameters!$B$5,Parameters!$B$4)</f>
        <v/>
      </c>
      <c r="C1147">
        <f>C1146-0.1*B1147+0</f>
        <v/>
      </c>
      <c r="D1147">
        <f>D1146-0.1*B1147+0</f>
        <v/>
      </c>
      <c r="E1147">
        <f>Parameters!$B$25</f>
        <v/>
      </c>
    </row>
    <row r="1148">
      <c r="A1148" t="n">
        <v>114.6</v>
      </c>
      <c r="B1148">
        <f>IF(A1148&gt;162.1,Parameters!$B$5,Parameters!$B$4)</f>
        <v/>
      </c>
      <c r="C1148">
        <f>C1147-0.1*B1148+0</f>
        <v/>
      </c>
      <c r="D1148">
        <f>D1147-0.1*B1148+0</f>
        <v/>
      </c>
      <c r="E1148">
        <f>Parameters!$B$25</f>
        <v/>
      </c>
    </row>
    <row r="1149">
      <c r="A1149" t="n">
        <v>114.7</v>
      </c>
      <c r="B1149">
        <f>IF(A1149&gt;162.1,Parameters!$B$5,Parameters!$B$4)</f>
        <v/>
      </c>
      <c r="C1149">
        <f>C1148-0.1*B1149+0</f>
        <v/>
      </c>
      <c r="D1149">
        <f>D1148-0.1*B1149+0</f>
        <v/>
      </c>
      <c r="E1149">
        <f>Parameters!$B$25</f>
        <v/>
      </c>
    </row>
    <row r="1150">
      <c r="A1150" t="n">
        <v>114.8</v>
      </c>
      <c r="B1150">
        <f>IF(A1150&gt;162.1,Parameters!$B$5,Parameters!$B$4)</f>
        <v/>
      </c>
      <c r="C1150">
        <f>C1149-0.1*B1150+0</f>
        <v/>
      </c>
      <c r="D1150">
        <f>D1149-0.1*B1150+0</f>
        <v/>
      </c>
      <c r="E1150">
        <f>Parameters!$B$25</f>
        <v/>
      </c>
    </row>
    <row r="1151">
      <c r="A1151" t="n">
        <v>114.9</v>
      </c>
      <c r="B1151">
        <f>IF(A1151&gt;162.1,Parameters!$B$5,Parameters!$B$4)</f>
        <v/>
      </c>
      <c r="C1151">
        <f>C1150-0.1*B1151+0</f>
        <v/>
      </c>
      <c r="D1151">
        <f>D1150-0.1*B1151+0</f>
        <v/>
      </c>
      <c r="E1151">
        <f>Parameters!$B$25</f>
        <v/>
      </c>
    </row>
    <row r="1152">
      <c r="A1152" t="n">
        <v>115</v>
      </c>
      <c r="B1152">
        <f>IF(A1152&gt;162.1,Parameters!$B$5,Parameters!$B$4)</f>
        <v/>
      </c>
      <c r="C1152">
        <f>C1151-0.1*B1152+0</f>
        <v/>
      </c>
      <c r="D1152">
        <f>D1151-0.1*B1152+0</f>
        <v/>
      </c>
      <c r="E1152">
        <f>Parameters!$B$25</f>
        <v/>
      </c>
    </row>
    <row r="1153">
      <c r="A1153" t="n">
        <v>115.1</v>
      </c>
      <c r="B1153">
        <f>IF(A1153&gt;162.1,Parameters!$B$5,Parameters!$B$4)</f>
        <v/>
      </c>
      <c r="C1153">
        <f>C1152-0.1*B1153+0</f>
        <v/>
      </c>
      <c r="D1153">
        <f>D1152-0.1*B1153+0</f>
        <v/>
      </c>
      <c r="E1153">
        <f>Parameters!$B$25</f>
        <v/>
      </c>
    </row>
    <row r="1154">
      <c r="A1154" t="n">
        <v>115.2</v>
      </c>
      <c r="B1154">
        <f>IF(A1154&gt;162.1,Parameters!$B$5,Parameters!$B$4)</f>
        <v/>
      </c>
      <c r="C1154">
        <f>C1153-0.1*B1154+0</f>
        <v/>
      </c>
      <c r="D1154">
        <f>D1153-0.1*B1154+0</f>
        <v/>
      </c>
      <c r="E1154">
        <f>Parameters!$B$25</f>
        <v/>
      </c>
    </row>
    <row r="1155">
      <c r="A1155" t="n">
        <v>115.3</v>
      </c>
      <c r="B1155">
        <f>IF(A1155&gt;162.1,Parameters!$B$5,Parameters!$B$4)</f>
        <v/>
      </c>
      <c r="C1155">
        <f>C1154-0.1*B1155+0</f>
        <v/>
      </c>
      <c r="D1155">
        <f>D1154-0.1*B1155+0</f>
        <v/>
      </c>
      <c r="E1155">
        <f>Parameters!$B$25</f>
        <v/>
      </c>
    </row>
    <row r="1156">
      <c r="A1156" t="n">
        <v>115.4</v>
      </c>
      <c r="B1156">
        <f>IF(A1156&gt;162.1,Parameters!$B$5,Parameters!$B$4)</f>
        <v/>
      </c>
      <c r="C1156">
        <f>C1155-0.1*B1156+0</f>
        <v/>
      </c>
      <c r="D1156">
        <f>D1155-0.1*B1156+0</f>
        <v/>
      </c>
      <c r="E1156">
        <f>Parameters!$B$25</f>
        <v/>
      </c>
    </row>
    <row r="1157">
      <c r="A1157" t="n">
        <v>115.5</v>
      </c>
      <c r="B1157">
        <f>IF(A1157&gt;162.1,Parameters!$B$5,Parameters!$B$4)</f>
        <v/>
      </c>
      <c r="C1157">
        <f>C1156-0.1*B1157+0</f>
        <v/>
      </c>
      <c r="D1157">
        <f>D1156-0.1*B1157+0</f>
        <v/>
      </c>
      <c r="E1157">
        <f>Parameters!$B$25</f>
        <v/>
      </c>
    </row>
    <row r="1158">
      <c r="A1158" t="n">
        <v>115.6</v>
      </c>
      <c r="B1158">
        <f>IF(A1158&gt;162.1,Parameters!$B$5,Parameters!$B$4)</f>
        <v/>
      </c>
      <c r="C1158">
        <f>C1157-0.1*B1158+0</f>
        <v/>
      </c>
      <c r="D1158">
        <f>D1157-0.1*B1158+0</f>
        <v/>
      </c>
      <c r="E1158">
        <f>Parameters!$B$25</f>
        <v/>
      </c>
    </row>
    <row r="1159">
      <c r="A1159" t="n">
        <v>115.7</v>
      </c>
      <c r="B1159">
        <f>IF(A1159&gt;162.1,Parameters!$B$5,Parameters!$B$4)</f>
        <v/>
      </c>
      <c r="C1159">
        <f>C1158-0.1*B1159+0</f>
        <v/>
      </c>
      <c r="D1159">
        <f>D1158-0.1*B1159+0</f>
        <v/>
      </c>
      <c r="E1159">
        <f>Parameters!$B$25</f>
        <v/>
      </c>
    </row>
    <row r="1160">
      <c r="A1160" t="n">
        <v>115.8</v>
      </c>
      <c r="B1160">
        <f>IF(A1160&gt;162.1,Parameters!$B$5,Parameters!$B$4)</f>
        <v/>
      </c>
      <c r="C1160">
        <f>C1159-0.1*B1160+0</f>
        <v/>
      </c>
      <c r="D1160">
        <f>D1159-0.1*B1160+0</f>
        <v/>
      </c>
      <c r="E1160">
        <f>Parameters!$B$25</f>
        <v/>
      </c>
    </row>
    <row r="1161">
      <c r="A1161" t="n">
        <v>115.9</v>
      </c>
      <c r="B1161">
        <f>IF(A1161&gt;162.1,Parameters!$B$5,Parameters!$B$4)</f>
        <v/>
      </c>
      <c r="C1161">
        <f>C1160-0.1*B1161+0</f>
        <v/>
      </c>
      <c r="D1161">
        <f>D1160-0.1*B1161+0</f>
        <v/>
      </c>
      <c r="E1161">
        <f>Parameters!$B$25</f>
        <v/>
      </c>
    </row>
    <row r="1162">
      <c r="A1162" t="n">
        <v>116</v>
      </c>
      <c r="B1162">
        <f>IF(A1162&gt;162.1,Parameters!$B$5,Parameters!$B$4)</f>
        <v/>
      </c>
      <c r="C1162">
        <f>C1161-0.1*B1162+0</f>
        <v/>
      </c>
      <c r="D1162">
        <f>D1161-0.1*B1162+0</f>
        <v/>
      </c>
      <c r="E1162">
        <f>Parameters!$B$25</f>
        <v/>
      </c>
    </row>
    <row r="1163">
      <c r="A1163" t="n">
        <v>116.1</v>
      </c>
      <c r="B1163">
        <f>IF(A1163&gt;162.1,Parameters!$B$5,Parameters!$B$4)</f>
        <v/>
      </c>
      <c r="C1163">
        <f>C1162-0.1*B1163+0</f>
        <v/>
      </c>
      <c r="D1163">
        <f>D1162-0.1*B1163+0</f>
        <v/>
      </c>
      <c r="E1163">
        <f>Parameters!$B$25</f>
        <v/>
      </c>
    </row>
    <row r="1164">
      <c r="A1164" t="n">
        <v>116.2</v>
      </c>
      <c r="B1164">
        <f>IF(A1164&gt;162.1,Parameters!$B$5,Parameters!$B$4)</f>
        <v/>
      </c>
      <c r="C1164">
        <f>C1163-0.1*B1164+0</f>
        <v/>
      </c>
      <c r="D1164">
        <f>D1163-0.1*B1164+0</f>
        <v/>
      </c>
      <c r="E1164">
        <f>Parameters!$B$25</f>
        <v/>
      </c>
    </row>
    <row r="1165">
      <c r="A1165" t="n">
        <v>116.3</v>
      </c>
      <c r="B1165">
        <f>IF(A1165&gt;162.1,Parameters!$B$5,Parameters!$B$4)</f>
        <v/>
      </c>
      <c r="C1165">
        <f>C1164-0.1*B1165+0</f>
        <v/>
      </c>
      <c r="D1165">
        <f>D1164-0.1*B1165+0</f>
        <v/>
      </c>
      <c r="E1165">
        <f>Parameters!$B$25</f>
        <v/>
      </c>
    </row>
    <row r="1166">
      <c r="A1166" t="n">
        <v>116.4</v>
      </c>
      <c r="B1166">
        <f>IF(A1166&gt;162.1,Parameters!$B$5,Parameters!$B$4)</f>
        <v/>
      </c>
      <c r="C1166">
        <f>C1165-0.1*B1166+0</f>
        <v/>
      </c>
      <c r="D1166">
        <f>D1165-0.1*B1166+0</f>
        <v/>
      </c>
      <c r="E1166">
        <f>Parameters!$B$25</f>
        <v/>
      </c>
    </row>
    <row r="1167">
      <c r="A1167" t="n">
        <v>116.5</v>
      </c>
      <c r="B1167">
        <f>IF(A1167&gt;162.1,Parameters!$B$5,Parameters!$B$4)</f>
        <v/>
      </c>
      <c r="C1167">
        <f>C1166-0.1*B1167+0</f>
        <v/>
      </c>
      <c r="D1167">
        <f>D1166-0.1*B1167+0</f>
        <v/>
      </c>
      <c r="E1167">
        <f>Parameters!$B$25</f>
        <v/>
      </c>
    </row>
    <row r="1168">
      <c r="A1168" t="n">
        <v>116.6</v>
      </c>
      <c r="B1168">
        <f>IF(A1168&gt;162.1,Parameters!$B$5,Parameters!$B$4)</f>
        <v/>
      </c>
      <c r="C1168">
        <f>C1167-0.1*B1168+0</f>
        <v/>
      </c>
      <c r="D1168">
        <f>D1167-0.1*B1168+0</f>
        <v/>
      </c>
      <c r="E1168">
        <f>Parameters!$B$25</f>
        <v/>
      </c>
    </row>
    <row r="1169">
      <c r="A1169" t="n">
        <v>116.7</v>
      </c>
      <c r="B1169">
        <f>IF(A1169&gt;162.1,Parameters!$B$5,Parameters!$B$4)</f>
        <v/>
      </c>
      <c r="C1169">
        <f>C1168-0.1*B1169+0</f>
        <v/>
      </c>
      <c r="D1169">
        <f>D1168-0.1*B1169+0</f>
        <v/>
      </c>
      <c r="E1169">
        <f>Parameters!$B$25</f>
        <v/>
      </c>
    </row>
    <row r="1170">
      <c r="A1170" t="n">
        <v>116.8</v>
      </c>
      <c r="B1170">
        <f>IF(A1170&gt;162.1,Parameters!$B$5,Parameters!$B$4)</f>
        <v/>
      </c>
      <c r="C1170">
        <f>C1169-0.1*B1170+0</f>
        <v/>
      </c>
      <c r="D1170">
        <f>D1169-0.1*B1170+0</f>
        <v/>
      </c>
      <c r="E1170">
        <f>Parameters!$B$25</f>
        <v/>
      </c>
    </row>
    <row r="1171">
      <c r="A1171" t="n">
        <v>116.9</v>
      </c>
      <c r="B1171">
        <f>IF(A1171&gt;162.1,Parameters!$B$5,Parameters!$B$4)</f>
        <v/>
      </c>
      <c r="C1171">
        <f>C1170-0.1*B1171+0</f>
        <v/>
      </c>
      <c r="D1171">
        <f>D1170-0.1*B1171+0</f>
        <v/>
      </c>
      <c r="E1171">
        <f>Parameters!$B$25</f>
        <v/>
      </c>
    </row>
    <row r="1172">
      <c r="A1172" t="n">
        <v>117</v>
      </c>
      <c r="B1172">
        <f>IF(A1172&gt;162.1,Parameters!$B$5,Parameters!$B$4)</f>
        <v/>
      </c>
      <c r="C1172">
        <f>C1171-0.1*B1172+0</f>
        <v/>
      </c>
      <c r="D1172">
        <f>D1171-0.1*B1172+0</f>
        <v/>
      </c>
      <c r="E1172">
        <f>Parameters!$B$25</f>
        <v/>
      </c>
    </row>
    <row r="1173">
      <c r="A1173" t="n">
        <v>117.1</v>
      </c>
      <c r="B1173">
        <f>IF(A1173&gt;162.1,Parameters!$B$5,Parameters!$B$4)</f>
        <v/>
      </c>
      <c r="C1173">
        <f>C1172-0.1*B1173+0</f>
        <v/>
      </c>
      <c r="D1173">
        <f>D1172-0.1*B1173+0</f>
        <v/>
      </c>
      <c r="E1173">
        <f>Parameters!$B$25</f>
        <v/>
      </c>
    </row>
    <row r="1174">
      <c r="A1174" t="n">
        <v>117.2</v>
      </c>
      <c r="B1174">
        <f>IF(A1174&gt;162.1,Parameters!$B$5,Parameters!$B$4)</f>
        <v/>
      </c>
      <c r="C1174">
        <f>C1173-0.1*B1174+0</f>
        <v/>
      </c>
      <c r="D1174">
        <f>D1173-0.1*B1174+0</f>
        <v/>
      </c>
      <c r="E1174">
        <f>Parameters!$B$25</f>
        <v/>
      </c>
    </row>
    <row r="1175">
      <c r="A1175" t="n">
        <v>117.3</v>
      </c>
      <c r="B1175">
        <f>IF(A1175&gt;162.1,Parameters!$B$5,Parameters!$B$4)</f>
        <v/>
      </c>
      <c r="C1175">
        <f>C1174-0.1*B1175+0</f>
        <v/>
      </c>
      <c r="D1175">
        <f>D1174-0.1*B1175+0</f>
        <v/>
      </c>
      <c r="E1175">
        <f>Parameters!$B$25</f>
        <v/>
      </c>
    </row>
    <row r="1176">
      <c r="A1176" t="n">
        <v>117.4</v>
      </c>
      <c r="B1176">
        <f>IF(A1176&gt;162.1,Parameters!$B$5,Parameters!$B$4)</f>
        <v/>
      </c>
      <c r="C1176">
        <f>C1175-0.1*B1176+0</f>
        <v/>
      </c>
      <c r="D1176">
        <f>D1175-0.1*B1176+0</f>
        <v/>
      </c>
      <c r="E1176">
        <f>Parameters!$B$25</f>
        <v/>
      </c>
    </row>
    <row r="1177">
      <c r="A1177" t="n">
        <v>117.5</v>
      </c>
      <c r="B1177">
        <f>IF(A1177&gt;162.1,Parameters!$B$5,Parameters!$B$4)</f>
        <v/>
      </c>
      <c r="C1177">
        <f>C1176-0.1*B1177+0</f>
        <v/>
      </c>
      <c r="D1177">
        <f>D1176-0.1*B1177+0</f>
        <v/>
      </c>
      <c r="E1177">
        <f>Parameters!$B$25</f>
        <v/>
      </c>
    </row>
    <row r="1178">
      <c r="A1178" t="n">
        <v>117.6</v>
      </c>
      <c r="B1178">
        <f>IF(A1178&gt;162.1,Parameters!$B$5,Parameters!$B$4)</f>
        <v/>
      </c>
      <c r="C1178">
        <f>C1177-0.1*B1178+0</f>
        <v/>
      </c>
      <c r="D1178">
        <f>D1177-0.1*B1178+0</f>
        <v/>
      </c>
      <c r="E1178">
        <f>Parameters!$B$25</f>
        <v/>
      </c>
    </row>
    <row r="1179">
      <c r="A1179" t="n">
        <v>117.7</v>
      </c>
      <c r="B1179">
        <f>IF(A1179&gt;162.1,Parameters!$B$5,Parameters!$B$4)</f>
        <v/>
      </c>
      <c r="C1179">
        <f>C1178-0.1*B1179+0</f>
        <v/>
      </c>
      <c r="D1179">
        <f>D1178-0.1*B1179+0</f>
        <v/>
      </c>
      <c r="E1179">
        <f>Parameters!$B$25</f>
        <v/>
      </c>
    </row>
    <row r="1180">
      <c r="A1180" t="n">
        <v>117.8</v>
      </c>
      <c r="B1180">
        <f>IF(A1180&gt;162.1,Parameters!$B$5,Parameters!$B$4)</f>
        <v/>
      </c>
      <c r="C1180">
        <f>C1179-0.1*B1180+0</f>
        <v/>
      </c>
      <c r="D1180">
        <f>D1179-0.1*B1180+0</f>
        <v/>
      </c>
      <c r="E1180">
        <f>Parameters!$B$25</f>
        <v/>
      </c>
    </row>
    <row r="1181">
      <c r="A1181" t="n">
        <v>117.9</v>
      </c>
      <c r="B1181">
        <f>IF(A1181&gt;162.1,Parameters!$B$5,Parameters!$B$4)</f>
        <v/>
      </c>
      <c r="C1181">
        <f>C1180-0.1*B1181+0</f>
        <v/>
      </c>
      <c r="D1181">
        <f>D1180-0.1*B1181+0</f>
        <v/>
      </c>
      <c r="E1181">
        <f>Parameters!$B$25</f>
        <v/>
      </c>
    </row>
    <row r="1182">
      <c r="A1182" t="n">
        <v>118</v>
      </c>
      <c r="B1182">
        <f>IF(A1182&gt;162.1,Parameters!$B$5,Parameters!$B$4)</f>
        <v/>
      </c>
      <c r="C1182">
        <f>C1181-0.1*B1182+0</f>
        <v/>
      </c>
      <c r="D1182">
        <f>D1181-0.1*B1182+0</f>
        <v/>
      </c>
      <c r="E1182">
        <f>Parameters!$B$25</f>
        <v/>
      </c>
    </row>
    <row r="1183">
      <c r="A1183" t="n">
        <v>118.1</v>
      </c>
      <c r="B1183">
        <f>IF(A1183&gt;162.1,Parameters!$B$5,Parameters!$B$4)</f>
        <v/>
      </c>
      <c r="C1183">
        <f>C1182-0.1*B1183+0</f>
        <v/>
      </c>
      <c r="D1183">
        <f>D1182-0.1*B1183+0</f>
        <v/>
      </c>
      <c r="E1183">
        <f>Parameters!$B$25</f>
        <v/>
      </c>
    </row>
    <row r="1184">
      <c r="A1184" t="n">
        <v>118.2</v>
      </c>
      <c r="B1184">
        <f>IF(A1184&gt;162.1,Parameters!$B$5,Parameters!$B$4)</f>
        <v/>
      </c>
      <c r="C1184">
        <f>C1183-0.1*B1184+0</f>
        <v/>
      </c>
      <c r="D1184">
        <f>D1183-0.1*B1184+0</f>
        <v/>
      </c>
      <c r="E1184">
        <f>Parameters!$B$25</f>
        <v/>
      </c>
    </row>
    <row r="1185">
      <c r="A1185" t="n">
        <v>118.3</v>
      </c>
      <c r="B1185">
        <f>IF(A1185&gt;162.1,Parameters!$B$5,Parameters!$B$4)</f>
        <v/>
      </c>
      <c r="C1185">
        <f>C1184-0.1*B1185+0</f>
        <v/>
      </c>
      <c r="D1185">
        <f>D1184-0.1*B1185+0</f>
        <v/>
      </c>
      <c r="E1185">
        <f>Parameters!$B$25</f>
        <v/>
      </c>
    </row>
    <row r="1186">
      <c r="A1186" t="n">
        <v>118.4</v>
      </c>
      <c r="B1186">
        <f>IF(A1186&gt;162.1,Parameters!$B$5,Parameters!$B$4)</f>
        <v/>
      </c>
      <c r="C1186">
        <f>C1185-0.1*B1186+0</f>
        <v/>
      </c>
      <c r="D1186">
        <f>D1185-0.1*B1186+0</f>
        <v/>
      </c>
      <c r="E1186">
        <f>Parameters!$B$25</f>
        <v/>
      </c>
    </row>
    <row r="1187">
      <c r="A1187" t="n">
        <v>118.5</v>
      </c>
      <c r="B1187">
        <f>IF(A1187&gt;162.1,Parameters!$B$5,Parameters!$B$4)</f>
        <v/>
      </c>
      <c r="C1187">
        <f>C1186-0.1*B1187+0</f>
        <v/>
      </c>
      <c r="D1187">
        <f>D1186-0.1*B1187+0</f>
        <v/>
      </c>
      <c r="E1187">
        <f>Parameters!$B$25</f>
        <v/>
      </c>
    </row>
    <row r="1188">
      <c r="A1188" t="n">
        <v>118.6</v>
      </c>
      <c r="B1188">
        <f>IF(A1188&gt;162.1,Parameters!$B$5,Parameters!$B$4)</f>
        <v/>
      </c>
      <c r="C1188">
        <f>C1187-0.1*B1188+0</f>
        <v/>
      </c>
      <c r="D1188">
        <f>D1187-0.1*B1188+0</f>
        <v/>
      </c>
      <c r="E1188">
        <f>Parameters!$B$25</f>
        <v/>
      </c>
    </row>
    <row r="1189">
      <c r="A1189" t="n">
        <v>118.7</v>
      </c>
      <c r="B1189">
        <f>IF(A1189&gt;162.1,Parameters!$B$5,Parameters!$B$4)</f>
        <v/>
      </c>
      <c r="C1189">
        <f>C1188-0.1*B1189+0</f>
        <v/>
      </c>
      <c r="D1189">
        <f>D1188-0.1*B1189+0</f>
        <v/>
      </c>
      <c r="E1189">
        <f>Parameters!$B$25</f>
        <v/>
      </c>
    </row>
    <row r="1190">
      <c r="A1190" t="n">
        <v>118.8</v>
      </c>
      <c r="B1190">
        <f>IF(A1190&gt;162.1,Parameters!$B$5,Parameters!$B$4)</f>
        <v/>
      </c>
      <c r="C1190">
        <f>C1189-0.1*B1190+0</f>
        <v/>
      </c>
      <c r="D1190">
        <f>D1189-0.1*B1190+0</f>
        <v/>
      </c>
      <c r="E1190">
        <f>Parameters!$B$25</f>
        <v/>
      </c>
    </row>
    <row r="1191">
      <c r="A1191" t="n">
        <v>118.9</v>
      </c>
      <c r="B1191">
        <f>IF(A1191&gt;162.1,Parameters!$B$5,Parameters!$B$4)</f>
        <v/>
      </c>
      <c r="C1191">
        <f>C1190-0.1*B1191+0</f>
        <v/>
      </c>
      <c r="D1191">
        <f>D1190-0.1*B1191+0</f>
        <v/>
      </c>
      <c r="E1191">
        <f>Parameters!$B$25</f>
        <v/>
      </c>
    </row>
    <row r="1192">
      <c r="A1192" t="n">
        <v>119</v>
      </c>
      <c r="B1192">
        <f>IF(A1192&gt;162.1,Parameters!$B$5,Parameters!$B$4)</f>
        <v/>
      </c>
      <c r="C1192">
        <f>C1191-0.1*B1192+0</f>
        <v/>
      </c>
      <c r="D1192">
        <f>D1191-0.1*B1192+0</f>
        <v/>
      </c>
      <c r="E1192">
        <f>Parameters!$B$25</f>
        <v/>
      </c>
    </row>
    <row r="1193">
      <c r="A1193" t="n">
        <v>119.1</v>
      </c>
      <c r="B1193">
        <f>IF(A1193&gt;162.1,Parameters!$B$5,Parameters!$B$4)</f>
        <v/>
      </c>
      <c r="C1193">
        <f>C1192-0.1*B1193+0</f>
        <v/>
      </c>
      <c r="D1193">
        <f>D1192-0.1*B1193+0</f>
        <v/>
      </c>
      <c r="E1193">
        <f>Parameters!$B$25</f>
        <v/>
      </c>
    </row>
    <row r="1194">
      <c r="A1194" t="n">
        <v>119.2</v>
      </c>
      <c r="B1194">
        <f>IF(A1194&gt;162.1,Parameters!$B$5,Parameters!$B$4)</f>
        <v/>
      </c>
      <c r="C1194">
        <f>C1193-0.1*B1194+0</f>
        <v/>
      </c>
      <c r="D1194">
        <f>D1193-0.1*B1194+0</f>
        <v/>
      </c>
      <c r="E1194">
        <f>Parameters!$B$25</f>
        <v/>
      </c>
    </row>
    <row r="1195">
      <c r="A1195" t="n">
        <v>119.3</v>
      </c>
      <c r="B1195">
        <f>IF(A1195&gt;162.1,Parameters!$B$5,Parameters!$B$4)</f>
        <v/>
      </c>
      <c r="C1195">
        <f>C1194-0.1*B1195+0</f>
        <v/>
      </c>
      <c r="D1195">
        <f>D1194-0.1*B1195+0</f>
        <v/>
      </c>
      <c r="E1195">
        <f>Parameters!$B$25</f>
        <v/>
      </c>
    </row>
    <row r="1196">
      <c r="A1196" t="n">
        <v>119.4</v>
      </c>
      <c r="B1196">
        <f>IF(A1196&gt;162.1,Parameters!$B$5,Parameters!$B$4)</f>
        <v/>
      </c>
      <c r="C1196">
        <f>C1195-0.1*B1196+0</f>
        <v/>
      </c>
      <c r="D1196">
        <f>D1195-0.1*B1196+0</f>
        <v/>
      </c>
      <c r="E1196">
        <f>Parameters!$B$25</f>
        <v/>
      </c>
    </row>
    <row r="1197">
      <c r="A1197" t="n">
        <v>119.5</v>
      </c>
      <c r="B1197">
        <f>IF(A1197&gt;162.1,Parameters!$B$5,Parameters!$B$4)</f>
        <v/>
      </c>
      <c r="C1197">
        <f>C1196-0.1*B1197+0</f>
        <v/>
      </c>
      <c r="D1197">
        <f>D1196-0.1*B1197+0</f>
        <v/>
      </c>
      <c r="E1197">
        <f>Parameters!$B$25</f>
        <v/>
      </c>
    </row>
    <row r="1198">
      <c r="A1198" t="n">
        <v>119.6</v>
      </c>
      <c r="B1198">
        <f>IF(A1198&gt;162.1,Parameters!$B$5,Parameters!$B$4)</f>
        <v/>
      </c>
      <c r="C1198">
        <f>C1197-0.1*B1198+0</f>
        <v/>
      </c>
      <c r="D1198">
        <f>D1197-0.1*B1198+0</f>
        <v/>
      </c>
      <c r="E1198">
        <f>Parameters!$B$25</f>
        <v/>
      </c>
    </row>
    <row r="1199">
      <c r="A1199" t="n">
        <v>119.7</v>
      </c>
      <c r="B1199">
        <f>IF(A1199&gt;162.1,Parameters!$B$5,Parameters!$B$4)</f>
        <v/>
      </c>
      <c r="C1199">
        <f>C1198-0.1*B1199+0</f>
        <v/>
      </c>
      <c r="D1199">
        <f>D1198-0.1*B1199+0</f>
        <v/>
      </c>
      <c r="E1199">
        <f>Parameters!$B$25</f>
        <v/>
      </c>
    </row>
    <row r="1200">
      <c r="A1200" t="n">
        <v>119.8</v>
      </c>
      <c r="B1200">
        <f>IF(A1200&gt;162.1,Parameters!$B$5,Parameters!$B$4)</f>
        <v/>
      </c>
      <c r="C1200">
        <f>C1199-0.1*B1200+0</f>
        <v/>
      </c>
      <c r="D1200">
        <f>D1199-0.1*B1200+0</f>
        <v/>
      </c>
      <c r="E1200">
        <f>Parameters!$B$25</f>
        <v/>
      </c>
    </row>
    <row r="1201">
      <c r="A1201" t="n">
        <v>119.9</v>
      </c>
      <c r="B1201">
        <f>IF(A1201&gt;162.1,Parameters!$B$5,Parameters!$B$4)</f>
        <v/>
      </c>
      <c r="C1201">
        <f>C1200-0.1*B1201+0</f>
        <v/>
      </c>
      <c r="D1201">
        <f>D1200-0.1*B1201+0</f>
        <v/>
      </c>
      <c r="E1201">
        <f>Parameters!$B$25</f>
        <v/>
      </c>
    </row>
    <row r="1202">
      <c r="A1202" t="n">
        <v>120</v>
      </c>
      <c r="B1202">
        <f>IF(A1202&gt;162.1,Parameters!$B$5,Parameters!$B$4)</f>
        <v/>
      </c>
      <c r="C1202">
        <f>C1201-0.1*B1202+0</f>
        <v/>
      </c>
      <c r="D1202">
        <f>D1201-0.1*B1202+0</f>
        <v/>
      </c>
      <c r="E1202">
        <f>Parameters!$B$25</f>
        <v/>
      </c>
    </row>
    <row r="1203">
      <c r="A1203" t="n">
        <v>120.1</v>
      </c>
      <c r="B1203">
        <f>IF(A1203&gt;162.1,Parameters!$B$5,Parameters!$B$4)</f>
        <v/>
      </c>
      <c r="C1203">
        <f>C1202-0.1*B1203+0</f>
        <v/>
      </c>
      <c r="D1203">
        <f>D1202-0.1*B1203+0</f>
        <v/>
      </c>
      <c r="E1203">
        <f>Parameters!$B$25</f>
        <v/>
      </c>
    </row>
    <row r="1204">
      <c r="A1204" t="n">
        <v>120.2</v>
      </c>
      <c r="B1204">
        <f>IF(A1204&gt;162.1,Parameters!$B$5,Parameters!$B$4)</f>
        <v/>
      </c>
      <c r="C1204">
        <f>C1203-0.1*B1204+0</f>
        <v/>
      </c>
      <c r="D1204">
        <f>D1203-0.1*B1204+0</f>
        <v/>
      </c>
      <c r="E1204">
        <f>Parameters!$B$25</f>
        <v/>
      </c>
    </row>
    <row r="1205">
      <c r="A1205" t="n">
        <v>120.3</v>
      </c>
      <c r="B1205">
        <f>IF(A1205&gt;162.1,Parameters!$B$5,Parameters!$B$4)</f>
        <v/>
      </c>
      <c r="C1205">
        <f>C1204-0.1*B1205+0</f>
        <v/>
      </c>
      <c r="D1205">
        <f>D1204-0.1*B1205+0</f>
        <v/>
      </c>
      <c r="E1205">
        <f>Parameters!$B$25</f>
        <v/>
      </c>
    </row>
    <row r="1206">
      <c r="A1206" t="n">
        <v>120.4</v>
      </c>
      <c r="B1206">
        <f>IF(A1206&gt;162.1,Parameters!$B$5,Parameters!$B$4)</f>
        <v/>
      </c>
      <c r="C1206">
        <f>C1205-0.1*B1206+0</f>
        <v/>
      </c>
      <c r="D1206">
        <f>D1205-0.1*B1206+0</f>
        <v/>
      </c>
      <c r="E1206">
        <f>Parameters!$B$25</f>
        <v/>
      </c>
    </row>
    <row r="1207">
      <c r="A1207" t="n">
        <v>120.5</v>
      </c>
      <c r="B1207">
        <f>IF(A1207&gt;162.1,Parameters!$B$5,Parameters!$B$4)</f>
        <v/>
      </c>
      <c r="C1207">
        <f>C1206-0.1*B1207+0</f>
        <v/>
      </c>
      <c r="D1207">
        <f>D1206-0.1*B1207+0</f>
        <v/>
      </c>
      <c r="E1207">
        <f>Parameters!$B$25</f>
        <v/>
      </c>
    </row>
    <row r="1208">
      <c r="A1208" t="n">
        <v>120.6</v>
      </c>
      <c r="B1208">
        <f>IF(A1208&gt;162.1,Parameters!$B$5,Parameters!$B$4)</f>
        <v/>
      </c>
      <c r="C1208">
        <f>C1207-0.1*B1208+0</f>
        <v/>
      </c>
      <c r="D1208">
        <f>D1207-0.1*B1208+0</f>
        <v/>
      </c>
      <c r="E1208">
        <f>Parameters!$B$25</f>
        <v/>
      </c>
    </row>
    <row r="1209">
      <c r="A1209" t="n">
        <v>120.7</v>
      </c>
      <c r="B1209">
        <f>IF(A1209&gt;162.1,Parameters!$B$5,Parameters!$B$4)</f>
        <v/>
      </c>
      <c r="C1209">
        <f>C1208-0.1*B1209+0</f>
        <v/>
      </c>
      <c r="D1209">
        <f>D1208-0.1*B1209+0</f>
        <v/>
      </c>
      <c r="E1209">
        <f>Parameters!$B$25</f>
        <v/>
      </c>
    </row>
    <row r="1210">
      <c r="A1210" t="n">
        <v>120.8</v>
      </c>
      <c r="B1210">
        <f>IF(A1210&gt;162.1,Parameters!$B$5,Parameters!$B$4)</f>
        <v/>
      </c>
      <c r="C1210">
        <f>C1209-0.1*B1210+0</f>
        <v/>
      </c>
      <c r="D1210">
        <f>D1209-0.1*B1210+0</f>
        <v/>
      </c>
      <c r="E1210">
        <f>Parameters!$B$25</f>
        <v/>
      </c>
    </row>
    <row r="1211">
      <c r="A1211" t="n">
        <v>120.9</v>
      </c>
      <c r="B1211">
        <f>IF(A1211&gt;162.1,Parameters!$B$5,Parameters!$B$4)</f>
        <v/>
      </c>
      <c r="C1211">
        <f>C1210-0.1*B1211+0</f>
        <v/>
      </c>
      <c r="D1211">
        <f>D1210-0.1*B1211+0</f>
        <v/>
      </c>
      <c r="E1211">
        <f>Parameters!$B$25</f>
        <v/>
      </c>
    </row>
    <row r="1212">
      <c r="A1212" t="n">
        <v>121</v>
      </c>
      <c r="B1212">
        <f>IF(A1212&gt;162.1,Parameters!$B$5,Parameters!$B$4)</f>
        <v/>
      </c>
      <c r="C1212">
        <f>C1211-0.1*B1212+0</f>
        <v/>
      </c>
      <c r="D1212">
        <f>D1211-0.1*B1212+0</f>
        <v/>
      </c>
      <c r="E1212">
        <f>Parameters!$B$25</f>
        <v/>
      </c>
    </row>
    <row r="1213">
      <c r="A1213" t="n">
        <v>121.1</v>
      </c>
      <c r="B1213">
        <f>IF(A1213&gt;162.1,Parameters!$B$5,Parameters!$B$4)</f>
        <v/>
      </c>
      <c r="C1213">
        <f>C1212-0.1*B1213+0</f>
        <v/>
      </c>
      <c r="D1213">
        <f>D1212-0.1*B1213+0</f>
        <v/>
      </c>
      <c r="E1213">
        <f>Parameters!$B$25</f>
        <v/>
      </c>
    </row>
    <row r="1214">
      <c r="A1214" t="n">
        <v>121.2</v>
      </c>
      <c r="B1214">
        <f>IF(A1214&gt;162.1,Parameters!$B$5,Parameters!$B$4)</f>
        <v/>
      </c>
      <c r="C1214">
        <f>C1213-0.1*B1214+0</f>
        <v/>
      </c>
      <c r="D1214">
        <f>D1213-0.1*B1214+0</f>
        <v/>
      </c>
      <c r="E1214">
        <f>Parameters!$B$25</f>
        <v/>
      </c>
    </row>
    <row r="1215">
      <c r="A1215" t="n">
        <v>121.3</v>
      </c>
      <c r="B1215">
        <f>IF(A1215&gt;162.1,Parameters!$B$5,Parameters!$B$4)</f>
        <v/>
      </c>
      <c r="C1215">
        <f>C1214-0.1*B1215+0</f>
        <v/>
      </c>
      <c r="D1215">
        <f>D1214-0.1*B1215+0</f>
        <v/>
      </c>
      <c r="E1215">
        <f>Parameters!$B$25</f>
        <v/>
      </c>
    </row>
    <row r="1216">
      <c r="A1216" t="n">
        <v>121.4</v>
      </c>
      <c r="B1216">
        <f>IF(A1216&gt;162.1,Parameters!$B$5,Parameters!$B$4)</f>
        <v/>
      </c>
      <c r="C1216">
        <f>C1215-0.1*B1216+0</f>
        <v/>
      </c>
      <c r="D1216">
        <f>D1215-0.1*B1216+0</f>
        <v/>
      </c>
      <c r="E1216">
        <f>Parameters!$B$25</f>
        <v/>
      </c>
    </row>
    <row r="1217">
      <c r="A1217" t="n">
        <v>121.5</v>
      </c>
      <c r="B1217">
        <f>IF(A1217&gt;162.1,Parameters!$B$5,Parameters!$B$4)</f>
        <v/>
      </c>
      <c r="C1217">
        <f>C1216-0.1*B1217+0</f>
        <v/>
      </c>
      <c r="D1217">
        <f>D1216-0.1*B1217+0</f>
        <v/>
      </c>
      <c r="E1217">
        <f>Parameters!$B$25</f>
        <v/>
      </c>
    </row>
    <row r="1218">
      <c r="A1218" t="n">
        <v>121.6</v>
      </c>
      <c r="B1218">
        <f>IF(A1218&gt;162.1,Parameters!$B$5,Parameters!$B$4)</f>
        <v/>
      </c>
      <c r="C1218">
        <f>C1217-0.1*B1218+0</f>
        <v/>
      </c>
      <c r="D1218">
        <f>D1217-0.1*B1218+0</f>
        <v/>
      </c>
      <c r="E1218">
        <f>Parameters!$B$25</f>
        <v/>
      </c>
    </row>
    <row r="1219">
      <c r="A1219" t="n">
        <v>121.7</v>
      </c>
      <c r="B1219">
        <f>IF(A1219&gt;162.1,Parameters!$B$5,Parameters!$B$4)</f>
        <v/>
      </c>
      <c r="C1219">
        <f>C1218-0.1*B1219+0</f>
        <v/>
      </c>
      <c r="D1219">
        <f>D1218-0.1*B1219+0</f>
        <v/>
      </c>
      <c r="E1219">
        <f>Parameters!$B$25</f>
        <v/>
      </c>
    </row>
    <row r="1220">
      <c r="A1220" t="n">
        <v>121.8</v>
      </c>
      <c r="B1220">
        <f>IF(A1220&gt;162.1,Parameters!$B$5,Parameters!$B$4)</f>
        <v/>
      </c>
      <c r="C1220">
        <f>C1219-0.1*B1220+0</f>
        <v/>
      </c>
      <c r="D1220">
        <f>D1219-0.1*B1220+0</f>
        <v/>
      </c>
      <c r="E1220">
        <f>Parameters!$B$25</f>
        <v/>
      </c>
    </row>
    <row r="1221">
      <c r="A1221" t="n">
        <v>121.9</v>
      </c>
      <c r="B1221">
        <f>IF(A1221&gt;162.1,Parameters!$B$5,Parameters!$B$4)</f>
        <v/>
      </c>
      <c r="C1221">
        <f>C1220-0.1*B1221+0</f>
        <v/>
      </c>
      <c r="D1221">
        <f>D1220-0.1*B1221+0</f>
        <v/>
      </c>
      <c r="E1221">
        <f>Parameters!$B$25</f>
        <v/>
      </c>
    </row>
    <row r="1222">
      <c r="A1222" t="n">
        <v>122</v>
      </c>
      <c r="B1222">
        <f>IF(A1222&gt;162.1,Parameters!$B$5,Parameters!$B$4)</f>
        <v/>
      </c>
      <c r="C1222">
        <f>C1221-0.1*B1222+0</f>
        <v/>
      </c>
      <c r="D1222">
        <f>D1221-0.1*B1222+0</f>
        <v/>
      </c>
      <c r="E1222">
        <f>Parameters!$B$25</f>
        <v/>
      </c>
    </row>
    <row r="1223">
      <c r="A1223" t="n">
        <v>122.1</v>
      </c>
      <c r="B1223">
        <f>IF(A1223&gt;162.1,Parameters!$B$5,Parameters!$B$4)</f>
        <v/>
      </c>
      <c r="C1223">
        <f>C1222-0.1*B1223+0</f>
        <v/>
      </c>
      <c r="D1223">
        <f>D1222-0.1*B1223+0</f>
        <v/>
      </c>
      <c r="E1223">
        <f>Parameters!$B$25</f>
        <v/>
      </c>
    </row>
    <row r="1224">
      <c r="A1224" t="n">
        <v>122.2</v>
      </c>
      <c r="B1224">
        <f>IF(A1224&gt;162.1,Parameters!$B$5,Parameters!$B$4)</f>
        <v/>
      </c>
      <c r="C1224">
        <f>C1223-0.1*B1224+0</f>
        <v/>
      </c>
      <c r="D1224">
        <f>D1223-0.1*B1224+0</f>
        <v/>
      </c>
      <c r="E1224">
        <f>Parameters!$B$25</f>
        <v/>
      </c>
    </row>
    <row r="1225">
      <c r="A1225" t="n">
        <v>122.3</v>
      </c>
      <c r="B1225">
        <f>IF(A1225&gt;162.1,Parameters!$B$5,Parameters!$B$4)</f>
        <v/>
      </c>
      <c r="C1225">
        <f>C1224-0.1*B1225+0</f>
        <v/>
      </c>
      <c r="D1225">
        <f>D1224-0.1*B1225+0</f>
        <v/>
      </c>
      <c r="E1225">
        <f>Parameters!$B$25</f>
        <v/>
      </c>
    </row>
    <row r="1226">
      <c r="A1226" t="n">
        <v>122.4</v>
      </c>
      <c r="B1226">
        <f>IF(A1226&gt;162.1,Parameters!$B$5,Parameters!$B$4)</f>
        <v/>
      </c>
      <c r="C1226">
        <f>C1225-0.1*B1226+0</f>
        <v/>
      </c>
      <c r="D1226">
        <f>D1225-0.1*B1226+0</f>
        <v/>
      </c>
      <c r="E1226">
        <f>Parameters!$B$25</f>
        <v/>
      </c>
    </row>
    <row r="1227">
      <c r="A1227" t="n">
        <v>122.5</v>
      </c>
      <c r="B1227">
        <f>IF(A1227&gt;162.1,Parameters!$B$5,Parameters!$B$4)</f>
        <v/>
      </c>
      <c r="C1227">
        <f>C1226-0.1*B1227+0</f>
        <v/>
      </c>
      <c r="D1227">
        <f>D1226-0.1*B1227+0</f>
        <v/>
      </c>
      <c r="E1227">
        <f>Parameters!$B$25</f>
        <v/>
      </c>
    </row>
    <row r="1228">
      <c r="A1228" t="n">
        <v>122.6</v>
      </c>
      <c r="B1228">
        <f>IF(A1228&gt;162.1,Parameters!$B$5,Parameters!$B$4)</f>
        <v/>
      </c>
      <c r="C1228">
        <f>C1227-0.1*B1228+0</f>
        <v/>
      </c>
      <c r="D1228">
        <f>D1227-0.1*B1228+0</f>
        <v/>
      </c>
      <c r="E1228">
        <f>Parameters!$B$25</f>
        <v/>
      </c>
    </row>
    <row r="1229">
      <c r="A1229" t="n">
        <v>122.7</v>
      </c>
      <c r="B1229">
        <f>IF(A1229&gt;162.1,Parameters!$B$5,Parameters!$B$4)</f>
        <v/>
      </c>
      <c r="C1229">
        <f>C1228-0.1*B1229+0</f>
        <v/>
      </c>
      <c r="D1229">
        <f>D1228-0.1*B1229+0</f>
        <v/>
      </c>
      <c r="E1229">
        <f>Parameters!$B$25</f>
        <v/>
      </c>
    </row>
    <row r="1230">
      <c r="A1230" t="n">
        <v>122.8</v>
      </c>
      <c r="B1230">
        <f>IF(A1230&gt;162.1,Parameters!$B$5,Parameters!$B$4)</f>
        <v/>
      </c>
      <c r="C1230">
        <f>C1229-0.1*B1230+0</f>
        <v/>
      </c>
      <c r="D1230">
        <f>D1229-0.1*B1230+0</f>
        <v/>
      </c>
      <c r="E1230">
        <f>Parameters!$B$25</f>
        <v/>
      </c>
    </row>
    <row r="1231">
      <c r="A1231" t="n">
        <v>122.9</v>
      </c>
      <c r="B1231">
        <f>IF(A1231&gt;162.1,Parameters!$B$5,Parameters!$B$4)</f>
        <v/>
      </c>
      <c r="C1231">
        <f>C1230-0.1*B1231+0</f>
        <v/>
      </c>
      <c r="D1231">
        <f>D1230-0.1*B1231+0</f>
        <v/>
      </c>
      <c r="E1231">
        <f>Parameters!$B$25</f>
        <v/>
      </c>
    </row>
    <row r="1232">
      <c r="A1232" t="n">
        <v>123</v>
      </c>
      <c r="B1232">
        <f>IF(A1232&gt;162.1,Parameters!$B$5,Parameters!$B$4)</f>
        <v/>
      </c>
      <c r="C1232">
        <f>C1231-0.1*B1232+0</f>
        <v/>
      </c>
      <c r="D1232">
        <f>D1231-0.1*B1232+0</f>
        <v/>
      </c>
      <c r="E1232">
        <f>Parameters!$B$25</f>
        <v/>
      </c>
    </row>
    <row r="1233">
      <c r="A1233" t="n">
        <v>123.1</v>
      </c>
      <c r="B1233">
        <f>IF(A1233&gt;162.1,Parameters!$B$5,Parameters!$B$4)</f>
        <v/>
      </c>
      <c r="C1233">
        <f>C1232-0.1*B1233+0</f>
        <v/>
      </c>
      <c r="D1233">
        <f>D1232-0.1*B1233+0</f>
        <v/>
      </c>
      <c r="E1233">
        <f>Parameters!$B$25</f>
        <v/>
      </c>
    </row>
    <row r="1234">
      <c r="A1234" t="n">
        <v>123.2</v>
      </c>
      <c r="B1234">
        <f>IF(A1234&gt;162.1,Parameters!$B$5,Parameters!$B$4)</f>
        <v/>
      </c>
      <c r="C1234">
        <f>C1233-0.1*B1234+0</f>
        <v/>
      </c>
      <c r="D1234">
        <f>D1233-0.1*B1234+0</f>
        <v/>
      </c>
      <c r="E1234">
        <f>Parameters!$B$25</f>
        <v/>
      </c>
    </row>
    <row r="1235">
      <c r="A1235" t="n">
        <v>123.3</v>
      </c>
      <c r="B1235">
        <f>IF(A1235&gt;162.1,Parameters!$B$5,Parameters!$B$4)</f>
        <v/>
      </c>
      <c r="C1235">
        <f>C1234-0.1*B1235+0</f>
        <v/>
      </c>
      <c r="D1235">
        <f>D1234-0.1*B1235+0</f>
        <v/>
      </c>
      <c r="E1235">
        <f>Parameters!$B$25</f>
        <v/>
      </c>
    </row>
    <row r="1236">
      <c r="A1236" t="n">
        <v>123.4</v>
      </c>
      <c r="B1236">
        <f>IF(A1236&gt;162.1,Parameters!$B$5,Parameters!$B$4)</f>
        <v/>
      </c>
      <c r="C1236">
        <f>C1235-0.1*B1236+0</f>
        <v/>
      </c>
      <c r="D1236">
        <f>D1235-0.1*B1236+0</f>
        <v/>
      </c>
      <c r="E1236">
        <f>Parameters!$B$25</f>
        <v/>
      </c>
    </row>
    <row r="1237">
      <c r="A1237" t="n">
        <v>123.5</v>
      </c>
      <c r="B1237">
        <f>IF(A1237&gt;162.1,Parameters!$B$5,Parameters!$B$4)</f>
        <v/>
      </c>
      <c r="C1237">
        <f>C1236-0.1*B1237+0</f>
        <v/>
      </c>
      <c r="D1237">
        <f>D1236-0.1*B1237+0</f>
        <v/>
      </c>
      <c r="E1237">
        <f>Parameters!$B$25</f>
        <v/>
      </c>
    </row>
    <row r="1238">
      <c r="A1238" t="n">
        <v>123.6</v>
      </c>
      <c r="B1238">
        <f>IF(A1238&gt;162.1,Parameters!$B$5,Parameters!$B$4)</f>
        <v/>
      </c>
      <c r="C1238">
        <f>C1237-0.1*B1238+0</f>
        <v/>
      </c>
      <c r="D1238">
        <f>D1237-0.1*B1238+0</f>
        <v/>
      </c>
      <c r="E1238">
        <f>Parameters!$B$25</f>
        <v/>
      </c>
    </row>
    <row r="1239">
      <c r="A1239" t="n">
        <v>123.7</v>
      </c>
      <c r="B1239">
        <f>IF(A1239&gt;162.1,Parameters!$B$5,Parameters!$B$4)</f>
        <v/>
      </c>
      <c r="C1239">
        <f>C1238-0.1*B1239+0</f>
        <v/>
      </c>
      <c r="D1239">
        <f>D1238-0.1*B1239+0</f>
        <v/>
      </c>
      <c r="E1239">
        <f>Parameters!$B$25</f>
        <v/>
      </c>
    </row>
    <row r="1240">
      <c r="A1240" t="n">
        <v>123.8</v>
      </c>
      <c r="B1240">
        <f>IF(A1240&gt;162.1,Parameters!$B$5,Parameters!$B$4)</f>
        <v/>
      </c>
      <c r="C1240">
        <f>C1239-0.1*B1240+0</f>
        <v/>
      </c>
      <c r="D1240">
        <f>D1239-0.1*B1240+0</f>
        <v/>
      </c>
      <c r="E1240">
        <f>Parameters!$B$25</f>
        <v/>
      </c>
    </row>
    <row r="1241">
      <c r="A1241" t="n">
        <v>123.9</v>
      </c>
      <c r="B1241">
        <f>IF(A1241&gt;162.1,Parameters!$B$5,Parameters!$B$4)</f>
        <v/>
      </c>
      <c r="C1241">
        <f>C1240-0.1*B1241+0</f>
        <v/>
      </c>
      <c r="D1241">
        <f>D1240-0.1*B1241+0</f>
        <v/>
      </c>
      <c r="E1241">
        <f>Parameters!$B$25</f>
        <v/>
      </c>
    </row>
    <row r="1242">
      <c r="A1242" t="n">
        <v>124</v>
      </c>
      <c r="B1242">
        <f>IF(A1242&gt;162.1,Parameters!$B$5,Parameters!$B$4)</f>
        <v/>
      </c>
      <c r="C1242">
        <f>C1241-0.1*B1242+0</f>
        <v/>
      </c>
      <c r="D1242">
        <f>D1241-0.1*B1242+0</f>
        <v/>
      </c>
      <c r="E1242">
        <f>Parameters!$B$25</f>
        <v/>
      </c>
    </row>
    <row r="1243">
      <c r="A1243" t="n">
        <v>124.1</v>
      </c>
      <c r="B1243">
        <f>IF(A1243&gt;162.1,Parameters!$B$5,Parameters!$B$4)</f>
        <v/>
      </c>
      <c r="C1243">
        <f>C1242-0.1*B1243+0</f>
        <v/>
      </c>
      <c r="D1243">
        <f>D1242-0.1*B1243+0</f>
        <v/>
      </c>
      <c r="E1243">
        <f>Parameters!$B$25</f>
        <v/>
      </c>
    </row>
    <row r="1244">
      <c r="A1244" t="n">
        <v>124.2</v>
      </c>
      <c r="B1244">
        <f>IF(A1244&gt;162.1,Parameters!$B$5,Parameters!$B$4)</f>
        <v/>
      </c>
      <c r="C1244">
        <f>C1243-0.1*B1244+0</f>
        <v/>
      </c>
      <c r="D1244">
        <f>D1243-0.1*B1244+0</f>
        <v/>
      </c>
      <c r="E1244">
        <f>Parameters!$B$25</f>
        <v/>
      </c>
    </row>
    <row r="1245">
      <c r="A1245" t="n">
        <v>124.3</v>
      </c>
      <c r="B1245">
        <f>IF(A1245&gt;162.1,Parameters!$B$5,Parameters!$B$4)</f>
        <v/>
      </c>
      <c r="C1245">
        <f>C1244-0.1*B1245+0</f>
        <v/>
      </c>
      <c r="D1245">
        <f>D1244-0.1*B1245+0</f>
        <v/>
      </c>
      <c r="E1245">
        <f>Parameters!$B$25</f>
        <v/>
      </c>
    </row>
    <row r="1246">
      <c r="A1246" t="n">
        <v>124.4</v>
      </c>
      <c r="B1246">
        <f>IF(A1246&gt;162.1,Parameters!$B$5,Parameters!$B$4)</f>
        <v/>
      </c>
      <c r="C1246">
        <f>C1245-0.1*B1246+0</f>
        <v/>
      </c>
      <c r="D1246">
        <f>D1245-0.1*B1246+0</f>
        <v/>
      </c>
      <c r="E1246">
        <f>Parameters!$B$25</f>
        <v/>
      </c>
    </row>
    <row r="1247">
      <c r="A1247" t="n">
        <v>124.5</v>
      </c>
      <c r="B1247">
        <f>IF(A1247&gt;162.1,Parameters!$B$5,Parameters!$B$4)</f>
        <v/>
      </c>
      <c r="C1247">
        <f>C1246-0.1*B1247+0</f>
        <v/>
      </c>
      <c r="D1247">
        <f>D1246-0.1*B1247+0</f>
        <v/>
      </c>
      <c r="E1247">
        <f>Parameters!$B$25</f>
        <v/>
      </c>
    </row>
    <row r="1248">
      <c r="A1248" t="n">
        <v>124.6</v>
      </c>
      <c r="B1248">
        <f>IF(A1248&gt;162.1,Parameters!$B$5,Parameters!$B$4)</f>
        <v/>
      </c>
      <c r="C1248">
        <f>C1247-0.1*B1248+0</f>
        <v/>
      </c>
      <c r="D1248">
        <f>D1247-0.1*B1248+0</f>
        <v/>
      </c>
      <c r="E1248">
        <f>Parameters!$B$25</f>
        <v/>
      </c>
    </row>
    <row r="1249">
      <c r="A1249" t="n">
        <v>124.7</v>
      </c>
      <c r="B1249">
        <f>IF(A1249&gt;162.1,Parameters!$B$5,Parameters!$B$4)</f>
        <v/>
      </c>
      <c r="C1249">
        <f>C1248-0.1*B1249+0</f>
        <v/>
      </c>
      <c r="D1249">
        <f>D1248-0.1*B1249+0</f>
        <v/>
      </c>
      <c r="E1249">
        <f>Parameters!$B$25</f>
        <v/>
      </c>
    </row>
    <row r="1250">
      <c r="A1250" t="n">
        <v>124.8</v>
      </c>
      <c r="B1250">
        <f>IF(A1250&gt;162.1,Parameters!$B$5,Parameters!$B$4)</f>
        <v/>
      </c>
      <c r="C1250">
        <f>C1249-0.1*B1250+0</f>
        <v/>
      </c>
      <c r="D1250">
        <f>D1249-0.1*B1250+0</f>
        <v/>
      </c>
      <c r="E1250">
        <f>Parameters!$B$25</f>
        <v/>
      </c>
    </row>
    <row r="1251">
      <c r="A1251" t="n">
        <v>124.9</v>
      </c>
      <c r="B1251">
        <f>IF(A1251&gt;162.1,Parameters!$B$5,Parameters!$B$4)</f>
        <v/>
      </c>
      <c r="C1251">
        <f>C1250-0.1*B1251+0</f>
        <v/>
      </c>
      <c r="D1251">
        <f>D1250-0.1*B1251+0</f>
        <v/>
      </c>
      <c r="E1251">
        <f>Parameters!$B$25</f>
        <v/>
      </c>
    </row>
    <row r="1252">
      <c r="A1252" t="n">
        <v>125</v>
      </c>
      <c r="B1252">
        <f>IF(A1252&gt;162.1,Parameters!$B$5,Parameters!$B$4)</f>
        <v/>
      </c>
      <c r="C1252">
        <f>C1251-0.1*B1252+0</f>
        <v/>
      </c>
      <c r="D1252">
        <f>D1251-0.1*B1252+0</f>
        <v/>
      </c>
      <c r="E1252">
        <f>Parameters!$B$25</f>
        <v/>
      </c>
    </row>
    <row r="1253">
      <c r="A1253" t="n">
        <v>125.1</v>
      </c>
      <c r="B1253">
        <f>IF(A1253&gt;162.1,Parameters!$B$5,Parameters!$B$4)</f>
        <v/>
      </c>
      <c r="C1253">
        <f>C1252-0.1*B1253+0</f>
        <v/>
      </c>
      <c r="D1253">
        <f>D1252-0.1*B1253+0</f>
        <v/>
      </c>
      <c r="E1253">
        <f>Parameters!$B$25</f>
        <v/>
      </c>
    </row>
    <row r="1254">
      <c r="A1254" t="n">
        <v>125.2</v>
      </c>
      <c r="B1254">
        <f>IF(A1254&gt;162.1,Parameters!$B$5,Parameters!$B$4)</f>
        <v/>
      </c>
      <c r="C1254">
        <f>C1253-0.1*B1254+0</f>
        <v/>
      </c>
      <c r="D1254">
        <f>D1253-0.1*B1254+0</f>
        <v/>
      </c>
      <c r="E1254">
        <f>Parameters!$B$25</f>
        <v/>
      </c>
    </row>
    <row r="1255">
      <c r="A1255" t="n">
        <v>125.3</v>
      </c>
      <c r="B1255">
        <f>IF(A1255&gt;162.1,Parameters!$B$5,Parameters!$B$4)</f>
        <v/>
      </c>
      <c r="C1255">
        <f>C1254-0.1*B1255+0</f>
        <v/>
      </c>
      <c r="D1255">
        <f>D1254-0.1*B1255+0</f>
        <v/>
      </c>
      <c r="E1255">
        <f>Parameters!$B$25</f>
        <v/>
      </c>
    </row>
    <row r="1256">
      <c r="A1256" t="n">
        <v>125.4</v>
      </c>
      <c r="B1256">
        <f>IF(A1256&gt;162.1,Parameters!$B$5,Parameters!$B$4)</f>
        <v/>
      </c>
      <c r="C1256">
        <f>C1255-0.1*B1256+0</f>
        <v/>
      </c>
      <c r="D1256">
        <f>D1255-0.1*B1256+0</f>
        <v/>
      </c>
      <c r="E1256">
        <f>Parameters!$B$25</f>
        <v/>
      </c>
    </row>
    <row r="1257">
      <c r="A1257" t="n">
        <v>125.5</v>
      </c>
      <c r="B1257">
        <f>IF(A1257&gt;162.1,Parameters!$B$5,Parameters!$B$4)</f>
        <v/>
      </c>
      <c r="C1257">
        <f>C1256-0.1*B1257+0</f>
        <v/>
      </c>
      <c r="D1257">
        <f>D1256-0.1*B1257+0</f>
        <v/>
      </c>
      <c r="E1257">
        <f>Parameters!$B$25</f>
        <v/>
      </c>
    </row>
    <row r="1258">
      <c r="A1258" t="n">
        <v>125.6</v>
      </c>
      <c r="B1258">
        <f>IF(A1258&gt;162.1,Parameters!$B$5,Parameters!$B$4)</f>
        <v/>
      </c>
      <c r="C1258">
        <f>C1257-0.1*B1258+0</f>
        <v/>
      </c>
      <c r="D1258">
        <f>D1257-0.1*B1258+0</f>
        <v/>
      </c>
      <c r="E1258">
        <f>Parameters!$B$25</f>
        <v/>
      </c>
    </row>
    <row r="1259">
      <c r="A1259" t="n">
        <v>125.7</v>
      </c>
      <c r="B1259">
        <f>IF(A1259&gt;162.1,Parameters!$B$5,Parameters!$B$4)</f>
        <v/>
      </c>
      <c r="C1259">
        <f>C1258-0.1*B1259+0</f>
        <v/>
      </c>
      <c r="D1259">
        <f>D1258-0.1*B1259+0</f>
        <v/>
      </c>
      <c r="E1259">
        <f>Parameters!$B$25</f>
        <v/>
      </c>
    </row>
    <row r="1260">
      <c r="A1260" t="n">
        <v>125.8</v>
      </c>
      <c r="B1260">
        <f>IF(A1260&gt;162.1,Parameters!$B$5,Parameters!$B$4)</f>
        <v/>
      </c>
      <c r="C1260">
        <f>C1259-0.1*B1260+0</f>
        <v/>
      </c>
      <c r="D1260">
        <f>D1259-0.1*B1260+0</f>
        <v/>
      </c>
      <c r="E1260">
        <f>Parameters!$B$25</f>
        <v/>
      </c>
    </row>
    <row r="1261">
      <c r="A1261" t="n">
        <v>125.9</v>
      </c>
      <c r="B1261">
        <f>IF(A1261&gt;162.1,Parameters!$B$5,Parameters!$B$4)</f>
        <v/>
      </c>
      <c r="C1261">
        <f>C1260-0.1*B1261+0</f>
        <v/>
      </c>
      <c r="D1261">
        <f>D1260-0.1*B1261+0</f>
        <v/>
      </c>
      <c r="E1261">
        <f>Parameters!$B$25</f>
        <v/>
      </c>
    </row>
    <row r="1262">
      <c r="A1262" t="n">
        <v>126</v>
      </c>
      <c r="B1262">
        <f>IF(A1262&gt;162.1,Parameters!$B$5,Parameters!$B$4)</f>
        <v/>
      </c>
      <c r="C1262">
        <f>C1261-0.1*B1262+0</f>
        <v/>
      </c>
      <c r="D1262">
        <f>D1261-0.1*B1262+0</f>
        <v/>
      </c>
      <c r="E1262">
        <f>Parameters!$B$25</f>
        <v/>
      </c>
    </row>
    <row r="1263">
      <c r="A1263" t="n">
        <v>126.1</v>
      </c>
      <c r="B1263">
        <f>IF(A1263&gt;162.1,Parameters!$B$5,Parameters!$B$4)</f>
        <v/>
      </c>
      <c r="C1263">
        <f>C1262-0.1*B1263+0</f>
        <v/>
      </c>
      <c r="D1263">
        <f>D1262-0.1*B1263+0</f>
        <v/>
      </c>
      <c r="E1263">
        <f>Parameters!$B$25</f>
        <v/>
      </c>
    </row>
    <row r="1264">
      <c r="A1264" t="n">
        <v>126.2</v>
      </c>
      <c r="B1264">
        <f>IF(A1264&gt;162.1,Parameters!$B$5,Parameters!$B$4)</f>
        <v/>
      </c>
      <c r="C1264">
        <f>C1263-0.1*B1264+0</f>
        <v/>
      </c>
      <c r="D1264">
        <f>D1263-0.1*B1264+0</f>
        <v/>
      </c>
      <c r="E1264">
        <f>Parameters!$B$25</f>
        <v/>
      </c>
    </row>
    <row r="1265">
      <c r="A1265" t="n">
        <v>126.3</v>
      </c>
      <c r="B1265">
        <f>IF(A1265&gt;162.1,Parameters!$B$5,Parameters!$B$4)</f>
        <v/>
      </c>
      <c r="C1265">
        <f>C1264-0.1*B1265+0</f>
        <v/>
      </c>
      <c r="D1265">
        <f>D1264-0.1*B1265+0</f>
        <v/>
      </c>
      <c r="E1265">
        <f>Parameters!$B$25</f>
        <v/>
      </c>
    </row>
    <row r="1266">
      <c r="A1266" t="n">
        <v>126.4</v>
      </c>
      <c r="B1266">
        <f>IF(A1266&gt;162.1,Parameters!$B$5,Parameters!$B$4)</f>
        <v/>
      </c>
      <c r="C1266">
        <f>C1265-0.1*B1266+0</f>
        <v/>
      </c>
      <c r="D1266">
        <f>D1265-0.1*B1266+0</f>
        <v/>
      </c>
      <c r="E1266">
        <f>Parameters!$B$25</f>
        <v/>
      </c>
    </row>
    <row r="1267">
      <c r="A1267" t="n">
        <v>126.5</v>
      </c>
      <c r="B1267">
        <f>IF(A1267&gt;162.1,Parameters!$B$5,Parameters!$B$4)</f>
        <v/>
      </c>
      <c r="C1267">
        <f>C1266-0.1*B1267+0</f>
        <v/>
      </c>
      <c r="D1267">
        <f>D1266-0.1*B1267+0</f>
        <v/>
      </c>
      <c r="E1267">
        <f>Parameters!$B$25</f>
        <v/>
      </c>
    </row>
    <row r="1268">
      <c r="A1268" t="n">
        <v>126.6</v>
      </c>
      <c r="B1268">
        <f>IF(A1268&gt;162.1,Parameters!$B$5,Parameters!$B$4)</f>
        <v/>
      </c>
      <c r="C1268">
        <f>C1267-0.1*B1268+0</f>
        <v/>
      </c>
      <c r="D1268">
        <f>D1267-0.1*B1268+0</f>
        <v/>
      </c>
      <c r="E1268">
        <f>Parameters!$B$25</f>
        <v/>
      </c>
    </row>
    <row r="1269">
      <c r="A1269" t="n">
        <v>126.7</v>
      </c>
      <c r="B1269">
        <f>IF(A1269&gt;162.1,Parameters!$B$5,Parameters!$B$4)</f>
        <v/>
      </c>
      <c r="C1269">
        <f>C1268-0.1*B1269+0</f>
        <v/>
      </c>
      <c r="D1269">
        <f>D1268-0.1*B1269+0</f>
        <v/>
      </c>
      <c r="E1269">
        <f>Parameters!$B$25</f>
        <v/>
      </c>
    </row>
    <row r="1270">
      <c r="A1270" t="n">
        <v>126.8</v>
      </c>
      <c r="B1270">
        <f>IF(A1270&gt;162.1,Parameters!$B$5,Parameters!$B$4)</f>
        <v/>
      </c>
      <c r="C1270">
        <f>C1269-0.1*B1270+0</f>
        <v/>
      </c>
      <c r="D1270">
        <f>D1269-0.1*B1270+0</f>
        <v/>
      </c>
      <c r="E1270">
        <f>Parameters!$B$25</f>
        <v/>
      </c>
    </row>
    <row r="1271">
      <c r="A1271" t="n">
        <v>126.9</v>
      </c>
      <c r="B1271">
        <f>IF(A1271&gt;162.1,Parameters!$B$5,Parameters!$B$4)</f>
        <v/>
      </c>
      <c r="C1271">
        <f>C1270-0.1*B1271+0</f>
        <v/>
      </c>
      <c r="D1271">
        <f>D1270-0.1*B1271+0</f>
        <v/>
      </c>
      <c r="E1271">
        <f>Parameters!$B$25</f>
        <v/>
      </c>
    </row>
    <row r="1272">
      <c r="A1272" t="n">
        <v>127</v>
      </c>
      <c r="B1272">
        <f>IF(A1272&gt;162.1,Parameters!$B$5,Parameters!$B$4)</f>
        <v/>
      </c>
      <c r="C1272">
        <f>C1271-0.1*B1272+0</f>
        <v/>
      </c>
      <c r="D1272">
        <f>D1271-0.1*B1272+0</f>
        <v/>
      </c>
      <c r="E1272">
        <f>Parameters!$B$25</f>
        <v/>
      </c>
    </row>
    <row r="1273">
      <c r="A1273" t="n">
        <v>127.1</v>
      </c>
      <c r="B1273">
        <f>IF(A1273&gt;162.1,Parameters!$B$5,Parameters!$B$4)</f>
        <v/>
      </c>
      <c r="C1273">
        <f>C1272-0.1*B1273+0</f>
        <v/>
      </c>
      <c r="D1273">
        <f>D1272-0.1*B1273+0</f>
        <v/>
      </c>
      <c r="E1273">
        <f>Parameters!$B$25</f>
        <v/>
      </c>
    </row>
    <row r="1274">
      <c r="A1274" t="n">
        <v>127.2</v>
      </c>
      <c r="B1274">
        <f>IF(A1274&gt;162.1,Parameters!$B$5,Parameters!$B$4)</f>
        <v/>
      </c>
      <c r="C1274">
        <f>C1273-0.1*B1274+0</f>
        <v/>
      </c>
      <c r="D1274">
        <f>D1273-0.1*B1274+0</f>
        <v/>
      </c>
      <c r="E1274">
        <f>Parameters!$B$25</f>
        <v/>
      </c>
    </row>
    <row r="1275">
      <c r="A1275" t="n">
        <v>127.3</v>
      </c>
      <c r="B1275">
        <f>IF(A1275&gt;162.1,Parameters!$B$5,Parameters!$B$4)</f>
        <v/>
      </c>
      <c r="C1275">
        <f>C1274-0.1*B1275+0</f>
        <v/>
      </c>
      <c r="D1275">
        <f>D1274-0.1*B1275+0</f>
        <v/>
      </c>
      <c r="E1275">
        <f>Parameters!$B$25</f>
        <v/>
      </c>
    </row>
    <row r="1276">
      <c r="A1276" t="n">
        <v>127.4</v>
      </c>
      <c r="B1276">
        <f>IF(A1276&gt;162.1,Parameters!$B$5,Parameters!$B$4)</f>
        <v/>
      </c>
      <c r="C1276">
        <f>C1275-0.1*B1276+0</f>
        <v/>
      </c>
      <c r="D1276">
        <f>D1275-0.1*B1276+0</f>
        <v/>
      </c>
      <c r="E1276">
        <f>Parameters!$B$25</f>
        <v/>
      </c>
    </row>
    <row r="1277">
      <c r="A1277" t="n">
        <v>127.5</v>
      </c>
      <c r="B1277">
        <f>IF(A1277&gt;162.1,Parameters!$B$5,Parameters!$B$4)</f>
        <v/>
      </c>
      <c r="C1277">
        <f>C1276-0.1*B1277+0</f>
        <v/>
      </c>
      <c r="D1277">
        <f>D1276-0.1*B1277+0</f>
        <v/>
      </c>
      <c r="E1277">
        <f>Parameters!$B$25</f>
        <v/>
      </c>
    </row>
    <row r="1278">
      <c r="A1278" t="n">
        <v>127.6</v>
      </c>
      <c r="B1278">
        <f>IF(A1278&gt;162.1,Parameters!$B$5,Parameters!$B$4)</f>
        <v/>
      </c>
      <c r="C1278">
        <f>C1277-0.1*B1278+0</f>
        <v/>
      </c>
      <c r="D1278">
        <f>D1277-0.1*B1278+0</f>
        <v/>
      </c>
      <c r="E1278">
        <f>Parameters!$B$25</f>
        <v/>
      </c>
    </row>
    <row r="1279">
      <c r="A1279" t="n">
        <v>127.7</v>
      </c>
      <c r="B1279">
        <f>IF(A1279&gt;162.1,Parameters!$B$5,Parameters!$B$4)</f>
        <v/>
      </c>
      <c r="C1279">
        <f>C1278-0.1*B1279+0</f>
        <v/>
      </c>
      <c r="D1279">
        <f>D1278-0.1*B1279+0</f>
        <v/>
      </c>
      <c r="E1279">
        <f>Parameters!$B$25</f>
        <v/>
      </c>
    </row>
    <row r="1280">
      <c r="A1280" t="n">
        <v>127.8</v>
      </c>
      <c r="B1280">
        <f>IF(A1280&gt;162.1,Parameters!$B$5,Parameters!$B$4)</f>
        <v/>
      </c>
      <c r="C1280">
        <f>C1279-0.1*B1280+0</f>
        <v/>
      </c>
      <c r="D1280">
        <f>D1279-0.1*B1280+0</f>
        <v/>
      </c>
      <c r="E1280">
        <f>Parameters!$B$25</f>
        <v/>
      </c>
    </row>
    <row r="1281">
      <c r="A1281" t="n">
        <v>127.9</v>
      </c>
      <c r="B1281">
        <f>IF(A1281&gt;162.1,Parameters!$B$5,Parameters!$B$4)</f>
        <v/>
      </c>
      <c r="C1281">
        <f>C1280-0.1*B1281+0</f>
        <v/>
      </c>
      <c r="D1281">
        <f>D1280-0.1*B1281+0</f>
        <v/>
      </c>
      <c r="E1281">
        <f>Parameters!$B$25</f>
        <v/>
      </c>
    </row>
    <row r="1282">
      <c r="A1282" t="n">
        <v>128</v>
      </c>
      <c r="B1282">
        <f>IF(A1282&gt;162.1,Parameters!$B$5,Parameters!$B$4)</f>
        <v/>
      </c>
      <c r="C1282">
        <f>C1281-0.1*B1282+0</f>
        <v/>
      </c>
      <c r="D1282">
        <f>D1281-0.1*B1282+0</f>
        <v/>
      </c>
      <c r="E1282">
        <f>Parameters!$B$25</f>
        <v/>
      </c>
    </row>
    <row r="1283">
      <c r="A1283" t="n">
        <v>128.1</v>
      </c>
      <c r="B1283">
        <f>IF(A1283&gt;162.1,Parameters!$B$5,Parameters!$B$4)</f>
        <v/>
      </c>
      <c r="C1283">
        <f>C1282-0.1*B1283+0</f>
        <v/>
      </c>
      <c r="D1283">
        <f>D1282-0.1*B1283+0</f>
        <v/>
      </c>
      <c r="E1283">
        <f>Parameters!$B$25</f>
        <v/>
      </c>
    </row>
    <row r="1284">
      <c r="A1284" t="n">
        <v>128.2</v>
      </c>
      <c r="B1284">
        <f>IF(A1284&gt;162.1,Parameters!$B$5,Parameters!$B$4)</f>
        <v/>
      </c>
      <c r="C1284">
        <f>C1283-0.1*B1284+0</f>
        <v/>
      </c>
      <c r="D1284">
        <f>D1283-0.1*B1284+0</f>
        <v/>
      </c>
      <c r="E1284">
        <f>Parameters!$B$25</f>
        <v/>
      </c>
    </row>
    <row r="1285">
      <c r="A1285" t="n">
        <v>128.3</v>
      </c>
      <c r="B1285">
        <f>IF(A1285&gt;162.1,Parameters!$B$5,Parameters!$B$4)</f>
        <v/>
      </c>
      <c r="C1285">
        <f>C1284-0.1*B1285+0</f>
        <v/>
      </c>
      <c r="D1285">
        <f>D1284-0.1*B1285+0</f>
        <v/>
      </c>
      <c r="E1285">
        <f>Parameters!$B$25</f>
        <v/>
      </c>
    </row>
    <row r="1286">
      <c r="A1286" t="n">
        <v>128.4</v>
      </c>
      <c r="B1286">
        <f>IF(A1286&gt;162.1,Parameters!$B$5,Parameters!$B$4)</f>
        <v/>
      </c>
      <c r="C1286">
        <f>C1285-0.1*B1286+0</f>
        <v/>
      </c>
      <c r="D1286">
        <f>D1285-0.1*B1286+0</f>
        <v/>
      </c>
      <c r="E1286">
        <f>Parameters!$B$25</f>
        <v/>
      </c>
    </row>
    <row r="1287">
      <c r="A1287" t="n">
        <v>128.5</v>
      </c>
      <c r="B1287">
        <f>IF(A1287&gt;162.1,Parameters!$B$5,Parameters!$B$4)</f>
        <v/>
      </c>
      <c r="C1287">
        <f>C1286-0.1*B1287+0</f>
        <v/>
      </c>
      <c r="D1287">
        <f>D1286-0.1*B1287+0</f>
        <v/>
      </c>
      <c r="E1287">
        <f>Parameters!$B$25</f>
        <v/>
      </c>
    </row>
    <row r="1288">
      <c r="A1288" t="n">
        <v>128.6</v>
      </c>
      <c r="B1288">
        <f>IF(A1288&gt;162.1,Parameters!$B$5,Parameters!$B$4)</f>
        <v/>
      </c>
      <c r="C1288">
        <f>C1287-0.1*B1288+0</f>
        <v/>
      </c>
      <c r="D1288">
        <f>D1287-0.1*B1288+0</f>
        <v/>
      </c>
      <c r="E1288">
        <f>Parameters!$B$25</f>
        <v/>
      </c>
    </row>
    <row r="1289">
      <c r="A1289" t="n">
        <v>128.7</v>
      </c>
      <c r="B1289">
        <f>IF(A1289&gt;162.1,Parameters!$B$5,Parameters!$B$4)</f>
        <v/>
      </c>
      <c r="C1289">
        <f>C1288-0.1*B1289+0</f>
        <v/>
      </c>
      <c r="D1289">
        <f>D1288-0.1*B1289+0</f>
        <v/>
      </c>
      <c r="E1289">
        <f>Parameters!$B$25</f>
        <v/>
      </c>
    </row>
    <row r="1290">
      <c r="A1290" t="n">
        <v>128.8</v>
      </c>
      <c r="B1290">
        <f>IF(A1290&gt;162.1,Parameters!$B$5,Parameters!$B$4)</f>
        <v/>
      </c>
      <c r="C1290">
        <f>C1289-0.1*B1290+0</f>
        <v/>
      </c>
      <c r="D1290">
        <f>D1289-0.1*B1290+0</f>
        <v/>
      </c>
      <c r="E1290">
        <f>Parameters!$B$25</f>
        <v/>
      </c>
    </row>
    <row r="1291">
      <c r="A1291" t="n">
        <v>128.9</v>
      </c>
      <c r="B1291">
        <f>IF(A1291&gt;162.1,Parameters!$B$5,Parameters!$B$4)</f>
        <v/>
      </c>
      <c r="C1291">
        <f>C1290-0.1*B1291+0</f>
        <v/>
      </c>
      <c r="D1291">
        <f>D1290-0.1*B1291+0</f>
        <v/>
      </c>
      <c r="E1291">
        <f>Parameters!$B$25</f>
        <v/>
      </c>
    </row>
    <row r="1292">
      <c r="A1292" t="n">
        <v>129</v>
      </c>
      <c r="B1292">
        <f>IF(A1292&gt;162.1,Parameters!$B$5,Parameters!$B$4)</f>
        <v/>
      </c>
      <c r="C1292">
        <f>C1291-0.1*B1292+0</f>
        <v/>
      </c>
      <c r="D1292">
        <f>D1291-0.1*B1292+0</f>
        <v/>
      </c>
      <c r="E1292">
        <f>Parameters!$B$25</f>
        <v/>
      </c>
    </row>
    <row r="1293">
      <c r="A1293" t="n">
        <v>129.1</v>
      </c>
      <c r="B1293">
        <f>IF(A1293&gt;162.1,Parameters!$B$5,Parameters!$B$4)</f>
        <v/>
      </c>
      <c r="C1293">
        <f>C1292-0.1*B1293+0</f>
        <v/>
      </c>
      <c r="D1293">
        <f>D1292-0.1*B1293+0</f>
        <v/>
      </c>
      <c r="E1293">
        <f>Parameters!$B$25</f>
        <v/>
      </c>
    </row>
    <row r="1294">
      <c r="A1294" t="n">
        <v>129.2</v>
      </c>
      <c r="B1294">
        <f>IF(A1294&gt;162.1,Parameters!$B$5,Parameters!$B$4)</f>
        <v/>
      </c>
      <c r="C1294">
        <f>C1293-0.1*B1294+0</f>
        <v/>
      </c>
      <c r="D1294">
        <f>D1293-0.1*B1294+0</f>
        <v/>
      </c>
      <c r="E1294">
        <f>Parameters!$B$25</f>
        <v/>
      </c>
    </row>
    <row r="1295">
      <c r="A1295" t="n">
        <v>129.3</v>
      </c>
      <c r="B1295">
        <f>IF(A1295&gt;162.1,Parameters!$B$5,Parameters!$B$4)</f>
        <v/>
      </c>
      <c r="C1295">
        <f>C1294-0.1*B1295+0</f>
        <v/>
      </c>
      <c r="D1295">
        <f>D1294-0.1*B1295+0</f>
        <v/>
      </c>
      <c r="E1295">
        <f>Parameters!$B$25</f>
        <v/>
      </c>
    </row>
    <row r="1296">
      <c r="A1296" t="n">
        <v>129.4</v>
      </c>
      <c r="B1296">
        <f>IF(A1296&gt;162.1,Parameters!$B$5,Parameters!$B$4)</f>
        <v/>
      </c>
      <c r="C1296">
        <f>C1295-0.1*B1296+0</f>
        <v/>
      </c>
      <c r="D1296">
        <f>D1295-0.1*B1296+0</f>
        <v/>
      </c>
      <c r="E1296">
        <f>Parameters!$B$25</f>
        <v/>
      </c>
    </row>
    <row r="1297">
      <c r="A1297" t="n">
        <v>129.5</v>
      </c>
      <c r="B1297">
        <f>IF(A1297&gt;162.1,Parameters!$B$5,Parameters!$B$4)</f>
        <v/>
      </c>
      <c r="C1297">
        <f>C1296-0.1*B1297+0</f>
        <v/>
      </c>
      <c r="D1297">
        <f>D1296-0.1*B1297+0</f>
        <v/>
      </c>
      <c r="E1297">
        <f>Parameters!$B$25</f>
        <v/>
      </c>
    </row>
    <row r="1298">
      <c r="A1298" t="n">
        <v>129.6</v>
      </c>
      <c r="B1298">
        <f>IF(A1298&gt;162.1,Parameters!$B$5,Parameters!$B$4)</f>
        <v/>
      </c>
      <c r="C1298">
        <f>C1297-0.1*B1298+0</f>
        <v/>
      </c>
      <c r="D1298">
        <f>D1297-0.1*B1298+0</f>
        <v/>
      </c>
      <c r="E1298">
        <f>Parameters!$B$25</f>
        <v/>
      </c>
    </row>
    <row r="1299">
      <c r="A1299" t="n">
        <v>129.7</v>
      </c>
      <c r="B1299">
        <f>IF(A1299&gt;162.1,Parameters!$B$5,Parameters!$B$4)</f>
        <v/>
      </c>
      <c r="C1299">
        <f>C1298-0.1*B1299+0</f>
        <v/>
      </c>
      <c r="D1299">
        <f>D1298-0.1*B1299+0</f>
        <v/>
      </c>
      <c r="E1299">
        <f>Parameters!$B$25</f>
        <v/>
      </c>
    </row>
    <row r="1300">
      <c r="A1300" t="n">
        <v>129.8</v>
      </c>
      <c r="B1300">
        <f>IF(A1300&gt;162.1,Parameters!$B$5,Parameters!$B$4)</f>
        <v/>
      </c>
      <c r="C1300">
        <f>C1299-0.1*B1300+0</f>
        <v/>
      </c>
      <c r="D1300">
        <f>D1299-0.1*B1300+0</f>
        <v/>
      </c>
      <c r="E1300">
        <f>Parameters!$B$25</f>
        <v/>
      </c>
    </row>
    <row r="1301">
      <c r="A1301" t="n">
        <v>129.9</v>
      </c>
      <c r="B1301">
        <f>IF(A1301&gt;162.1,Parameters!$B$5,Parameters!$B$4)</f>
        <v/>
      </c>
      <c r="C1301">
        <f>C1300-0.1*B1301+0</f>
        <v/>
      </c>
      <c r="D1301">
        <f>D1300-0.1*B1301+0</f>
        <v/>
      </c>
      <c r="E1301">
        <f>Parameters!$B$25</f>
        <v/>
      </c>
    </row>
    <row r="1302">
      <c r="A1302" t="n">
        <v>130</v>
      </c>
      <c r="B1302">
        <f>IF(A1302&gt;162.1,Parameters!$B$5,Parameters!$B$4)</f>
        <v/>
      </c>
      <c r="C1302">
        <f>C1301-0.1*B1302+0</f>
        <v/>
      </c>
      <c r="D1302">
        <f>D1301-0.1*B1302+0</f>
        <v/>
      </c>
      <c r="E1302">
        <f>Parameters!$B$25</f>
        <v/>
      </c>
    </row>
    <row r="1303">
      <c r="A1303" t="n">
        <v>130.1</v>
      </c>
      <c r="B1303">
        <f>IF(A1303&gt;162.1,Parameters!$B$5,Parameters!$B$4)</f>
        <v/>
      </c>
      <c r="C1303">
        <f>C1302-0.1*B1303+0</f>
        <v/>
      </c>
      <c r="D1303">
        <f>D1302-0.1*B1303+0</f>
        <v/>
      </c>
      <c r="E1303">
        <f>Parameters!$B$25</f>
        <v/>
      </c>
    </row>
    <row r="1304">
      <c r="A1304" t="n">
        <v>130.2</v>
      </c>
      <c r="B1304">
        <f>IF(A1304&gt;162.1,Parameters!$B$5,Parameters!$B$4)</f>
        <v/>
      </c>
      <c r="C1304">
        <f>C1303-0.1*B1304+0</f>
        <v/>
      </c>
      <c r="D1304">
        <f>D1303-0.1*B1304+0</f>
        <v/>
      </c>
      <c r="E1304">
        <f>Parameters!$B$25</f>
        <v/>
      </c>
    </row>
    <row r="1305">
      <c r="A1305" t="n">
        <v>130.3</v>
      </c>
      <c r="B1305">
        <f>IF(A1305&gt;162.1,Parameters!$B$5,Parameters!$B$4)</f>
        <v/>
      </c>
      <c r="C1305">
        <f>C1304-0.1*B1305+0</f>
        <v/>
      </c>
      <c r="D1305">
        <f>D1304-0.1*B1305+0</f>
        <v/>
      </c>
      <c r="E1305">
        <f>Parameters!$B$25</f>
        <v/>
      </c>
    </row>
    <row r="1306">
      <c r="A1306" t="n">
        <v>130.4</v>
      </c>
      <c r="B1306">
        <f>IF(A1306&gt;162.1,Parameters!$B$5,Parameters!$B$4)</f>
        <v/>
      </c>
      <c r="C1306">
        <f>C1305-0.1*B1306+0</f>
        <v/>
      </c>
      <c r="D1306">
        <f>D1305-0.1*B1306+0</f>
        <v/>
      </c>
      <c r="E1306">
        <f>Parameters!$B$25</f>
        <v/>
      </c>
    </row>
    <row r="1307">
      <c r="A1307" t="n">
        <v>130.5</v>
      </c>
      <c r="B1307">
        <f>IF(A1307&gt;162.1,Parameters!$B$5,Parameters!$B$4)</f>
        <v/>
      </c>
      <c r="C1307">
        <f>C1306-0.1*B1307+0</f>
        <v/>
      </c>
      <c r="D1307">
        <f>D1306-0.1*B1307+0</f>
        <v/>
      </c>
      <c r="E1307">
        <f>Parameters!$B$25</f>
        <v/>
      </c>
    </row>
    <row r="1308">
      <c r="A1308" t="n">
        <v>130.6</v>
      </c>
      <c r="B1308">
        <f>IF(A1308&gt;162.1,Parameters!$B$5,Parameters!$B$4)</f>
        <v/>
      </c>
      <c r="C1308">
        <f>C1307-0.1*B1308+0</f>
        <v/>
      </c>
      <c r="D1308">
        <f>D1307-0.1*B1308+0</f>
        <v/>
      </c>
      <c r="E1308">
        <f>Parameters!$B$25</f>
        <v/>
      </c>
    </row>
    <row r="1309">
      <c r="A1309" t="n">
        <v>130.7</v>
      </c>
      <c r="B1309">
        <f>IF(A1309&gt;162.1,Parameters!$B$5,Parameters!$B$4)</f>
        <v/>
      </c>
      <c r="C1309">
        <f>C1308-0.1*B1309+0</f>
        <v/>
      </c>
      <c r="D1309">
        <f>D1308-0.1*B1309+0</f>
        <v/>
      </c>
      <c r="E1309">
        <f>Parameters!$B$25</f>
        <v/>
      </c>
    </row>
    <row r="1310">
      <c r="A1310" t="n">
        <v>130.8</v>
      </c>
      <c r="B1310">
        <f>IF(A1310&gt;162.1,Parameters!$B$5,Parameters!$B$4)</f>
        <v/>
      </c>
      <c r="C1310">
        <f>C1309-0.1*B1310+0</f>
        <v/>
      </c>
      <c r="D1310">
        <f>D1309-0.1*B1310+0</f>
        <v/>
      </c>
      <c r="E1310">
        <f>Parameters!$B$25</f>
        <v/>
      </c>
    </row>
    <row r="1311">
      <c r="A1311" t="n">
        <v>130.9</v>
      </c>
      <c r="B1311">
        <f>IF(A1311&gt;162.1,Parameters!$B$5,Parameters!$B$4)</f>
        <v/>
      </c>
      <c r="C1311">
        <f>C1310-0.1*B1311+0</f>
        <v/>
      </c>
      <c r="D1311">
        <f>D1310-0.1*B1311+0</f>
        <v/>
      </c>
      <c r="E1311">
        <f>Parameters!$B$25</f>
        <v/>
      </c>
    </row>
    <row r="1312">
      <c r="A1312" t="n">
        <v>131</v>
      </c>
      <c r="B1312">
        <f>IF(A1312&gt;162.1,Parameters!$B$5,Parameters!$B$4)</f>
        <v/>
      </c>
      <c r="C1312">
        <f>C1311-0.1*B1312+0</f>
        <v/>
      </c>
      <c r="D1312">
        <f>D1311-0.1*B1312+0</f>
        <v/>
      </c>
      <c r="E1312">
        <f>Parameters!$B$25</f>
        <v/>
      </c>
    </row>
    <row r="1313">
      <c r="A1313" t="n">
        <v>131.1</v>
      </c>
      <c r="B1313">
        <f>IF(A1313&gt;162.1,Parameters!$B$5,Parameters!$B$4)</f>
        <v/>
      </c>
      <c r="C1313">
        <f>C1312-0.1*B1313+0</f>
        <v/>
      </c>
      <c r="D1313">
        <f>D1312-0.1*B1313+0</f>
        <v/>
      </c>
      <c r="E1313">
        <f>Parameters!$B$25</f>
        <v/>
      </c>
    </row>
    <row r="1314">
      <c r="A1314" t="n">
        <v>131.2</v>
      </c>
      <c r="B1314">
        <f>IF(A1314&gt;162.1,Parameters!$B$5,Parameters!$B$4)</f>
        <v/>
      </c>
      <c r="C1314">
        <f>C1313-0.1*B1314+0</f>
        <v/>
      </c>
      <c r="D1314">
        <f>D1313-0.1*B1314+0</f>
        <v/>
      </c>
      <c r="E1314">
        <f>Parameters!$B$25</f>
        <v/>
      </c>
    </row>
    <row r="1315">
      <c r="A1315" t="n">
        <v>131.3</v>
      </c>
      <c r="B1315">
        <f>IF(A1315&gt;162.1,Parameters!$B$5,Parameters!$B$4)</f>
        <v/>
      </c>
      <c r="C1315">
        <f>C1314-0.1*B1315+0</f>
        <v/>
      </c>
      <c r="D1315">
        <f>D1314-0.1*B1315+0</f>
        <v/>
      </c>
      <c r="E1315">
        <f>Parameters!$B$25</f>
        <v/>
      </c>
    </row>
    <row r="1316">
      <c r="A1316" t="n">
        <v>131.4</v>
      </c>
      <c r="B1316">
        <f>IF(A1316&gt;162.1,Parameters!$B$5,Parameters!$B$4)</f>
        <v/>
      </c>
      <c r="C1316">
        <f>C1315-0.1*B1316+0</f>
        <v/>
      </c>
      <c r="D1316">
        <f>D1315-0.1*B1316+0</f>
        <v/>
      </c>
      <c r="E1316">
        <f>Parameters!$B$25</f>
        <v/>
      </c>
    </row>
    <row r="1317">
      <c r="A1317" t="n">
        <v>131.5</v>
      </c>
      <c r="B1317">
        <f>IF(A1317&gt;162.1,Parameters!$B$5,Parameters!$B$4)</f>
        <v/>
      </c>
      <c r="C1317">
        <f>C1316-0.1*B1317+0</f>
        <v/>
      </c>
      <c r="D1317">
        <f>D1316-0.1*B1317+0</f>
        <v/>
      </c>
      <c r="E1317">
        <f>Parameters!$B$25</f>
        <v/>
      </c>
    </row>
    <row r="1318">
      <c r="A1318" t="n">
        <v>131.6</v>
      </c>
      <c r="B1318">
        <f>IF(A1318&gt;162.1,Parameters!$B$5,Parameters!$B$4)</f>
        <v/>
      </c>
      <c r="C1318">
        <f>C1317-0.1*B1318+0</f>
        <v/>
      </c>
      <c r="D1318">
        <f>D1317-0.1*B1318+0</f>
        <v/>
      </c>
      <c r="E1318">
        <f>Parameters!$B$25</f>
        <v/>
      </c>
    </row>
    <row r="1319">
      <c r="A1319" t="n">
        <v>131.7</v>
      </c>
      <c r="B1319">
        <f>IF(A1319&gt;162.1,Parameters!$B$5,Parameters!$B$4)</f>
        <v/>
      </c>
      <c r="C1319">
        <f>C1318-0.1*B1319+0</f>
        <v/>
      </c>
      <c r="D1319">
        <f>D1318-0.1*B1319+0</f>
        <v/>
      </c>
      <c r="E1319">
        <f>Parameters!$B$25</f>
        <v/>
      </c>
    </row>
    <row r="1320">
      <c r="A1320" t="n">
        <v>131.8</v>
      </c>
      <c r="B1320">
        <f>IF(A1320&gt;162.1,Parameters!$B$5,Parameters!$B$4)</f>
        <v/>
      </c>
      <c r="C1320">
        <f>C1319-0.1*B1320+0</f>
        <v/>
      </c>
      <c r="D1320">
        <f>D1319-0.1*B1320+0</f>
        <v/>
      </c>
      <c r="E1320">
        <f>Parameters!$B$25</f>
        <v/>
      </c>
    </row>
    <row r="1321">
      <c r="A1321" t="n">
        <v>131.9</v>
      </c>
      <c r="B1321">
        <f>IF(A1321&gt;162.1,Parameters!$B$5,Parameters!$B$4)</f>
        <v/>
      </c>
      <c r="C1321">
        <f>C1320-0.1*B1321+0</f>
        <v/>
      </c>
      <c r="D1321">
        <f>D1320-0.1*B1321+0</f>
        <v/>
      </c>
      <c r="E1321">
        <f>Parameters!$B$25</f>
        <v/>
      </c>
    </row>
    <row r="1322">
      <c r="A1322" t="n">
        <v>132</v>
      </c>
      <c r="B1322">
        <f>IF(A1322&gt;162.1,Parameters!$B$5,Parameters!$B$4)</f>
        <v/>
      </c>
      <c r="C1322">
        <f>C1321-0.1*B1322+0</f>
        <v/>
      </c>
      <c r="D1322">
        <f>D1321-0.1*B1322+0</f>
        <v/>
      </c>
      <c r="E1322">
        <f>Parameters!$B$25</f>
        <v/>
      </c>
    </row>
    <row r="1323">
      <c r="A1323" t="n">
        <v>132.1</v>
      </c>
      <c r="B1323">
        <f>IF(A1323&gt;162.1,Parameters!$B$5,Parameters!$B$4)</f>
        <v/>
      </c>
      <c r="C1323">
        <f>C1322-0.1*B1323+0</f>
        <v/>
      </c>
      <c r="D1323">
        <f>D1322-0.1*B1323+0</f>
        <v/>
      </c>
      <c r="E1323">
        <f>Parameters!$B$25</f>
        <v/>
      </c>
    </row>
    <row r="1324">
      <c r="A1324" t="n">
        <v>132.2</v>
      </c>
      <c r="B1324">
        <f>IF(A1324&gt;162.1,Parameters!$B$5,Parameters!$B$4)</f>
        <v/>
      </c>
      <c r="C1324">
        <f>C1323-0.1*B1324+0</f>
        <v/>
      </c>
      <c r="D1324">
        <f>D1323-0.1*B1324+0</f>
        <v/>
      </c>
      <c r="E1324">
        <f>Parameters!$B$25</f>
        <v/>
      </c>
    </row>
    <row r="1325">
      <c r="A1325" t="n">
        <v>132.3</v>
      </c>
      <c r="B1325">
        <f>IF(A1325&gt;162.1,Parameters!$B$5,Parameters!$B$4)</f>
        <v/>
      </c>
      <c r="C1325">
        <f>C1324-0.1*B1325+0</f>
        <v/>
      </c>
      <c r="D1325">
        <f>D1324-0.1*B1325+0</f>
        <v/>
      </c>
      <c r="E1325">
        <f>Parameters!$B$25</f>
        <v/>
      </c>
    </row>
    <row r="1326">
      <c r="A1326" t="n">
        <v>132.4</v>
      </c>
      <c r="B1326">
        <f>IF(A1326&gt;162.1,Parameters!$B$5,Parameters!$B$4)</f>
        <v/>
      </c>
      <c r="C1326">
        <f>C1325-0.1*B1326+0</f>
        <v/>
      </c>
      <c r="D1326">
        <f>D1325-0.1*B1326+0</f>
        <v/>
      </c>
      <c r="E1326">
        <f>Parameters!$B$25</f>
        <v/>
      </c>
    </row>
    <row r="1327">
      <c r="A1327" t="n">
        <v>132.5</v>
      </c>
      <c r="B1327">
        <f>IF(A1327&gt;162.1,Parameters!$B$5,Parameters!$B$4)</f>
        <v/>
      </c>
      <c r="C1327">
        <f>C1326-0.1*B1327+0</f>
        <v/>
      </c>
      <c r="D1327">
        <f>D1326-0.1*B1327+0</f>
        <v/>
      </c>
      <c r="E1327">
        <f>Parameters!$B$25</f>
        <v/>
      </c>
    </row>
    <row r="1328">
      <c r="A1328" t="n">
        <v>132.6</v>
      </c>
      <c r="B1328">
        <f>IF(A1328&gt;162.1,Parameters!$B$5,Parameters!$B$4)</f>
        <v/>
      </c>
      <c r="C1328">
        <f>C1327-0.1*B1328+0</f>
        <v/>
      </c>
      <c r="D1328">
        <f>D1327-0.1*B1328+0</f>
        <v/>
      </c>
      <c r="E1328">
        <f>Parameters!$B$25</f>
        <v/>
      </c>
    </row>
    <row r="1329">
      <c r="A1329" t="n">
        <v>132.7</v>
      </c>
      <c r="B1329">
        <f>IF(A1329&gt;162.1,Parameters!$B$5,Parameters!$B$4)</f>
        <v/>
      </c>
      <c r="C1329">
        <f>C1328-0.1*B1329+0</f>
        <v/>
      </c>
      <c r="D1329">
        <f>D1328-0.1*B1329+0</f>
        <v/>
      </c>
      <c r="E1329">
        <f>Parameters!$B$25</f>
        <v/>
      </c>
    </row>
    <row r="1330">
      <c r="A1330" t="n">
        <v>132.8</v>
      </c>
      <c r="B1330">
        <f>IF(A1330&gt;162.1,Parameters!$B$5,Parameters!$B$4)</f>
        <v/>
      </c>
      <c r="C1330">
        <f>C1329-0.1*B1330+0</f>
        <v/>
      </c>
      <c r="D1330">
        <f>D1329-0.1*B1330+0</f>
        <v/>
      </c>
      <c r="E1330">
        <f>Parameters!$B$25</f>
        <v/>
      </c>
    </row>
    <row r="1331">
      <c r="A1331" t="n">
        <v>132.9</v>
      </c>
      <c r="B1331">
        <f>IF(A1331&gt;162.1,Parameters!$B$5,Parameters!$B$4)</f>
        <v/>
      </c>
      <c r="C1331">
        <f>C1330-0.1*B1331+0</f>
        <v/>
      </c>
      <c r="D1331">
        <f>D1330-0.1*B1331+0</f>
        <v/>
      </c>
      <c r="E1331">
        <f>Parameters!$B$25</f>
        <v/>
      </c>
    </row>
    <row r="1332">
      <c r="A1332" t="n">
        <v>133</v>
      </c>
      <c r="B1332">
        <f>IF(A1332&gt;162.1,Parameters!$B$5,Parameters!$B$4)</f>
        <v/>
      </c>
      <c r="C1332">
        <f>C1331-0.1*B1332+0</f>
        <v/>
      </c>
      <c r="D1332">
        <f>D1331-0.1*B1332+0</f>
        <v/>
      </c>
      <c r="E1332">
        <f>Parameters!$B$25</f>
        <v/>
      </c>
    </row>
    <row r="1333">
      <c r="A1333" t="n">
        <v>133.1</v>
      </c>
      <c r="B1333">
        <f>IF(A1333&gt;162.1,Parameters!$B$5,Parameters!$B$4)</f>
        <v/>
      </c>
      <c r="C1333">
        <f>C1332-0.1*B1333+0</f>
        <v/>
      </c>
      <c r="D1333">
        <f>D1332-0.1*B1333+0</f>
        <v/>
      </c>
      <c r="E1333">
        <f>Parameters!$B$25</f>
        <v/>
      </c>
    </row>
    <row r="1334">
      <c r="A1334" t="n">
        <v>133.2</v>
      </c>
      <c r="B1334">
        <f>IF(A1334&gt;162.1,Parameters!$B$5,Parameters!$B$4)</f>
        <v/>
      </c>
      <c r="C1334">
        <f>C1333-0.1*B1334+0</f>
        <v/>
      </c>
      <c r="D1334">
        <f>D1333-0.1*B1334+0</f>
        <v/>
      </c>
      <c r="E1334">
        <f>Parameters!$B$25</f>
        <v/>
      </c>
    </row>
    <row r="1335">
      <c r="A1335" t="n">
        <v>133.3</v>
      </c>
      <c r="B1335">
        <f>IF(A1335&gt;162.1,Parameters!$B$5,Parameters!$B$4)</f>
        <v/>
      </c>
      <c r="C1335">
        <f>C1334-0.1*B1335+0</f>
        <v/>
      </c>
      <c r="D1335">
        <f>D1334-0.1*B1335+0</f>
        <v/>
      </c>
      <c r="E1335">
        <f>Parameters!$B$25</f>
        <v/>
      </c>
    </row>
    <row r="1336">
      <c r="A1336" t="n">
        <v>133.4</v>
      </c>
      <c r="B1336">
        <f>IF(A1336&gt;162.1,Parameters!$B$5,Parameters!$B$4)</f>
        <v/>
      </c>
      <c r="C1336">
        <f>C1335-0.1*B1336+0</f>
        <v/>
      </c>
      <c r="D1336">
        <f>D1335-0.1*B1336+0</f>
        <v/>
      </c>
      <c r="E1336">
        <f>Parameters!$B$25</f>
        <v/>
      </c>
    </row>
    <row r="1337">
      <c r="A1337" t="n">
        <v>133.5</v>
      </c>
      <c r="B1337">
        <f>IF(A1337&gt;162.1,Parameters!$B$5,Parameters!$B$4)</f>
        <v/>
      </c>
      <c r="C1337">
        <f>C1336-0.1*B1337+0</f>
        <v/>
      </c>
      <c r="D1337">
        <f>D1336-0.1*B1337+0</f>
        <v/>
      </c>
      <c r="E1337">
        <f>Parameters!$B$25</f>
        <v/>
      </c>
    </row>
    <row r="1338">
      <c r="A1338" t="n">
        <v>133.6</v>
      </c>
      <c r="B1338">
        <f>IF(A1338&gt;162.1,Parameters!$B$5,Parameters!$B$4)</f>
        <v/>
      </c>
      <c r="C1338">
        <f>C1337-0.1*B1338+0</f>
        <v/>
      </c>
      <c r="D1338">
        <f>D1337-0.1*B1338+0</f>
        <v/>
      </c>
      <c r="E1338">
        <f>Parameters!$B$25</f>
        <v/>
      </c>
    </row>
    <row r="1339">
      <c r="A1339" t="n">
        <v>133.7</v>
      </c>
      <c r="B1339">
        <f>IF(A1339&gt;162.1,Parameters!$B$5,Parameters!$B$4)</f>
        <v/>
      </c>
      <c r="C1339">
        <f>C1338-0.1*B1339+0</f>
        <v/>
      </c>
      <c r="D1339">
        <f>D1338-0.1*B1339+0</f>
        <v/>
      </c>
      <c r="E1339">
        <f>Parameters!$B$25</f>
        <v/>
      </c>
    </row>
    <row r="1340">
      <c r="A1340" t="n">
        <v>133.8</v>
      </c>
      <c r="B1340">
        <f>IF(A1340&gt;162.1,Parameters!$B$5,Parameters!$B$4)</f>
        <v/>
      </c>
      <c r="C1340">
        <f>C1339-0.1*B1340+0</f>
        <v/>
      </c>
      <c r="D1340">
        <f>D1339-0.1*B1340+0</f>
        <v/>
      </c>
      <c r="E1340">
        <f>Parameters!$B$25</f>
        <v/>
      </c>
    </row>
    <row r="1341">
      <c r="A1341" t="n">
        <v>133.9</v>
      </c>
      <c r="B1341">
        <f>IF(A1341&gt;162.1,Parameters!$B$5,Parameters!$B$4)</f>
        <v/>
      </c>
      <c r="C1341">
        <f>C1340-0.1*B1341+0</f>
        <v/>
      </c>
      <c r="D1341">
        <f>D1340-0.1*B1341+0</f>
        <v/>
      </c>
      <c r="E1341">
        <f>Parameters!$B$25</f>
        <v/>
      </c>
    </row>
    <row r="1342">
      <c r="A1342" t="n">
        <v>134</v>
      </c>
      <c r="B1342">
        <f>IF(A1342&gt;162.1,Parameters!$B$5,Parameters!$B$4)</f>
        <v/>
      </c>
      <c r="C1342">
        <f>C1341-0.1*B1342+0</f>
        <v/>
      </c>
      <c r="D1342">
        <f>D1341-0.1*B1342+0</f>
        <v/>
      </c>
      <c r="E1342">
        <f>Parameters!$B$25</f>
        <v/>
      </c>
    </row>
    <row r="1343">
      <c r="A1343" t="n">
        <v>134.1</v>
      </c>
      <c r="B1343">
        <f>IF(A1343&gt;162.1,Parameters!$B$5,Parameters!$B$4)</f>
        <v/>
      </c>
      <c r="C1343">
        <f>C1342-0.1*B1343+0</f>
        <v/>
      </c>
      <c r="D1343">
        <f>D1342-0.1*B1343+0</f>
        <v/>
      </c>
      <c r="E1343">
        <f>Parameters!$B$25</f>
        <v/>
      </c>
    </row>
    <row r="1344">
      <c r="A1344" t="n">
        <v>134.2</v>
      </c>
      <c r="B1344">
        <f>IF(A1344&gt;162.1,Parameters!$B$5,Parameters!$B$4)</f>
        <v/>
      </c>
      <c r="C1344">
        <f>C1343-0.1*B1344+0</f>
        <v/>
      </c>
      <c r="D1344">
        <f>D1343-0.1*B1344+0</f>
        <v/>
      </c>
      <c r="E1344">
        <f>Parameters!$B$25</f>
        <v/>
      </c>
    </row>
    <row r="1345">
      <c r="A1345" t="n">
        <v>134.3</v>
      </c>
      <c r="B1345">
        <f>IF(A1345&gt;162.1,Parameters!$B$5,Parameters!$B$4)</f>
        <v/>
      </c>
      <c r="C1345">
        <f>C1344-0.1*B1345+0</f>
        <v/>
      </c>
      <c r="D1345">
        <f>D1344-0.1*B1345+0</f>
        <v/>
      </c>
      <c r="E1345">
        <f>Parameters!$B$25</f>
        <v/>
      </c>
    </row>
    <row r="1346">
      <c r="A1346" t="n">
        <v>134.4</v>
      </c>
      <c r="B1346">
        <f>IF(A1346&gt;162.1,Parameters!$B$5,Parameters!$B$4)</f>
        <v/>
      </c>
      <c r="C1346">
        <f>C1345-0.1*B1346+0</f>
        <v/>
      </c>
      <c r="D1346">
        <f>D1345-0.1*B1346+0</f>
        <v/>
      </c>
      <c r="E1346">
        <f>Parameters!$B$25</f>
        <v/>
      </c>
    </row>
    <row r="1347">
      <c r="A1347" t="n">
        <v>134.5</v>
      </c>
      <c r="B1347">
        <f>IF(A1347&gt;162.1,Parameters!$B$5,Parameters!$B$4)</f>
        <v/>
      </c>
      <c r="C1347">
        <f>C1346-0.1*B1347+0</f>
        <v/>
      </c>
      <c r="D1347">
        <f>D1346-0.1*B1347+0</f>
        <v/>
      </c>
      <c r="E1347">
        <f>Parameters!$B$25</f>
        <v/>
      </c>
    </row>
    <row r="1348">
      <c r="A1348" t="n">
        <v>134.6</v>
      </c>
      <c r="B1348">
        <f>IF(A1348&gt;162.1,Parameters!$B$5,Parameters!$B$4)</f>
        <v/>
      </c>
      <c r="C1348">
        <f>C1347-0.1*B1348+0</f>
        <v/>
      </c>
      <c r="D1348">
        <f>D1347-0.1*B1348+0</f>
        <v/>
      </c>
      <c r="E1348">
        <f>Parameters!$B$25</f>
        <v/>
      </c>
    </row>
    <row r="1349">
      <c r="A1349" t="n">
        <v>134.7</v>
      </c>
      <c r="B1349">
        <f>IF(A1349&gt;162.1,Parameters!$B$5,Parameters!$B$4)</f>
        <v/>
      </c>
      <c r="C1349">
        <f>C1348-0.1*B1349+0</f>
        <v/>
      </c>
      <c r="D1349">
        <f>D1348-0.1*B1349+0</f>
        <v/>
      </c>
      <c r="E1349">
        <f>Parameters!$B$25</f>
        <v/>
      </c>
    </row>
    <row r="1350">
      <c r="A1350" t="n">
        <v>134.8</v>
      </c>
      <c r="B1350">
        <f>IF(A1350&gt;162.1,Parameters!$B$5,Parameters!$B$4)</f>
        <v/>
      </c>
      <c r="C1350">
        <f>C1349-0.1*B1350+0</f>
        <v/>
      </c>
      <c r="D1350">
        <f>D1349-0.1*B1350+0</f>
        <v/>
      </c>
      <c r="E1350">
        <f>Parameters!$B$25</f>
        <v/>
      </c>
    </row>
    <row r="1351">
      <c r="A1351" t="n">
        <v>134.9</v>
      </c>
      <c r="B1351">
        <f>IF(A1351&gt;162.1,Parameters!$B$5,Parameters!$B$4)</f>
        <v/>
      </c>
      <c r="C1351">
        <f>C1350-0.1*B1351+0</f>
        <v/>
      </c>
      <c r="D1351">
        <f>D1350-0.1*B1351+0</f>
        <v/>
      </c>
      <c r="E1351">
        <f>Parameters!$B$25</f>
        <v/>
      </c>
    </row>
    <row r="1352">
      <c r="A1352" t="n">
        <v>135</v>
      </c>
      <c r="B1352">
        <f>IF(A1352&gt;162.1,Parameters!$B$5,Parameters!$B$4)</f>
        <v/>
      </c>
      <c r="C1352">
        <f>C1351-0.1*B1352+0</f>
        <v/>
      </c>
      <c r="D1352">
        <f>D1351-0.1*B1352+0</f>
        <v/>
      </c>
      <c r="E1352">
        <f>Parameters!$B$25</f>
        <v/>
      </c>
    </row>
    <row r="1353">
      <c r="A1353" t="n">
        <v>135.1</v>
      </c>
      <c r="B1353">
        <f>IF(A1353&gt;162.1,Parameters!$B$5,Parameters!$B$4)</f>
        <v/>
      </c>
      <c r="C1353">
        <f>C1352-0.1*B1353+0</f>
        <v/>
      </c>
      <c r="D1353">
        <f>D1352-0.1*B1353+0</f>
        <v/>
      </c>
      <c r="E1353">
        <f>Parameters!$B$25</f>
        <v/>
      </c>
    </row>
    <row r="1354">
      <c r="A1354" t="n">
        <v>135.2</v>
      </c>
      <c r="B1354">
        <f>IF(A1354&gt;162.1,Parameters!$B$5,Parameters!$B$4)</f>
        <v/>
      </c>
      <c r="C1354">
        <f>C1353-0.1*B1354+0</f>
        <v/>
      </c>
      <c r="D1354">
        <f>D1353-0.1*B1354+0</f>
        <v/>
      </c>
      <c r="E1354">
        <f>Parameters!$B$25</f>
        <v/>
      </c>
    </row>
    <row r="1355">
      <c r="A1355" t="n">
        <v>135.3</v>
      </c>
      <c r="B1355">
        <f>IF(A1355&gt;162.1,Parameters!$B$5,Parameters!$B$4)</f>
        <v/>
      </c>
      <c r="C1355">
        <f>C1354-0.1*B1355+0</f>
        <v/>
      </c>
      <c r="D1355">
        <f>D1354-0.1*B1355+0</f>
        <v/>
      </c>
      <c r="E1355">
        <f>Parameters!$B$25</f>
        <v/>
      </c>
    </row>
    <row r="1356">
      <c r="A1356" t="n">
        <v>135.4</v>
      </c>
      <c r="B1356">
        <f>IF(A1356&gt;162.1,Parameters!$B$5,Parameters!$B$4)</f>
        <v/>
      </c>
      <c r="C1356">
        <f>C1355-0.1*B1356+0</f>
        <v/>
      </c>
      <c r="D1356">
        <f>D1355-0.1*B1356+0</f>
        <v/>
      </c>
      <c r="E1356">
        <f>Parameters!$B$25</f>
        <v/>
      </c>
    </row>
    <row r="1357">
      <c r="A1357" t="n">
        <v>135.5</v>
      </c>
      <c r="B1357">
        <f>IF(A1357&gt;162.1,Parameters!$B$5,Parameters!$B$4)</f>
        <v/>
      </c>
      <c r="C1357">
        <f>C1356-0.1*B1357+0</f>
        <v/>
      </c>
      <c r="D1357">
        <f>D1356-0.1*B1357+0</f>
        <v/>
      </c>
      <c r="E1357">
        <f>Parameters!$B$25</f>
        <v/>
      </c>
    </row>
    <row r="1358">
      <c r="A1358" t="n">
        <v>135.6</v>
      </c>
      <c r="B1358">
        <f>IF(A1358&gt;162.1,Parameters!$B$5,Parameters!$B$4)</f>
        <v/>
      </c>
      <c r="C1358">
        <f>C1357-0.1*B1358+0</f>
        <v/>
      </c>
      <c r="D1358">
        <f>D1357-0.1*B1358+0</f>
        <v/>
      </c>
      <c r="E1358">
        <f>Parameters!$B$25</f>
        <v/>
      </c>
    </row>
    <row r="1359">
      <c r="A1359" t="n">
        <v>135.7</v>
      </c>
      <c r="B1359">
        <f>IF(A1359&gt;162.1,Parameters!$B$5,Parameters!$B$4)</f>
        <v/>
      </c>
      <c r="C1359">
        <f>C1358-0.1*B1359+0</f>
        <v/>
      </c>
      <c r="D1359">
        <f>D1358-0.1*B1359+0</f>
        <v/>
      </c>
      <c r="E1359">
        <f>Parameters!$B$25</f>
        <v/>
      </c>
    </row>
    <row r="1360">
      <c r="A1360" t="n">
        <v>135.8</v>
      </c>
      <c r="B1360">
        <f>IF(A1360&gt;162.1,Parameters!$B$5,Parameters!$B$4)</f>
        <v/>
      </c>
      <c r="C1360">
        <f>C1359-0.1*B1360+0</f>
        <v/>
      </c>
      <c r="D1360">
        <f>D1359-0.1*B1360+0</f>
        <v/>
      </c>
      <c r="E1360">
        <f>Parameters!$B$25</f>
        <v/>
      </c>
    </row>
    <row r="1361">
      <c r="A1361" t="n">
        <v>135.9</v>
      </c>
      <c r="B1361">
        <f>IF(A1361&gt;162.1,Parameters!$B$5,Parameters!$B$4)</f>
        <v/>
      </c>
      <c r="C1361">
        <f>C1360-0.1*B1361+0</f>
        <v/>
      </c>
      <c r="D1361">
        <f>D1360-0.1*B1361+0</f>
        <v/>
      </c>
      <c r="E1361">
        <f>Parameters!$B$25</f>
        <v/>
      </c>
    </row>
    <row r="1362">
      <c r="A1362" t="n">
        <v>136</v>
      </c>
      <c r="B1362">
        <f>IF(A1362&gt;162.1,Parameters!$B$5,Parameters!$B$4)</f>
        <v/>
      </c>
      <c r="C1362">
        <f>C1361-0.1*B1362+0</f>
        <v/>
      </c>
      <c r="D1362">
        <f>D1361-0.1*B1362+0</f>
        <v/>
      </c>
      <c r="E1362">
        <f>Parameters!$B$25</f>
        <v/>
      </c>
    </row>
    <row r="1363">
      <c r="A1363" t="n">
        <v>136.1</v>
      </c>
      <c r="B1363">
        <f>IF(A1363&gt;162.1,Parameters!$B$5,Parameters!$B$4)</f>
        <v/>
      </c>
      <c r="C1363">
        <f>C1362-0.1*B1363+0</f>
        <v/>
      </c>
      <c r="D1363">
        <f>D1362-0.1*B1363+0</f>
        <v/>
      </c>
      <c r="E1363">
        <f>Parameters!$B$25</f>
        <v/>
      </c>
    </row>
    <row r="1364">
      <c r="A1364" t="n">
        <v>136.2</v>
      </c>
      <c r="B1364">
        <f>IF(A1364&gt;162.1,Parameters!$B$5,Parameters!$B$4)</f>
        <v/>
      </c>
      <c r="C1364">
        <f>C1363-0.1*B1364+0</f>
        <v/>
      </c>
      <c r="D1364">
        <f>D1363-0.1*B1364+0</f>
        <v/>
      </c>
      <c r="E1364">
        <f>Parameters!$B$25</f>
        <v/>
      </c>
    </row>
    <row r="1365">
      <c r="A1365" t="n">
        <v>136.3</v>
      </c>
      <c r="B1365">
        <f>IF(A1365&gt;162.1,Parameters!$B$5,Parameters!$B$4)</f>
        <v/>
      </c>
      <c r="C1365">
        <f>C1364-0.1*B1365+0</f>
        <v/>
      </c>
      <c r="D1365">
        <f>D1364-0.1*B1365+0</f>
        <v/>
      </c>
      <c r="E1365">
        <f>Parameters!$B$25</f>
        <v/>
      </c>
    </row>
    <row r="1366">
      <c r="A1366" t="n">
        <v>136.4</v>
      </c>
      <c r="B1366">
        <f>IF(A1366&gt;162.1,Parameters!$B$5,Parameters!$B$4)</f>
        <v/>
      </c>
      <c r="C1366">
        <f>C1365-0.1*B1366+0</f>
        <v/>
      </c>
      <c r="D1366">
        <f>D1365-0.1*B1366+0</f>
        <v/>
      </c>
      <c r="E1366">
        <f>Parameters!$B$25</f>
        <v/>
      </c>
    </row>
    <row r="1367">
      <c r="A1367" t="n">
        <v>136.5</v>
      </c>
      <c r="B1367">
        <f>IF(A1367&gt;162.1,Parameters!$B$5,Parameters!$B$4)</f>
        <v/>
      </c>
      <c r="C1367">
        <f>C1366-0.1*B1367+0</f>
        <v/>
      </c>
      <c r="D1367">
        <f>D1366-0.1*B1367+0</f>
        <v/>
      </c>
      <c r="E1367">
        <f>Parameters!$B$25</f>
        <v/>
      </c>
    </row>
    <row r="1368">
      <c r="A1368" t="n">
        <v>136.6</v>
      </c>
      <c r="B1368">
        <f>IF(A1368&gt;162.1,Parameters!$B$5,Parameters!$B$4)</f>
        <v/>
      </c>
      <c r="C1368">
        <f>C1367-0.1*B1368+0</f>
        <v/>
      </c>
      <c r="D1368">
        <f>D1367-0.1*B1368+0</f>
        <v/>
      </c>
      <c r="E1368">
        <f>Parameters!$B$25</f>
        <v/>
      </c>
    </row>
    <row r="1369">
      <c r="A1369" t="n">
        <v>136.7</v>
      </c>
      <c r="B1369">
        <f>IF(A1369&gt;162.1,Parameters!$B$5,Parameters!$B$4)</f>
        <v/>
      </c>
      <c r="C1369">
        <f>C1368-0.1*B1369+0</f>
        <v/>
      </c>
      <c r="D1369">
        <f>D1368-0.1*B1369+0</f>
        <v/>
      </c>
      <c r="E1369">
        <f>Parameters!$B$25</f>
        <v/>
      </c>
    </row>
    <row r="1370">
      <c r="A1370" t="n">
        <v>136.8</v>
      </c>
      <c r="B1370">
        <f>IF(A1370&gt;162.1,Parameters!$B$5,Parameters!$B$4)</f>
        <v/>
      </c>
      <c r="C1370">
        <f>C1369-0.1*B1370+0</f>
        <v/>
      </c>
      <c r="D1370">
        <f>D1369-0.1*B1370+0</f>
        <v/>
      </c>
      <c r="E1370">
        <f>Parameters!$B$25</f>
        <v/>
      </c>
    </row>
    <row r="1371">
      <c r="A1371" t="n">
        <v>136.9</v>
      </c>
      <c r="B1371">
        <f>IF(A1371&gt;162.1,Parameters!$B$5,Parameters!$B$4)</f>
        <v/>
      </c>
      <c r="C1371">
        <f>C1370-0.1*B1371+0</f>
        <v/>
      </c>
      <c r="D1371">
        <f>D1370-0.1*B1371+0</f>
        <v/>
      </c>
      <c r="E1371">
        <f>Parameters!$B$25</f>
        <v/>
      </c>
    </row>
    <row r="1372">
      <c r="A1372" t="n">
        <v>137</v>
      </c>
      <c r="B1372">
        <f>IF(A1372&gt;162.1,Parameters!$B$5,Parameters!$B$4)</f>
        <v/>
      </c>
      <c r="C1372">
        <f>C1371-0.1*B1372+0</f>
        <v/>
      </c>
      <c r="D1372">
        <f>D1371-0.1*B1372+0</f>
        <v/>
      </c>
      <c r="E1372">
        <f>Parameters!$B$25</f>
        <v/>
      </c>
    </row>
    <row r="1373">
      <c r="A1373" t="n">
        <v>137.1</v>
      </c>
      <c r="B1373">
        <f>IF(A1373&gt;162.1,Parameters!$B$5,Parameters!$B$4)</f>
        <v/>
      </c>
      <c r="C1373">
        <f>C1372-0.1*B1373+0</f>
        <v/>
      </c>
      <c r="D1373">
        <f>D1372-0.1*B1373+0</f>
        <v/>
      </c>
      <c r="E1373">
        <f>Parameters!$B$25</f>
        <v/>
      </c>
    </row>
    <row r="1374">
      <c r="A1374" t="n">
        <v>137.2</v>
      </c>
      <c r="B1374">
        <f>IF(A1374&gt;162.1,Parameters!$B$5,Parameters!$B$4)</f>
        <v/>
      </c>
      <c r="C1374">
        <f>C1373-0.1*B1374+0</f>
        <v/>
      </c>
      <c r="D1374">
        <f>D1373-0.1*B1374+0</f>
        <v/>
      </c>
      <c r="E1374">
        <f>Parameters!$B$25</f>
        <v/>
      </c>
    </row>
    <row r="1375">
      <c r="A1375" t="n">
        <v>137.3</v>
      </c>
      <c r="B1375">
        <f>IF(A1375&gt;162.1,Parameters!$B$5,Parameters!$B$4)</f>
        <v/>
      </c>
      <c r="C1375">
        <f>C1374-0.1*B1375+0</f>
        <v/>
      </c>
      <c r="D1375">
        <f>D1374-0.1*B1375+0</f>
        <v/>
      </c>
      <c r="E1375">
        <f>Parameters!$B$25</f>
        <v/>
      </c>
    </row>
    <row r="1376">
      <c r="A1376" t="n">
        <v>137.4</v>
      </c>
      <c r="B1376">
        <f>IF(A1376&gt;162.1,Parameters!$B$5,Parameters!$B$4)</f>
        <v/>
      </c>
      <c r="C1376">
        <f>C1375-0.1*B1376+0</f>
        <v/>
      </c>
      <c r="D1376">
        <f>D1375-0.1*B1376+0</f>
        <v/>
      </c>
      <c r="E1376">
        <f>Parameters!$B$25</f>
        <v/>
      </c>
    </row>
    <row r="1377">
      <c r="A1377" t="n">
        <v>137.5</v>
      </c>
      <c r="B1377">
        <f>IF(A1377&gt;162.1,Parameters!$B$5,Parameters!$B$4)</f>
        <v/>
      </c>
      <c r="C1377">
        <f>C1376-0.1*B1377+0</f>
        <v/>
      </c>
      <c r="D1377">
        <f>D1376-0.1*B1377+0</f>
        <v/>
      </c>
      <c r="E1377">
        <f>Parameters!$B$25</f>
        <v/>
      </c>
    </row>
    <row r="1378">
      <c r="A1378" t="n">
        <v>137.6</v>
      </c>
      <c r="B1378">
        <f>IF(A1378&gt;162.1,Parameters!$B$5,Parameters!$B$4)</f>
        <v/>
      </c>
      <c r="C1378">
        <f>C1377-0.1*B1378+0</f>
        <v/>
      </c>
      <c r="D1378">
        <f>D1377-0.1*B1378+0</f>
        <v/>
      </c>
      <c r="E1378">
        <f>Parameters!$B$25</f>
        <v/>
      </c>
    </row>
    <row r="1379">
      <c r="A1379" t="n">
        <v>137.7</v>
      </c>
      <c r="B1379">
        <f>IF(A1379&gt;162.1,Parameters!$B$5,Parameters!$B$4)</f>
        <v/>
      </c>
      <c r="C1379">
        <f>C1378-0.1*B1379+0</f>
        <v/>
      </c>
      <c r="D1379">
        <f>D1378-0.1*B1379+0</f>
        <v/>
      </c>
      <c r="E1379">
        <f>Parameters!$B$25</f>
        <v/>
      </c>
    </row>
    <row r="1380">
      <c r="A1380" t="n">
        <v>137.8</v>
      </c>
      <c r="B1380">
        <f>IF(A1380&gt;162.1,Parameters!$B$5,Parameters!$B$4)</f>
        <v/>
      </c>
      <c r="C1380">
        <f>C1379-0.1*B1380+0</f>
        <v/>
      </c>
      <c r="D1380">
        <f>D1379-0.1*B1380+0</f>
        <v/>
      </c>
      <c r="E1380">
        <f>Parameters!$B$25</f>
        <v/>
      </c>
    </row>
    <row r="1381">
      <c r="A1381" t="n">
        <v>137.9</v>
      </c>
      <c r="B1381">
        <f>IF(A1381&gt;162.1,Parameters!$B$5,Parameters!$B$4)</f>
        <v/>
      </c>
      <c r="C1381">
        <f>C1380-0.1*B1381+0</f>
        <v/>
      </c>
      <c r="D1381">
        <f>D1380-0.1*B1381+0</f>
        <v/>
      </c>
      <c r="E1381">
        <f>Parameters!$B$25</f>
        <v/>
      </c>
    </row>
    <row r="1382">
      <c r="A1382" t="n">
        <v>138</v>
      </c>
      <c r="B1382">
        <f>IF(A1382&gt;162.1,Parameters!$B$5,Parameters!$B$4)</f>
        <v/>
      </c>
      <c r="C1382">
        <f>C1381-0.1*B1382+0</f>
        <v/>
      </c>
      <c r="D1382">
        <f>D1381-0.1*B1382+0</f>
        <v/>
      </c>
      <c r="E1382">
        <f>Parameters!$B$25</f>
        <v/>
      </c>
    </row>
    <row r="1383">
      <c r="A1383" t="n">
        <v>138.1</v>
      </c>
      <c r="B1383">
        <f>IF(A1383&gt;162.1,Parameters!$B$5,Parameters!$B$4)</f>
        <v/>
      </c>
      <c r="C1383">
        <f>C1382-0.1*B1383+0</f>
        <v/>
      </c>
      <c r="D1383">
        <f>D1382-0.1*B1383+0</f>
        <v/>
      </c>
      <c r="E1383">
        <f>Parameters!$B$25</f>
        <v/>
      </c>
    </row>
    <row r="1384">
      <c r="A1384" t="n">
        <v>138.2</v>
      </c>
      <c r="B1384">
        <f>IF(A1384&gt;162.1,Parameters!$B$5,Parameters!$B$4)</f>
        <v/>
      </c>
      <c r="C1384">
        <f>C1383-0.1*B1384+0</f>
        <v/>
      </c>
      <c r="D1384">
        <f>D1383-0.1*B1384+0</f>
        <v/>
      </c>
      <c r="E1384">
        <f>Parameters!$B$25</f>
        <v/>
      </c>
    </row>
    <row r="1385">
      <c r="A1385" t="n">
        <v>138.3</v>
      </c>
      <c r="B1385">
        <f>IF(A1385&gt;162.1,Parameters!$B$5,Parameters!$B$4)</f>
        <v/>
      </c>
      <c r="C1385">
        <f>C1384-0.1*B1385+0</f>
        <v/>
      </c>
      <c r="D1385">
        <f>D1384-0.1*B1385+0</f>
        <v/>
      </c>
      <c r="E1385">
        <f>Parameters!$B$25</f>
        <v/>
      </c>
    </row>
    <row r="1386">
      <c r="A1386" t="n">
        <v>138.4</v>
      </c>
      <c r="B1386">
        <f>IF(A1386&gt;162.1,Parameters!$B$5,Parameters!$B$4)</f>
        <v/>
      </c>
      <c r="C1386">
        <f>C1385-0.1*B1386+0</f>
        <v/>
      </c>
      <c r="D1386">
        <f>D1385-0.1*B1386+0</f>
        <v/>
      </c>
      <c r="E1386">
        <f>Parameters!$B$25</f>
        <v/>
      </c>
    </row>
    <row r="1387">
      <c r="A1387" t="n">
        <v>138.5</v>
      </c>
      <c r="B1387">
        <f>IF(A1387&gt;162.1,Parameters!$B$5,Parameters!$B$4)</f>
        <v/>
      </c>
      <c r="C1387">
        <f>C1386-0.1*B1387+0</f>
        <v/>
      </c>
      <c r="D1387">
        <f>D1386-0.1*B1387+0</f>
        <v/>
      </c>
      <c r="E1387">
        <f>Parameters!$B$25</f>
        <v/>
      </c>
    </row>
    <row r="1388">
      <c r="A1388" t="n">
        <v>138.6</v>
      </c>
      <c r="B1388">
        <f>IF(A1388&gt;162.1,Parameters!$B$5,Parameters!$B$4)</f>
        <v/>
      </c>
      <c r="C1388">
        <f>C1387-0.1*B1388+0</f>
        <v/>
      </c>
      <c r="D1388">
        <f>D1387-0.1*B1388+0</f>
        <v/>
      </c>
      <c r="E1388">
        <f>Parameters!$B$25</f>
        <v/>
      </c>
    </row>
    <row r="1389">
      <c r="A1389" t="n">
        <v>138.7</v>
      </c>
      <c r="B1389">
        <f>IF(A1389&gt;162.1,Parameters!$B$5,Parameters!$B$4)</f>
        <v/>
      </c>
      <c r="C1389">
        <f>C1388-0.1*B1389+0</f>
        <v/>
      </c>
      <c r="D1389">
        <f>D1388-0.1*B1389+0</f>
        <v/>
      </c>
      <c r="E1389">
        <f>Parameters!$B$25</f>
        <v/>
      </c>
    </row>
    <row r="1390">
      <c r="A1390" t="n">
        <v>138.8</v>
      </c>
      <c r="B1390">
        <f>IF(A1390&gt;162.1,Parameters!$B$5,Parameters!$B$4)</f>
        <v/>
      </c>
      <c r="C1390">
        <f>C1389-0.1*B1390+0</f>
        <v/>
      </c>
      <c r="D1390">
        <f>D1389-0.1*B1390+0</f>
        <v/>
      </c>
      <c r="E1390">
        <f>Parameters!$B$25</f>
        <v/>
      </c>
    </row>
    <row r="1391">
      <c r="A1391" t="n">
        <v>138.9</v>
      </c>
      <c r="B1391">
        <f>IF(A1391&gt;162.1,Parameters!$B$5,Parameters!$B$4)</f>
        <v/>
      </c>
      <c r="C1391">
        <f>C1390-0.1*B1391+0</f>
        <v/>
      </c>
      <c r="D1391">
        <f>D1390-0.1*B1391+0</f>
        <v/>
      </c>
      <c r="E1391">
        <f>Parameters!$B$25</f>
        <v/>
      </c>
    </row>
    <row r="1392">
      <c r="A1392" t="n">
        <v>139</v>
      </c>
      <c r="B1392">
        <f>IF(A1392&gt;162.1,Parameters!$B$5,Parameters!$B$4)</f>
        <v/>
      </c>
      <c r="C1392">
        <f>C1391-0.1*B1392+0</f>
        <v/>
      </c>
      <c r="D1392">
        <f>D1391-0.1*B1392+0</f>
        <v/>
      </c>
      <c r="E1392">
        <f>Parameters!$B$25</f>
        <v/>
      </c>
    </row>
    <row r="1393">
      <c r="A1393" t="n">
        <v>139.1</v>
      </c>
      <c r="B1393">
        <f>IF(A1393&gt;162.1,Parameters!$B$5,Parameters!$B$4)</f>
        <v/>
      </c>
      <c r="C1393">
        <f>C1392-0.1*B1393+0</f>
        <v/>
      </c>
      <c r="D1393">
        <f>D1392-0.1*B1393+0</f>
        <v/>
      </c>
      <c r="E1393">
        <f>Parameters!$B$25</f>
        <v/>
      </c>
    </row>
    <row r="1394">
      <c r="A1394" t="n">
        <v>139.2</v>
      </c>
      <c r="B1394">
        <f>IF(A1394&gt;162.1,Parameters!$B$5,Parameters!$B$4)</f>
        <v/>
      </c>
      <c r="C1394">
        <f>C1393-0.1*B1394+0</f>
        <v/>
      </c>
      <c r="D1394">
        <f>D1393-0.1*B1394+0</f>
        <v/>
      </c>
      <c r="E1394">
        <f>Parameters!$B$25</f>
        <v/>
      </c>
    </row>
    <row r="1395">
      <c r="A1395" t="n">
        <v>139.3</v>
      </c>
      <c r="B1395">
        <f>IF(A1395&gt;162.1,Parameters!$B$5,Parameters!$B$4)</f>
        <v/>
      </c>
      <c r="C1395">
        <f>C1394-0.1*B1395+0</f>
        <v/>
      </c>
      <c r="D1395">
        <f>D1394-0.1*B1395+0</f>
        <v/>
      </c>
      <c r="E1395">
        <f>Parameters!$B$25</f>
        <v/>
      </c>
    </row>
    <row r="1396">
      <c r="A1396" t="n">
        <v>139.4</v>
      </c>
      <c r="B1396">
        <f>IF(A1396&gt;162.1,Parameters!$B$5,Parameters!$B$4)</f>
        <v/>
      </c>
      <c r="C1396">
        <f>C1395-0.1*B1396+0</f>
        <v/>
      </c>
      <c r="D1396">
        <f>D1395-0.1*B1396+0</f>
        <v/>
      </c>
      <c r="E1396">
        <f>Parameters!$B$25</f>
        <v/>
      </c>
    </row>
    <row r="1397">
      <c r="A1397" t="n">
        <v>139.5</v>
      </c>
      <c r="B1397">
        <f>IF(A1397&gt;162.1,Parameters!$B$5,Parameters!$B$4)</f>
        <v/>
      </c>
      <c r="C1397">
        <f>C1396-0.1*B1397+0</f>
        <v/>
      </c>
      <c r="D1397">
        <f>D1396-0.1*B1397+0</f>
        <v/>
      </c>
      <c r="E1397">
        <f>Parameters!$B$25</f>
        <v/>
      </c>
    </row>
    <row r="1398">
      <c r="A1398" t="n">
        <v>139.6</v>
      </c>
      <c r="B1398">
        <f>IF(A1398&gt;162.1,Parameters!$B$5,Parameters!$B$4)</f>
        <v/>
      </c>
      <c r="C1398">
        <f>C1397-0.1*B1398+0</f>
        <v/>
      </c>
      <c r="D1398">
        <f>D1397-0.1*B1398+0</f>
        <v/>
      </c>
      <c r="E1398">
        <f>Parameters!$B$25</f>
        <v/>
      </c>
    </row>
    <row r="1399">
      <c r="A1399" t="n">
        <v>139.7</v>
      </c>
      <c r="B1399">
        <f>IF(A1399&gt;162.1,Parameters!$B$5,Parameters!$B$4)</f>
        <v/>
      </c>
      <c r="C1399">
        <f>C1398-0.1*B1399+0</f>
        <v/>
      </c>
      <c r="D1399">
        <f>D1398-0.1*B1399+0</f>
        <v/>
      </c>
      <c r="E1399">
        <f>Parameters!$B$25</f>
        <v/>
      </c>
    </row>
    <row r="1400">
      <c r="A1400" t="n">
        <v>139.8</v>
      </c>
      <c r="B1400">
        <f>IF(A1400&gt;162.1,Parameters!$B$5,Parameters!$B$4)</f>
        <v/>
      </c>
      <c r="C1400">
        <f>C1399-0.1*B1400+0</f>
        <v/>
      </c>
      <c r="D1400">
        <f>D1399-0.1*B1400+0</f>
        <v/>
      </c>
      <c r="E1400">
        <f>Parameters!$B$25</f>
        <v/>
      </c>
    </row>
    <row r="1401">
      <c r="A1401" t="n">
        <v>139.9</v>
      </c>
      <c r="B1401">
        <f>IF(A1401&gt;162.1,Parameters!$B$5,Parameters!$B$4)</f>
        <v/>
      </c>
      <c r="C1401">
        <f>C1400-0.1*B1401+0</f>
        <v/>
      </c>
      <c r="D1401">
        <f>D1400-0.1*B1401+0</f>
        <v/>
      </c>
      <c r="E1401">
        <f>Parameters!$B$25</f>
        <v/>
      </c>
    </row>
    <row r="1402">
      <c r="A1402" t="n">
        <v>140</v>
      </c>
      <c r="B1402">
        <f>IF(A1402&gt;162.1,Parameters!$B$5,Parameters!$B$4)</f>
        <v/>
      </c>
      <c r="C1402">
        <f>C1401-0.1*B1402+0</f>
        <v/>
      </c>
      <c r="D1402">
        <f>D1401-0.1*B1402+0</f>
        <v/>
      </c>
      <c r="E1402">
        <f>Parameters!$B$25</f>
        <v/>
      </c>
    </row>
    <row r="1403">
      <c r="A1403" t="n">
        <v>140.1</v>
      </c>
      <c r="B1403">
        <f>IF(A1403&gt;162.1,Parameters!$B$5,Parameters!$B$4)</f>
        <v/>
      </c>
      <c r="C1403">
        <f>C1402-0.1*B1403+0</f>
        <v/>
      </c>
      <c r="D1403">
        <f>D1402-0.1*B1403+0</f>
        <v/>
      </c>
      <c r="E1403">
        <f>Parameters!$B$25</f>
        <v/>
      </c>
    </row>
    <row r="1404">
      <c r="A1404" t="n">
        <v>140.2</v>
      </c>
      <c r="B1404">
        <f>IF(A1404&gt;162.1,Parameters!$B$5,Parameters!$B$4)</f>
        <v/>
      </c>
      <c r="C1404">
        <f>C1403-0.1*B1404+0</f>
        <v/>
      </c>
      <c r="D1404">
        <f>D1403-0.1*B1404+0</f>
        <v/>
      </c>
      <c r="E1404">
        <f>Parameters!$B$25</f>
        <v/>
      </c>
    </row>
    <row r="1405">
      <c r="A1405" t="n">
        <v>140.3</v>
      </c>
      <c r="B1405">
        <f>IF(A1405&gt;162.1,Parameters!$B$5,Parameters!$B$4)</f>
        <v/>
      </c>
      <c r="C1405">
        <f>C1404-0.1*B1405+0</f>
        <v/>
      </c>
      <c r="D1405">
        <f>D1404-0.1*B1405+0</f>
        <v/>
      </c>
      <c r="E1405">
        <f>Parameters!$B$25</f>
        <v/>
      </c>
    </row>
    <row r="1406">
      <c r="A1406" t="n">
        <v>140.4</v>
      </c>
      <c r="B1406">
        <f>IF(A1406&gt;162.1,Parameters!$B$5,Parameters!$B$4)</f>
        <v/>
      </c>
      <c r="C1406">
        <f>C1405-0.1*B1406+0</f>
        <v/>
      </c>
      <c r="D1406">
        <f>D1405-0.1*B1406+0</f>
        <v/>
      </c>
      <c r="E1406">
        <f>Parameters!$B$25</f>
        <v/>
      </c>
    </row>
    <row r="1407">
      <c r="A1407" t="n">
        <v>140.5</v>
      </c>
      <c r="B1407">
        <f>IF(A1407&gt;162.1,Parameters!$B$5,Parameters!$B$4)</f>
        <v/>
      </c>
      <c r="C1407">
        <f>C1406-0.1*B1407+0</f>
        <v/>
      </c>
      <c r="D1407">
        <f>D1406-0.1*B1407+0</f>
        <v/>
      </c>
      <c r="E1407">
        <f>Parameters!$B$25</f>
        <v/>
      </c>
    </row>
    <row r="1408">
      <c r="A1408" t="n">
        <v>140.6</v>
      </c>
      <c r="B1408">
        <f>IF(A1408&gt;162.1,Parameters!$B$5,Parameters!$B$4)</f>
        <v/>
      </c>
      <c r="C1408">
        <f>C1407-0.1*B1408+0</f>
        <v/>
      </c>
      <c r="D1408">
        <f>D1407-0.1*B1408+0</f>
        <v/>
      </c>
      <c r="E1408">
        <f>Parameters!$B$25</f>
        <v/>
      </c>
    </row>
    <row r="1409">
      <c r="A1409" t="n">
        <v>140.7</v>
      </c>
      <c r="B1409">
        <f>IF(A1409&gt;162.1,Parameters!$B$5,Parameters!$B$4)</f>
        <v/>
      </c>
      <c r="C1409">
        <f>C1408-0.1*B1409+0</f>
        <v/>
      </c>
      <c r="D1409">
        <f>D1408-0.1*B1409+0</f>
        <v/>
      </c>
      <c r="E1409">
        <f>Parameters!$B$25</f>
        <v/>
      </c>
    </row>
    <row r="1410">
      <c r="A1410" t="n">
        <v>140.8</v>
      </c>
      <c r="B1410">
        <f>IF(A1410&gt;162.1,Parameters!$B$5,Parameters!$B$4)</f>
        <v/>
      </c>
      <c r="C1410">
        <f>C1409-0.1*B1410+0</f>
        <v/>
      </c>
      <c r="D1410">
        <f>D1409-0.1*B1410+0</f>
        <v/>
      </c>
      <c r="E1410">
        <f>Parameters!$B$25</f>
        <v/>
      </c>
    </row>
    <row r="1411">
      <c r="A1411" t="n">
        <v>140.9</v>
      </c>
      <c r="B1411">
        <f>IF(A1411&gt;162.1,Parameters!$B$5,Parameters!$B$4)</f>
        <v/>
      </c>
      <c r="C1411">
        <f>C1410-0.1*B1411+0</f>
        <v/>
      </c>
      <c r="D1411">
        <f>D1410-0.1*B1411+0</f>
        <v/>
      </c>
      <c r="E1411">
        <f>Parameters!$B$25</f>
        <v/>
      </c>
    </row>
    <row r="1412">
      <c r="A1412" t="n">
        <v>141</v>
      </c>
      <c r="B1412">
        <f>IF(A1412&gt;162.1,Parameters!$B$5,Parameters!$B$4)</f>
        <v/>
      </c>
      <c r="C1412">
        <f>C1411-0.1*B1412+0</f>
        <v/>
      </c>
      <c r="D1412">
        <f>D1411-0.1*B1412+0</f>
        <v/>
      </c>
      <c r="E1412">
        <f>Parameters!$B$25</f>
        <v/>
      </c>
    </row>
    <row r="1413">
      <c r="A1413" t="n">
        <v>141.1</v>
      </c>
      <c r="B1413">
        <f>IF(A1413&gt;162.1,Parameters!$B$5,Parameters!$B$4)</f>
        <v/>
      </c>
      <c r="C1413">
        <f>C1412-0.1*B1413+0</f>
        <v/>
      </c>
      <c r="D1413">
        <f>D1412-0.1*B1413+0</f>
        <v/>
      </c>
      <c r="E1413">
        <f>Parameters!$B$25</f>
        <v/>
      </c>
    </row>
    <row r="1414">
      <c r="A1414" t="n">
        <v>141.2</v>
      </c>
      <c r="B1414">
        <f>IF(A1414&gt;162.1,Parameters!$B$5,Parameters!$B$4)</f>
        <v/>
      </c>
      <c r="C1414">
        <f>C1413-0.1*B1414+0</f>
        <v/>
      </c>
      <c r="D1414">
        <f>D1413-0.1*B1414+0</f>
        <v/>
      </c>
      <c r="E1414">
        <f>Parameters!$B$25</f>
        <v/>
      </c>
    </row>
    <row r="1415">
      <c r="A1415" t="n">
        <v>141.3</v>
      </c>
      <c r="B1415">
        <f>IF(A1415&gt;162.1,Parameters!$B$5,Parameters!$B$4)</f>
        <v/>
      </c>
      <c r="C1415">
        <f>C1414-0.1*B1415+0</f>
        <v/>
      </c>
      <c r="D1415">
        <f>D1414-0.1*B1415+0</f>
        <v/>
      </c>
      <c r="E1415">
        <f>Parameters!$B$25</f>
        <v/>
      </c>
    </row>
    <row r="1416">
      <c r="A1416" t="n">
        <v>141.4</v>
      </c>
      <c r="B1416">
        <f>IF(A1416&gt;162.1,Parameters!$B$5,Parameters!$B$4)</f>
        <v/>
      </c>
      <c r="C1416">
        <f>C1415-0.1*B1416+0</f>
        <v/>
      </c>
      <c r="D1416">
        <f>D1415-0.1*B1416+0</f>
        <v/>
      </c>
      <c r="E1416">
        <f>Parameters!$B$25</f>
        <v/>
      </c>
    </row>
    <row r="1417">
      <c r="A1417" t="n">
        <v>141.5</v>
      </c>
      <c r="B1417">
        <f>IF(A1417&gt;162.1,Parameters!$B$5,Parameters!$B$4)</f>
        <v/>
      </c>
      <c r="C1417">
        <f>C1416-0.1*B1417+0</f>
        <v/>
      </c>
      <c r="D1417">
        <f>D1416-0.1*B1417+0</f>
        <v/>
      </c>
      <c r="E1417">
        <f>Parameters!$B$25</f>
        <v/>
      </c>
    </row>
    <row r="1418">
      <c r="A1418" t="n">
        <v>141.6</v>
      </c>
      <c r="B1418">
        <f>IF(A1418&gt;162.1,Parameters!$B$5,Parameters!$B$4)</f>
        <v/>
      </c>
      <c r="C1418">
        <f>C1417-0.1*B1418+0</f>
        <v/>
      </c>
      <c r="D1418">
        <f>D1417-0.1*B1418+0</f>
        <v/>
      </c>
      <c r="E1418">
        <f>Parameters!$B$25</f>
        <v/>
      </c>
    </row>
    <row r="1419">
      <c r="A1419" t="n">
        <v>141.7</v>
      </c>
      <c r="B1419">
        <f>IF(A1419&gt;162.1,Parameters!$B$5,Parameters!$B$4)</f>
        <v/>
      </c>
      <c r="C1419">
        <f>C1418-0.1*B1419+0</f>
        <v/>
      </c>
      <c r="D1419">
        <f>D1418-0.1*B1419+0</f>
        <v/>
      </c>
      <c r="E1419">
        <f>Parameters!$B$25</f>
        <v/>
      </c>
    </row>
    <row r="1420">
      <c r="A1420" t="n">
        <v>141.8</v>
      </c>
      <c r="B1420">
        <f>IF(A1420&gt;162.1,Parameters!$B$5,Parameters!$B$4)</f>
        <v/>
      </c>
      <c r="C1420">
        <f>C1419-0.1*B1420+0</f>
        <v/>
      </c>
      <c r="D1420">
        <f>D1419-0.1*B1420+0</f>
        <v/>
      </c>
      <c r="E1420">
        <f>Parameters!$B$25</f>
        <v/>
      </c>
    </row>
    <row r="1421">
      <c r="A1421" t="n">
        <v>141.9</v>
      </c>
      <c r="B1421">
        <f>IF(A1421&gt;162.1,Parameters!$B$5,Parameters!$B$4)</f>
        <v/>
      </c>
      <c r="C1421">
        <f>C1420-0.1*B1421+0</f>
        <v/>
      </c>
      <c r="D1421">
        <f>D1420-0.1*B1421+0</f>
        <v/>
      </c>
      <c r="E1421">
        <f>Parameters!$B$25</f>
        <v/>
      </c>
    </row>
    <row r="1422">
      <c r="A1422" t="n">
        <v>142</v>
      </c>
      <c r="B1422">
        <f>IF(A1422&gt;162.1,Parameters!$B$5,Parameters!$B$4)</f>
        <v/>
      </c>
      <c r="C1422">
        <f>C1421-0.1*B1422+0</f>
        <v/>
      </c>
      <c r="D1422">
        <f>D1421-0.1*B1422+0</f>
        <v/>
      </c>
      <c r="E1422">
        <f>Parameters!$B$25</f>
        <v/>
      </c>
    </row>
    <row r="1423">
      <c r="A1423" t="n">
        <v>142.1</v>
      </c>
      <c r="B1423">
        <f>IF(A1423&gt;162.1,Parameters!$B$5,Parameters!$B$4)</f>
        <v/>
      </c>
      <c r="C1423">
        <f>C1422-0.1*B1423+0</f>
        <v/>
      </c>
      <c r="D1423">
        <f>D1422-0.1*B1423+0</f>
        <v/>
      </c>
      <c r="E1423">
        <f>Parameters!$B$25</f>
        <v/>
      </c>
    </row>
    <row r="1424">
      <c r="A1424" t="n">
        <v>142.2</v>
      </c>
      <c r="B1424">
        <f>IF(A1424&gt;162.1,Parameters!$B$5,Parameters!$B$4)</f>
        <v/>
      </c>
      <c r="C1424">
        <f>C1423-0.1*B1424+0</f>
        <v/>
      </c>
      <c r="D1424">
        <f>D1423-0.1*B1424+0</f>
        <v/>
      </c>
      <c r="E1424">
        <f>Parameters!$B$25</f>
        <v/>
      </c>
    </row>
    <row r="1425">
      <c r="A1425" t="n">
        <v>142.3</v>
      </c>
      <c r="B1425">
        <f>IF(A1425&gt;162.1,Parameters!$B$5,Parameters!$B$4)</f>
        <v/>
      </c>
      <c r="C1425">
        <f>C1424-0.1*B1425+0</f>
        <v/>
      </c>
      <c r="D1425">
        <f>D1424-0.1*B1425+0</f>
        <v/>
      </c>
      <c r="E1425">
        <f>Parameters!$B$25</f>
        <v/>
      </c>
    </row>
    <row r="1426">
      <c r="A1426" t="n">
        <v>142.4</v>
      </c>
      <c r="B1426">
        <f>IF(A1426&gt;162.1,Parameters!$B$5,Parameters!$B$4)</f>
        <v/>
      </c>
      <c r="C1426">
        <f>C1425-0.1*B1426+0</f>
        <v/>
      </c>
      <c r="D1426">
        <f>D1425-0.1*B1426+0</f>
        <v/>
      </c>
      <c r="E1426">
        <f>Parameters!$B$25</f>
        <v/>
      </c>
    </row>
    <row r="1427">
      <c r="A1427" t="n">
        <v>142.5</v>
      </c>
      <c r="B1427">
        <f>IF(A1427&gt;162.1,Parameters!$B$5,Parameters!$B$4)</f>
        <v/>
      </c>
      <c r="C1427">
        <f>C1426-0.1*B1427+0</f>
        <v/>
      </c>
      <c r="D1427">
        <f>D1426-0.1*B1427+0</f>
        <v/>
      </c>
      <c r="E1427">
        <f>Parameters!$B$25</f>
        <v/>
      </c>
    </row>
    <row r="1428">
      <c r="A1428" t="n">
        <v>142.6</v>
      </c>
      <c r="B1428">
        <f>IF(A1428&gt;162.1,Parameters!$B$5,Parameters!$B$4)</f>
        <v/>
      </c>
      <c r="C1428">
        <f>C1427-0.1*B1428+0</f>
        <v/>
      </c>
      <c r="D1428">
        <f>D1427-0.1*B1428+0</f>
        <v/>
      </c>
      <c r="E1428">
        <f>Parameters!$B$25</f>
        <v/>
      </c>
    </row>
    <row r="1429">
      <c r="A1429" t="n">
        <v>142.7</v>
      </c>
      <c r="B1429">
        <f>IF(A1429&gt;162.1,Parameters!$B$5,Parameters!$B$4)</f>
        <v/>
      </c>
      <c r="C1429">
        <f>C1428-0.1*B1429+0</f>
        <v/>
      </c>
      <c r="D1429">
        <f>D1428-0.1*B1429+0</f>
        <v/>
      </c>
      <c r="E1429">
        <f>Parameters!$B$25</f>
        <v/>
      </c>
    </row>
    <row r="1430">
      <c r="A1430" t="n">
        <v>142.8</v>
      </c>
      <c r="B1430">
        <f>IF(A1430&gt;162.1,Parameters!$B$5,Parameters!$B$4)</f>
        <v/>
      </c>
      <c r="C1430">
        <f>C1429-0.1*B1430+0</f>
        <v/>
      </c>
      <c r="D1430">
        <f>D1429-0.1*B1430+0</f>
        <v/>
      </c>
      <c r="E1430">
        <f>Parameters!$B$25</f>
        <v/>
      </c>
    </row>
    <row r="1431">
      <c r="A1431" t="n">
        <v>142.9</v>
      </c>
      <c r="B1431">
        <f>IF(A1431&gt;162.1,Parameters!$B$5,Parameters!$B$4)</f>
        <v/>
      </c>
      <c r="C1431">
        <f>C1430-0.1*B1431+0</f>
        <v/>
      </c>
      <c r="D1431">
        <f>D1430-0.1*B1431+0</f>
        <v/>
      </c>
      <c r="E1431">
        <f>Parameters!$B$25</f>
        <v/>
      </c>
    </row>
    <row r="1432">
      <c r="A1432" t="n">
        <v>143</v>
      </c>
      <c r="B1432">
        <f>IF(A1432&gt;162.1,Parameters!$B$5,Parameters!$B$4)</f>
        <v/>
      </c>
      <c r="C1432">
        <f>C1431-0.1*B1432+0</f>
        <v/>
      </c>
      <c r="D1432">
        <f>D1431-0.1*B1432+0</f>
        <v/>
      </c>
      <c r="E1432">
        <f>Parameters!$B$25</f>
        <v/>
      </c>
    </row>
    <row r="1433">
      <c r="A1433" t="n">
        <v>143.1</v>
      </c>
      <c r="B1433">
        <f>IF(A1433&gt;162.1,Parameters!$B$5,Parameters!$B$4)</f>
        <v/>
      </c>
      <c r="C1433">
        <f>C1432-0.1*B1433+0</f>
        <v/>
      </c>
      <c r="D1433">
        <f>D1432-0.1*B1433+0</f>
        <v/>
      </c>
      <c r="E1433">
        <f>Parameters!$B$25</f>
        <v/>
      </c>
    </row>
    <row r="1434">
      <c r="A1434" t="n">
        <v>143.2</v>
      </c>
      <c r="B1434">
        <f>IF(A1434&gt;162.1,Parameters!$B$5,Parameters!$B$4)</f>
        <v/>
      </c>
      <c r="C1434">
        <f>C1433-0.1*B1434+0</f>
        <v/>
      </c>
      <c r="D1434">
        <f>D1433-0.1*B1434+0</f>
        <v/>
      </c>
      <c r="E1434">
        <f>Parameters!$B$25</f>
        <v/>
      </c>
    </row>
    <row r="1435">
      <c r="A1435" t="n">
        <v>143.3</v>
      </c>
      <c r="B1435">
        <f>IF(A1435&gt;162.1,Parameters!$B$5,Parameters!$B$4)</f>
        <v/>
      </c>
      <c r="C1435">
        <f>C1434-0.1*B1435+0</f>
        <v/>
      </c>
      <c r="D1435">
        <f>D1434-0.1*B1435+0</f>
        <v/>
      </c>
      <c r="E1435">
        <f>Parameters!$B$25</f>
        <v/>
      </c>
    </row>
    <row r="1436">
      <c r="A1436" t="n">
        <v>143.4</v>
      </c>
      <c r="B1436">
        <f>IF(A1436&gt;162.1,Parameters!$B$5,Parameters!$B$4)</f>
        <v/>
      </c>
      <c r="C1436">
        <f>C1435-0.1*B1436+0</f>
        <v/>
      </c>
      <c r="D1436">
        <f>D1435-0.1*B1436+0</f>
        <v/>
      </c>
      <c r="E1436">
        <f>Parameters!$B$25</f>
        <v/>
      </c>
    </row>
    <row r="1437">
      <c r="A1437" t="n">
        <v>143.5</v>
      </c>
      <c r="B1437">
        <f>IF(A1437&gt;162.1,Parameters!$B$5,Parameters!$B$4)</f>
        <v/>
      </c>
      <c r="C1437">
        <f>C1436-0.1*B1437+0</f>
        <v/>
      </c>
      <c r="D1437">
        <f>D1436-0.1*B1437+0</f>
        <v/>
      </c>
      <c r="E1437">
        <f>Parameters!$B$25</f>
        <v/>
      </c>
    </row>
    <row r="1438">
      <c r="A1438" t="n">
        <v>143.6</v>
      </c>
      <c r="B1438">
        <f>IF(A1438&gt;162.1,Parameters!$B$5,Parameters!$B$4)</f>
        <v/>
      </c>
      <c r="C1438">
        <f>C1437-0.1*B1438+0</f>
        <v/>
      </c>
      <c r="D1438">
        <f>D1437-0.1*B1438+0</f>
        <v/>
      </c>
      <c r="E1438">
        <f>Parameters!$B$25</f>
        <v/>
      </c>
    </row>
    <row r="1439">
      <c r="A1439" t="n">
        <v>143.7</v>
      </c>
      <c r="B1439">
        <f>IF(A1439&gt;162.1,Parameters!$B$5,Parameters!$B$4)</f>
        <v/>
      </c>
      <c r="C1439">
        <f>C1438-0.1*B1439+0</f>
        <v/>
      </c>
      <c r="D1439">
        <f>D1438-0.1*B1439+0</f>
        <v/>
      </c>
      <c r="E1439">
        <f>Parameters!$B$25</f>
        <v/>
      </c>
    </row>
    <row r="1440">
      <c r="A1440" t="n">
        <v>143.8</v>
      </c>
      <c r="B1440">
        <f>IF(A1440&gt;162.1,Parameters!$B$5,Parameters!$B$4)</f>
        <v/>
      </c>
      <c r="C1440">
        <f>C1439-0.1*B1440+0</f>
        <v/>
      </c>
      <c r="D1440">
        <f>D1439-0.1*B1440+0</f>
        <v/>
      </c>
      <c r="E1440">
        <f>Parameters!$B$25</f>
        <v/>
      </c>
    </row>
    <row r="1441">
      <c r="A1441" t="n">
        <v>143.9</v>
      </c>
      <c r="B1441">
        <f>IF(A1441&gt;162.1,Parameters!$B$5,Parameters!$B$4)</f>
        <v/>
      </c>
      <c r="C1441">
        <f>C1440-0.1*B1441+0</f>
        <v/>
      </c>
      <c r="D1441">
        <f>D1440-0.1*B1441+0</f>
        <v/>
      </c>
      <c r="E1441">
        <f>Parameters!$B$25</f>
        <v/>
      </c>
    </row>
    <row r="1442">
      <c r="A1442" t="n">
        <v>144</v>
      </c>
      <c r="B1442">
        <f>IF(A1442&gt;162.1,Parameters!$B$5,Parameters!$B$4)</f>
        <v/>
      </c>
      <c r="C1442">
        <f>C1441-0.1*B1442+0</f>
        <v/>
      </c>
      <c r="D1442">
        <f>D1441-0.1*B1442+0</f>
        <v/>
      </c>
      <c r="E1442">
        <f>Parameters!$B$25</f>
        <v/>
      </c>
    </row>
    <row r="1443">
      <c r="A1443" t="n">
        <v>144.1</v>
      </c>
      <c r="B1443">
        <f>IF(A1443&gt;162.1,Parameters!$B$5,Parameters!$B$4)</f>
        <v/>
      </c>
      <c r="C1443">
        <f>C1442-0.1*B1443+0</f>
        <v/>
      </c>
      <c r="D1443">
        <f>D1442-0.1*B1443+0</f>
        <v/>
      </c>
      <c r="E1443">
        <f>Parameters!$B$25</f>
        <v/>
      </c>
    </row>
    <row r="1444">
      <c r="A1444" t="n">
        <v>144.2</v>
      </c>
      <c r="B1444">
        <f>IF(A1444&gt;162.1,Parameters!$B$5,Parameters!$B$4)</f>
        <v/>
      </c>
      <c r="C1444">
        <f>C1443-0.1*B1444+0</f>
        <v/>
      </c>
      <c r="D1444">
        <f>D1443-0.1*B1444+0</f>
        <v/>
      </c>
      <c r="E1444">
        <f>Parameters!$B$25</f>
        <v/>
      </c>
    </row>
    <row r="1445">
      <c r="A1445" t="n">
        <v>144.3</v>
      </c>
      <c r="B1445">
        <f>IF(A1445&gt;162.1,Parameters!$B$5,Parameters!$B$4)</f>
        <v/>
      </c>
      <c r="C1445">
        <f>C1444-0.1*B1445+0</f>
        <v/>
      </c>
      <c r="D1445">
        <f>D1444-0.1*B1445+0</f>
        <v/>
      </c>
      <c r="E1445">
        <f>Parameters!$B$25</f>
        <v/>
      </c>
    </row>
    <row r="1446">
      <c r="A1446" t="n">
        <v>144.4</v>
      </c>
      <c r="B1446">
        <f>IF(A1446&gt;162.1,Parameters!$B$5,Parameters!$B$4)</f>
        <v/>
      </c>
      <c r="C1446">
        <f>C1445-0.1*B1446+0</f>
        <v/>
      </c>
      <c r="D1446">
        <f>D1445-0.1*B1446+0</f>
        <v/>
      </c>
      <c r="E1446">
        <f>Parameters!$B$25</f>
        <v/>
      </c>
    </row>
    <row r="1447">
      <c r="A1447" t="n">
        <v>144.5</v>
      </c>
      <c r="B1447">
        <f>IF(A1447&gt;162.1,Parameters!$B$5,Parameters!$B$4)</f>
        <v/>
      </c>
      <c r="C1447">
        <f>C1446-0.1*B1447+0</f>
        <v/>
      </c>
      <c r="D1447">
        <f>D1446-0.1*B1447+0</f>
        <v/>
      </c>
      <c r="E1447">
        <f>Parameters!$B$25</f>
        <v/>
      </c>
    </row>
    <row r="1448">
      <c r="A1448" t="n">
        <v>144.6</v>
      </c>
      <c r="B1448">
        <f>IF(A1448&gt;162.1,Parameters!$B$5,Parameters!$B$4)</f>
        <v/>
      </c>
      <c r="C1448">
        <f>C1447-0.1*B1448+0</f>
        <v/>
      </c>
      <c r="D1448">
        <f>D1447-0.1*B1448+0</f>
        <v/>
      </c>
      <c r="E1448">
        <f>Parameters!$B$25</f>
        <v/>
      </c>
    </row>
    <row r="1449">
      <c r="A1449" t="n">
        <v>144.7</v>
      </c>
      <c r="B1449">
        <f>IF(A1449&gt;162.1,Parameters!$B$5,Parameters!$B$4)</f>
        <v/>
      </c>
      <c r="C1449">
        <f>C1448-0.1*B1449+0</f>
        <v/>
      </c>
      <c r="D1449">
        <f>D1448-0.1*B1449+0</f>
        <v/>
      </c>
      <c r="E1449">
        <f>Parameters!$B$25</f>
        <v/>
      </c>
    </row>
    <row r="1450">
      <c r="A1450" t="n">
        <v>144.8</v>
      </c>
      <c r="B1450">
        <f>IF(A1450&gt;162.1,Parameters!$B$5,Parameters!$B$4)</f>
        <v/>
      </c>
      <c r="C1450">
        <f>C1449-0.1*B1450+0</f>
        <v/>
      </c>
      <c r="D1450">
        <f>D1449-0.1*B1450+0</f>
        <v/>
      </c>
      <c r="E1450">
        <f>Parameters!$B$25</f>
        <v/>
      </c>
    </row>
    <row r="1451">
      <c r="A1451" t="n">
        <v>144.9</v>
      </c>
      <c r="B1451">
        <f>IF(A1451&gt;162.1,Parameters!$B$5,Parameters!$B$4)</f>
        <v/>
      </c>
      <c r="C1451">
        <f>C1450-0.1*B1451+0</f>
        <v/>
      </c>
      <c r="D1451">
        <f>D1450-0.1*B1451+0</f>
        <v/>
      </c>
      <c r="E1451">
        <f>Parameters!$B$25</f>
        <v/>
      </c>
    </row>
    <row r="1452">
      <c r="A1452" t="n">
        <v>145</v>
      </c>
      <c r="B1452">
        <f>IF(A1452&gt;162.1,Parameters!$B$5,Parameters!$B$4)</f>
        <v/>
      </c>
      <c r="C1452">
        <f>C1451-0.1*B1452+0</f>
        <v/>
      </c>
      <c r="D1452">
        <f>D1451-0.1*B1452+0</f>
        <v/>
      </c>
      <c r="E1452">
        <f>Parameters!$B$25</f>
        <v/>
      </c>
    </row>
    <row r="1453">
      <c r="A1453" t="n">
        <v>145.1</v>
      </c>
      <c r="B1453">
        <f>IF(A1453&gt;162.1,Parameters!$B$5,Parameters!$B$4)</f>
        <v/>
      </c>
      <c r="C1453">
        <f>C1452-0.1*B1453+0</f>
        <v/>
      </c>
      <c r="D1453">
        <f>D1452-0.1*B1453+0</f>
        <v/>
      </c>
      <c r="E1453">
        <f>Parameters!$B$25</f>
        <v/>
      </c>
    </row>
    <row r="1454">
      <c r="A1454" t="n">
        <v>145.2</v>
      </c>
      <c r="B1454">
        <f>IF(A1454&gt;162.1,Parameters!$B$5,Parameters!$B$4)</f>
        <v/>
      </c>
      <c r="C1454">
        <f>C1453-0.1*B1454+0</f>
        <v/>
      </c>
      <c r="D1454">
        <f>D1453-0.1*B1454+0</f>
        <v/>
      </c>
      <c r="E1454">
        <f>Parameters!$B$25</f>
        <v/>
      </c>
    </row>
    <row r="1455">
      <c r="A1455" t="n">
        <v>145.3</v>
      </c>
      <c r="B1455">
        <f>IF(A1455&gt;162.1,Parameters!$B$5,Parameters!$B$4)</f>
        <v/>
      </c>
      <c r="C1455">
        <f>C1454-0.1*B1455+0</f>
        <v/>
      </c>
      <c r="D1455">
        <f>D1454-0.1*B1455+0</f>
        <v/>
      </c>
      <c r="E1455">
        <f>Parameters!$B$25</f>
        <v/>
      </c>
    </row>
    <row r="1456">
      <c r="A1456" t="n">
        <v>145.4</v>
      </c>
      <c r="B1456">
        <f>IF(A1456&gt;162.1,Parameters!$B$5,Parameters!$B$4)</f>
        <v/>
      </c>
      <c r="C1456">
        <f>C1455-0.1*B1456+0</f>
        <v/>
      </c>
      <c r="D1456">
        <f>D1455-0.1*B1456+0</f>
        <v/>
      </c>
      <c r="E1456">
        <f>Parameters!$B$25</f>
        <v/>
      </c>
    </row>
    <row r="1457">
      <c r="A1457" t="n">
        <v>145.5</v>
      </c>
      <c r="B1457">
        <f>IF(A1457&gt;162.1,Parameters!$B$5,Parameters!$B$4)</f>
        <v/>
      </c>
      <c r="C1457">
        <f>C1456-0.1*B1457+0</f>
        <v/>
      </c>
      <c r="D1457">
        <f>D1456-0.1*B1457+0</f>
        <v/>
      </c>
      <c r="E1457">
        <f>Parameters!$B$25</f>
        <v/>
      </c>
    </row>
    <row r="1458">
      <c r="A1458" t="n">
        <v>145.6</v>
      </c>
      <c r="B1458">
        <f>IF(A1458&gt;162.1,Parameters!$B$5,Parameters!$B$4)</f>
        <v/>
      </c>
      <c r="C1458">
        <f>C1457-0.1*B1458+0</f>
        <v/>
      </c>
      <c r="D1458">
        <f>D1457-0.1*B1458+0</f>
        <v/>
      </c>
      <c r="E1458">
        <f>Parameters!$B$25</f>
        <v/>
      </c>
    </row>
    <row r="1459">
      <c r="A1459" t="n">
        <v>145.7</v>
      </c>
      <c r="B1459">
        <f>IF(A1459&gt;162.1,Parameters!$B$5,Parameters!$B$4)</f>
        <v/>
      </c>
      <c r="C1459">
        <f>C1458-0.1*B1459+0</f>
        <v/>
      </c>
      <c r="D1459">
        <f>D1458-0.1*B1459+0</f>
        <v/>
      </c>
      <c r="E1459">
        <f>Parameters!$B$25</f>
        <v/>
      </c>
    </row>
    <row r="1460">
      <c r="A1460" t="n">
        <v>145.8</v>
      </c>
      <c r="B1460">
        <f>IF(A1460&gt;162.1,Parameters!$B$5,Parameters!$B$4)</f>
        <v/>
      </c>
      <c r="C1460">
        <f>C1459-0.1*B1460+0</f>
        <v/>
      </c>
      <c r="D1460">
        <f>D1459-0.1*B1460+0</f>
        <v/>
      </c>
      <c r="E1460">
        <f>Parameters!$B$25</f>
        <v/>
      </c>
    </row>
    <row r="1461">
      <c r="A1461" t="n">
        <v>145.9</v>
      </c>
      <c r="B1461">
        <f>IF(A1461&gt;162.1,Parameters!$B$5,Parameters!$B$4)</f>
        <v/>
      </c>
      <c r="C1461">
        <f>C1460-0.1*B1461+0</f>
        <v/>
      </c>
      <c r="D1461">
        <f>D1460-0.1*B1461+0</f>
        <v/>
      </c>
      <c r="E1461">
        <f>Parameters!$B$25</f>
        <v/>
      </c>
    </row>
    <row r="1462">
      <c r="A1462" t="n">
        <v>146</v>
      </c>
      <c r="B1462">
        <f>IF(A1462&gt;162.1,Parameters!$B$5,Parameters!$B$4)</f>
        <v/>
      </c>
      <c r="C1462">
        <f>C1461-0.1*B1462+0</f>
        <v/>
      </c>
      <c r="D1462">
        <f>D1461-0.1*B1462+0</f>
        <v/>
      </c>
      <c r="E1462">
        <f>Parameters!$B$25</f>
        <v/>
      </c>
    </row>
    <row r="1463">
      <c r="A1463" t="n">
        <v>146.1</v>
      </c>
      <c r="B1463">
        <f>IF(A1463&gt;162.1,Parameters!$B$5,Parameters!$B$4)</f>
        <v/>
      </c>
      <c r="C1463">
        <f>C1462-0.1*B1463+0</f>
        <v/>
      </c>
      <c r="D1463">
        <f>D1462-0.1*B1463+0</f>
        <v/>
      </c>
      <c r="E1463">
        <f>Parameters!$B$25</f>
        <v/>
      </c>
    </row>
    <row r="1464">
      <c r="A1464" t="n">
        <v>146.2</v>
      </c>
      <c r="B1464">
        <f>IF(A1464&gt;162.1,Parameters!$B$5,Parameters!$B$4)</f>
        <v/>
      </c>
      <c r="C1464">
        <f>C1463-0.1*B1464+0</f>
        <v/>
      </c>
      <c r="D1464">
        <f>D1463-0.1*B1464+0</f>
        <v/>
      </c>
      <c r="E1464">
        <f>Parameters!$B$25</f>
        <v/>
      </c>
    </row>
    <row r="1465">
      <c r="A1465" t="n">
        <v>146.3</v>
      </c>
      <c r="B1465">
        <f>IF(A1465&gt;162.1,Parameters!$B$5,Parameters!$B$4)</f>
        <v/>
      </c>
      <c r="C1465">
        <f>C1464-0.1*B1465+0</f>
        <v/>
      </c>
      <c r="D1465">
        <f>D1464-0.1*B1465+0</f>
        <v/>
      </c>
      <c r="E1465">
        <f>Parameters!$B$25</f>
        <v/>
      </c>
    </row>
    <row r="1466">
      <c r="A1466" t="n">
        <v>146.4</v>
      </c>
      <c r="B1466">
        <f>IF(A1466&gt;162.1,Parameters!$B$5,Parameters!$B$4)</f>
        <v/>
      </c>
      <c r="C1466">
        <f>C1465-0.1*B1466+0</f>
        <v/>
      </c>
      <c r="D1466">
        <f>D1465-0.1*B1466+0</f>
        <v/>
      </c>
      <c r="E1466">
        <f>Parameters!$B$25</f>
        <v/>
      </c>
    </row>
    <row r="1467">
      <c r="A1467" t="n">
        <v>146.5</v>
      </c>
      <c r="B1467">
        <f>IF(A1467&gt;162.1,Parameters!$B$5,Parameters!$B$4)</f>
        <v/>
      </c>
      <c r="C1467">
        <f>C1466-0.1*B1467+0</f>
        <v/>
      </c>
      <c r="D1467">
        <f>D1466-0.1*B1467+0</f>
        <v/>
      </c>
      <c r="E1467">
        <f>Parameters!$B$25</f>
        <v/>
      </c>
    </row>
    <row r="1468">
      <c r="A1468" t="n">
        <v>146.6</v>
      </c>
      <c r="B1468">
        <f>IF(A1468&gt;162.1,Parameters!$B$5,Parameters!$B$4)</f>
        <v/>
      </c>
      <c r="C1468">
        <f>C1467-0.1*B1468+0</f>
        <v/>
      </c>
      <c r="D1468">
        <f>D1467-0.1*B1468+0</f>
        <v/>
      </c>
      <c r="E1468">
        <f>Parameters!$B$25</f>
        <v/>
      </c>
    </row>
    <row r="1469">
      <c r="A1469" t="n">
        <v>146.7</v>
      </c>
      <c r="B1469">
        <f>IF(A1469&gt;162.1,Parameters!$B$5,Parameters!$B$4)</f>
        <v/>
      </c>
      <c r="C1469">
        <f>C1468-0.1*B1469+0</f>
        <v/>
      </c>
      <c r="D1469">
        <f>D1468-0.1*B1469+0</f>
        <v/>
      </c>
      <c r="E1469">
        <f>Parameters!$B$25</f>
        <v/>
      </c>
    </row>
    <row r="1470">
      <c r="A1470" t="n">
        <v>146.8</v>
      </c>
      <c r="B1470">
        <f>IF(A1470&gt;162.1,Parameters!$B$5,Parameters!$B$4)</f>
        <v/>
      </c>
      <c r="C1470">
        <f>C1469-0.1*B1470+0</f>
        <v/>
      </c>
      <c r="D1470">
        <f>D1469-0.1*B1470+0</f>
        <v/>
      </c>
      <c r="E1470">
        <f>Parameters!$B$25</f>
        <v/>
      </c>
    </row>
    <row r="1471">
      <c r="A1471" t="n">
        <v>146.9</v>
      </c>
      <c r="B1471">
        <f>IF(A1471&gt;162.1,Parameters!$B$5,Parameters!$B$4)</f>
        <v/>
      </c>
      <c r="C1471">
        <f>C1470-0.1*B1471+0</f>
        <v/>
      </c>
      <c r="D1471">
        <f>D1470-0.1*B1471+0</f>
        <v/>
      </c>
      <c r="E1471">
        <f>Parameters!$B$25</f>
        <v/>
      </c>
    </row>
    <row r="1472">
      <c r="A1472" t="n">
        <v>147</v>
      </c>
      <c r="B1472">
        <f>IF(A1472&gt;162.1,Parameters!$B$5,Parameters!$B$4)</f>
        <v/>
      </c>
      <c r="C1472">
        <f>C1471-0.1*B1472+0</f>
        <v/>
      </c>
      <c r="D1472">
        <f>D1471-0.1*B1472+0</f>
        <v/>
      </c>
      <c r="E1472">
        <f>Parameters!$B$25</f>
        <v/>
      </c>
    </row>
    <row r="1473">
      <c r="A1473" t="n">
        <v>147.1</v>
      </c>
      <c r="B1473">
        <f>IF(A1473&gt;162.1,Parameters!$B$5,Parameters!$B$4)</f>
        <v/>
      </c>
      <c r="C1473">
        <f>C1472-0.1*B1473+0</f>
        <v/>
      </c>
      <c r="D1473">
        <f>D1472-0.1*B1473+0</f>
        <v/>
      </c>
      <c r="E1473">
        <f>Parameters!$B$25</f>
        <v/>
      </c>
    </row>
    <row r="1474">
      <c r="A1474" t="n">
        <v>147.2</v>
      </c>
      <c r="B1474">
        <f>IF(A1474&gt;162.1,Parameters!$B$5,Parameters!$B$4)</f>
        <v/>
      </c>
      <c r="C1474">
        <f>C1473-0.1*B1474+0</f>
        <v/>
      </c>
      <c r="D1474">
        <f>D1473-0.1*B1474+0</f>
        <v/>
      </c>
      <c r="E1474">
        <f>Parameters!$B$25</f>
        <v/>
      </c>
    </row>
    <row r="1475">
      <c r="A1475" t="n">
        <v>147.3</v>
      </c>
      <c r="B1475">
        <f>IF(A1475&gt;162.1,Parameters!$B$5,Parameters!$B$4)</f>
        <v/>
      </c>
      <c r="C1475">
        <f>C1474-0.1*B1475+0</f>
        <v/>
      </c>
      <c r="D1475">
        <f>D1474-0.1*B1475+0</f>
        <v/>
      </c>
      <c r="E1475">
        <f>Parameters!$B$25</f>
        <v/>
      </c>
    </row>
    <row r="1476">
      <c r="A1476" t="n">
        <v>147.4</v>
      </c>
      <c r="B1476">
        <f>IF(A1476&gt;162.1,Parameters!$B$5,Parameters!$B$4)</f>
        <v/>
      </c>
      <c r="C1476">
        <f>C1475-0.1*B1476+0</f>
        <v/>
      </c>
      <c r="D1476">
        <f>D1475-0.1*B1476+0</f>
        <v/>
      </c>
      <c r="E1476">
        <f>Parameters!$B$25</f>
        <v/>
      </c>
    </row>
    <row r="1477">
      <c r="A1477" t="n">
        <v>147.5</v>
      </c>
      <c r="B1477">
        <f>IF(A1477&gt;162.1,Parameters!$B$5,Parameters!$B$4)</f>
        <v/>
      </c>
      <c r="C1477">
        <f>C1476-0.1*B1477+0</f>
        <v/>
      </c>
      <c r="D1477">
        <f>D1476-0.1*B1477+0</f>
        <v/>
      </c>
      <c r="E1477">
        <f>Parameters!$B$25</f>
        <v/>
      </c>
    </row>
    <row r="1478">
      <c r="A1478" t="n">
        <v>147.6</v>
      </c>
      <c r="B1478">
        <f>IF(A1478&gt;162.1,Parameters!$B$5,Parameters!$B$4)</f>
        <v/>
      </c>
      <c r="C1478">
        <f>C1477-0.1*B1478+0</f>
        <v/>
      </c>
      <c r="D1478">
        <f>D1477-0.1*B1478+0</f>
        <v/>
      </c>
      <c r="E1478">
        <f>Parameters!$B$25</f>
        <v/>
      </c>
    </row>
    <row r="1479">
      <c r="A1479" t="n">
        <v>147.7</v>
      </c>
      <c r="B1479">
        <f>IF(A1479&gt;162.1,Parameters!$B$5,Parameters!$B$4)</f>
        <v/>
      </c>
      <c r="C1479">
        <f>C1478-0.1*B1479+0</f>
        <v/>
      </c>
      <c r="D1479">
        <f>D1478-0.1*B1479+0</f>
        <v/>
      </c>
      <c r="E1479">
        <f>Parameters!$B$25</f>
        <v/>
      </c>
    </row>
    <row r="1480">
      <c r="A1480" t="n">
        <v>147.8</v>
      </c>
      <c r="B1480">
        <f>IF(A1480&gt;162.1,Parameters!$B$5,Parameters!$B$4)</f>
        <v/>
      </c>
      <c r="C1480">
        <f>C1479-0.1*B1480+0</f>
        <v/>
      </c>
      <c r="D1480">
        <f>D1479-0.1*B1480+0</f>
        <v/>
      </c>
      <c r="E1480">
        <f>Parameters!$B$25</f>
        <v/>
      </c>
    </row>
    <row r="1481">
      <c r="A1481" t="n">
        <v>147.9</v>
      </c>
      <c r="B1481">
        <f>IF(A1481&gt;162.1,Parameters!$B$5,Parameters!$B$4)</f>
        <v/>
      </c>
      <c r="C1481">
        <f>C1480-0.1*B1481+0</f>
        <v/>
      </c>
      <c r="D1481">
        <f>D1480-0.1*B1481+0</f>
        <v/>
      </c>
      <c r="E1481">
        <f>Parameters!$B$25</f>
        <v/>
      </c>
    </row>
    <row r="1482">
      <c r="A1482" t="n">
        <v>148</v>
      </c>
      <c r="B1482">
        <f>IF(A1482&gt;162.1,Parameters!$B$5,Parameters!$B$4)</f>
        <v/>
      </c>
      <c r="C1482">
        <f>C1481-0.1*B1482+0</f>
        <v/>
      </c>
      <c r="D1482">
        <f>D1481-0.1*B1482+0</f>
        <v/>
      </c>
      <c r="E1482">
        <f>Parameters!$B$25</f>
        <v/>
      </c>
    </row>
    <row r="1483">
      <c r="A1483" t="n">
        <v>148.1</v>
      </c>
      <c r="B1483">
        <f>IF(A1483&gt;162.1,Parameters!$B$5,Parameters!$B$4)</f>
        <v/>
      </c>
      <c r="C1483">
        <f>C1482-0.1*B1483+0</f>
        <v/>
      </c>
      <c r="D1483">
        <f>D1482-0.1*B1483+0</f>
        <v/>
      </c>
      <c r="E1483">
        <f>Parameters!$B$25</f>
        <v/>
      </c>
    </row>
    <row r="1484">
      <c r="A1484" t="n">
        <v>148.2</v>
      </c>
      <c r="B1484">
        <f>IF(A1484&gt;162.1,Parameters!$B$5,Parameters!$B$4)</f>
        <v/>
      </c>
      <c r="C1484">
        <f>C1483-0.1*B1484+0</f>
        <v/>
      </c>
      <c r="D1484">
        <f>D1483-0.1*B1484+0</f>
        <v/>
      </c>
      <c r="E1484">
        <f>Parameters!$B$25</f>
        <v/>
      </c>
    </row>
    <row r="1485">
      <c r="A1485" t="n">
        <v>148.3</v>
      </c>
      <c r="B1485">
        <f>IF(A1485&gt;162.1,Parameters!$B$5,Parameters!$B$4)</f>
        <v/>
      </c>
      <c r="C1485">
        <f>C1484-0.1*B1485+0</f>
        <v/>
      </c>
      <c r="D1485">
        <f>D1484-0.1*B1485+0</f>
        <v/>
      </c>
      <c r="E1485">
        <f>Parameters!$B$25</f>
        <v/>
      </c>
    </row>
    <row r="1486">
      <c r="A1486" t="n">
        <v>148.4</v>
      </c>
      <c r="B1486">
        <f>IF(A1486&gt;162.1,Parameters!$B$5,Parameters!$B$4)</f>
        <v/>
      </c>
      <c r="C1486">
        <f>C1485-0.1*B1486+0</f>
        <v/>
      </c>
      <c r="D1486">
        <f>D1485-0.1*B1486+0</f>
        <v/>
      </c>
      <c r="E1486">
        <f>Parameters!$B$25</f>
        <v/>
      </c>
    </row>
    <row r="1487">
      <c r="A1487" t="n">
        <v>148.5</v>
      </c>
      <c r="B1487">
        <f>IF(A1487&gt;162.1,Parameters!$B$5,Parameters!$B$4)</f>
        <v/>
      </c>
      <c r="C1487">
        <f>C1486-0.1*B1487+0</f>
        <v/>
      </c>
      <c r="D1487">
        <f>D1486-0.1*B1487+0</f>
        <v/>
      </c>
      <c r="E1487">
        <f>Parameters!$B$25</f>
        <v/>
      </c>
    </row>
    <row r="1488">
      <c r="A1488" t="n">
        <v>148.6</v>
      </c>
      <c r="B1488">
        <f>IF(A1488&gt;162.1,Parameters!$B$5,Parameters!$B$4)</f>
        <v/>
      </c>
      <c r="C1488">
        <f>C1487-0.1*B1488+0</f>
        <v/>
      </c>
      <c r="D1488">
        <f>D1487-0.1*B1488+0</f>
        <v/>
      </c>
      <c r="E1488">
        <f>Parameters!$B$25</f>
        <v/>
      </c>
    </row>
    <row r="1489">
      <c r="A1489" t="n">
        <v>148.7</v>
      </c>
      <c r="B1489">
        <f>IF(A1489&gt;162.1,Parameters!$B$5,Parameters!$B$4)</f>
        <v/>
      </c>
      <c r="C1489">
        <f>C1488-0.1*B1489+0</f>
        <v/>
      </c>
      <c r="D1489">
        <f>D1488-0.1*B1489+0</f>
        <v/>
      </c>
      <c r="E1489">
        <f>Parameters!$B$25</f>
        <v/>
      </c>
    </row>
    <row r="1490">
      <c r="A1490" t="n">
        <v>148.8</v>
      </c>
      <c r="B1490">
        <f>IF(A1490&gt;162.1,Parameters!$B$5,Parameters!$B$4)</f>
        <v/>
      </c>
      <c r="C1490">
        <f>C1489-0.1*B1490+0</f>
        <v/>
      </c>
      <c r="D1490">
        <f>D1489-0.1*B1490+0</f>
        <v/>
      </c>
      <c r="E1490">
        <f>Parameters!$B$25</f>
        <v/>
      </c>
    </row>
    <row r="1491">
      <c r="A1491" t="n">
        <v>148.9</v>
      </c>
      <c r="B1491">
        <f>IF(A1491&gt;162.1,Parameters!$B$5,Parameters!$B$4)</f>
        <v/>
      </c>
      <c r="C1491">
        <f>C1490-0.1*B1491+0</f>
        <v/>
      </c>
      <c r="D1491">
        <f>D1490-0.1*B1491+0</f>
        <v/>
      </c>
      <c r="E1491">
        <f>Parameters!$B$25</f>
        <v/>
      </c>
    </row>
    <row r="1492">
      <c r="A1492" t="n">
        <v>149</v>
      </c>
      <c r="B1492">
        <f>IF(A1492&gt;162.1,Parameters!$B$5,Parameters!$B$4)</f>
        <v/>
      </c>
      <c r="C1492">
        <f>C1491-0.1*B1492+0</f>
        <v/>
      </c>
      <c r="D1492">
        <f>D1491-0.1*B1492+0</f>
        <v/>
      </c>
      <c r="E1492">
        <f>Parameters!$B$25</f>
        <v/>
      </c>
    </row>
    <row r="1493">
      <c r="A1493" t="n">
        <v>149.1</v>
      </c>
      <c r="B1493">
        <f>IF(A1493&gt;162.1,Parameters!$B$5,Parameters!$B$4)</f>
        <v/>
      </c>
      <c r="C1493">
        <f>C1492-0.1*B1493+0</f>
        <v/>
      </c>
      <c r="D1493">
        <f>D1492-0.1*B1493+0</f>
        <v/>
      </c>
      <c r="E1493">
        <f>Parameters!$B$25</f>
        <v/>
      </c>
    </row>
    <row r="1494">
      <c r="A1494" t="n">
        <v>149.2</v>
      </c>
      <c r="B1494">
        <f>IF(A1494&gt;162.1,Parameters!$B$5,Parameters!$B$4)</f>
        <v/>
      </c>
      <c r="C1494">
        <f>C1493-0.1*B1494+0</f>
        <v/>
      </c>
      <c r="D1494">
        <f>D1493-0.1*B1494+0</f>
        <v/>
      </c>
      <c r="E1494">
        <f>Parameters!$B$25</f>
        <v/>
      </c>
    </row>
    <row r="1495">
      <c r="A1495" t="n">
        <v>149.3</v>
      </c>
      <c r="B1495">
        <f>IF(A1495&gt;162.1,Parameters!$B$5,Parameters!$B$4)</f>
        <v/>
      </c>
      <c r="C1495">
        <f>C1494-0.1*B1495+0</f>
        <v/>
      </c>
      <c r="D1495">
        <f>D1494-0.1*B1495+0</f>
        <v/>
      </c>
      <c r="E1495">
        <f>Parameters!$B$25</f>
        <v/>
      </c>
    </row>
    <row r="1496">
      <c r="A1496" t="n">
        <v>149.4</v>
      </c>
      <c r="B1496">
        <f>IF(A1496&gt;162.1,Parameters!$B$5,Parameters!$B$4)</f>
        <v/>
      </c>
      <c r="C1496">
        <f>C1495-0.1*B1496+0</f>
        <v/>
      </c>
      <c r="D1496">
        <f>D1495-0.1*B1496+0</f>
        <v/>
      </c>
      <c r="E1496">
        <f>Parameters!$B$25</f>
        <v/>
      </c>
    </row>
    <row r="1497">
      <c r="A1497" t="n">
        <v>149.5</v>
      </c>
      <c r="B1497">
        <f>IF(A1497&gt;162.1,Parameters!$B$5,Parameters!$B$4)</f>
        <v/>
      </c>
      <c r="C1497">
        <f>C1496-0.1*B1497+0</f>
        <v/>
      </c>
      <c r="D1497">
        <f>D1496-0.1*B1497+0</f>
        <v/>
      </c>
      <c r="E1497">
        <f>Parameters!$B$25</f>
        <v/>
      </c>
    </row>
    <row r="1498">
      <c r="A1498" t="n">
        <v>149.6</v>
      </c>
      <c r="B1498">
        <f>IF(A1498&gt;162.1,Parameters!$B$5,Parameters!$B$4)</f>
        <v/>
      </c>
      <c r="C1498">
        <f>C1497-0.1*B1498+0</f>
        <v/>
      </c>
      <c r="D1498">
        <f>D1497-0.1*B1498+0</f>
        <v/>
      </c>
      <c r="E1498">
        <f>Parameters!$B$25</f>
        <v/>
      </c>
    </row>
    <row r="1499">
      <c r="A1499" t="n">
        <v>149.7</v>
      </c>
      <c r="B1499">
        <f>IF(A1499&gt;162.1,Parameters!$B$5,Parameters!$B$4)</f>
        <v/>
      </c>
      <c r="C1499">
        <f>C1498-0.1*B1499+0</f>
        <v/>
      </c>
      <c r="D1499">
        <f>D1498-0.1*B1499+0</f>
        <v/>
      </c>
      <c r="E1499">
        <f>Parameters!$B$25</f>
        <v/>
      </c>
    </row>
    <row r="1500">
      <c r="A1500" t="n">
        <v>149.8</v>
      </c>
      <c r="B1500">
        <f>IF(A1500&gt;162.1,Parameters!$B$5,Parameters!$B$4)</f>
        <v/>
      </c>
      <c r="C1500">
        <f>C1499-0.1*B1500+0</f>
        <v/>
      </c>
      <c r="D1500">
        <f>D1499-0.1*B1500+0</f>
        <v/>
      </c>
      <c r="E1500">
        <f>Parameters!$B$25</f>
        <v/>
      </c>
    </row>
    <row r="1501">
      <c r="A1501" t="n">
        <v>149.9</v>
      </c>
      <c r="B1501">
        <f>IF(A1501&gt;162.1,Parameters!$B$5,Parameters!$B$4)</f>
        <v/>
      </c>
      <c r="C1501">
        <f>C1500-0.1*B1501+0</f>
        <v/>
      </c>
      <c r="D1501">
        <f>D1500-0.1*B1501+0</f>
        <v/>
      </c>
      <c r="E1501">
        <f>Parameters!$B$25</f>
        <v/>
      </c>
    </row>
    <row r="1502">
      <c r="A1502" t="n">
        <v>150</v>
      </c>
      <c r="B1502">
        <f>IF(A1502&gt;162.1,Parameters!$B$5,Parameters!$B$4)</f>
        <v/>
      </c>
      <c r="C1502">
        <f>C1501-0.1*B1502+0</f>
        <v/>
      </c>
      <c r="D1502">
        <f>D1501-0.1*B1502+0</f>
        <v/>
      </c>
      <c r="E1502">
        <f>Parameters!$B$25</f>
        <v/>
      </c>
    </row>
    <row r="1503">
      <c r="A1503" t="n">
        <v>150.1</v>
      </c>
      <c r="B1503">
        <f>IF(A1503&gt;162.1,Parameters!$B$5,Parameters!$B$4)</f>
        <v/>
      </c>
      <c r="C1503">
        <f>C1502-0.1*B1503+0</f>
        <v/>
      </c>
      <c r="D1503">
        <f>D1502-0.1*B1503+0</f>
        <v/>
      </c>
      <c r="E1503">
        <f>Parameters!$B$25</f>
        <v/>
      </c>
    </row>
    <row r="1504">
      <c r="A1504" t="n">
        <v>150.2</v>
      </c>
      <c r="B1504">
        <f>IF(A1504&gt;162.1,Parameters!$B$5,Parameters!$B$4)</f>
        <v/>
      </c>
      <c r="C1504">
        <f>C1503-0.1*B1504+0</f>
        <v/>
      </c>
      <c r="D1504">
        <f>D1503-0.1*B1504+0</f>
        <v/>
      </c>
      <c r="E1504">
        <f>Parameters!$B$25</f>
        <v/>
      </c>
    </row>
    <row r="1505">
      <c r="A1505" t="n">
        <v>150.3</v>
      </c>
      <c r="B1505">
        <f>IF(A1505&gt;162.1,Parameters!$B$5,Parameters!$B$4)</f>
        <v/>
      </c>
      <c r="C1505">
        <f>C1504-0.1*B1505+0</f>
        <v/>
      </c>
      <c r="D1505">
        <f>D1504-0.1*B1505+0</f>
        <v/>
      </c>
      <c r="E1505">
        <f>Parameters!$B$25</f>
        <v/>
      </c>
    </row>
    <row r="1506">
      <c r="A1506" t="n">
        <v>150.4</v>
      </c>
      <c r="B1506">
        <f>IF(A1506&gt;162.1,Parameters!$B$5,Parameters!$B$4)</f>
        <v/>
      </c>
      <c r="C1506">
        <f>C1505-0.1*B1506+0</f>
        <v/>
      </c>
      <c r="D1506">
        <f>D1505-0.1*B1506+0</f>
        <v/>
      </c>
      <c r="E1506">
        <f>Parameters!$B$25</f>
        <v/>
      </c>
    </row>
    <row r="1507">
      <c r="A1507" t="n">
        <v>150.5</v>
      </c>
      <c r="B1507">
        <f>IF(A1507&gt;162.1,Parameters!$B$5,Parameters!$B$4)</f>
        <v/>
      </c>
      <c r="C1507">
        <f>C1506-0.1*B1507+0</f>
        <v/>
      </c>
      <c r="D1507">
        <f>D1506-0.1*B1507+0</f>
        <v/>
      </c>
      <c r="E1507">
        <f>Parameters!$B$25</f>
        <v/>
      </c>
    </row>
    <row r="1508">
      <c r="A1508" t="n">
        <v>150.6</v>
      </c>
      <c r="B1508">
        <f>IF(A1508&gt;162.1,Parameters!$B$5,Parameters!$B$4)</f>
        <v/>
      </c>
      <c r="C1508">
        <f>C1507-0.1*B1508+0</f>
        <v/>
      </c>
      <c r="D1508">
        <f>D1507-0.1*B1508+0</f>
        <v/>
      </c>
      <c r="E1508">
        <f>Parameters!$B$25</f>
        <v/>
      </c>
    </row>
    <row r="1509">
      <c r="A1509" t="n">
        <v>150.7</v>
      </c>
      <c r="B1509">
        <f>IF(A1509&gt;162.1,Parameters!$B$5,Parameters!$B$4)</f>
        <v/>
      </c>
      <c r="C1509">
        <f>C1508-0.1*B1509+0</f>
        <v/>
      </c>
      <c r="D1509">
        <f>D1508-0.1*B1509+0</f>
        <v/>
      </c>
      <c r="E1509">
        <f>Parameters!$B$25</f>
        <v/>
      </c>
    </row>
    <row r="1510">
      <c r="A1510" t="n">
        <v>150.8</v>
      </c>
      <c r="B1510">
        <f>IF(A1510&gt;162.1,Parameters!$B$5,Parameters!$B$4)</f>
        <v/>
      </c>
      <c r="C1510">
        <f>C1509-0.1*B1510+0</f>
        <v/>
      </c>
      <c r="D1510">
        <f>D1509-0.1*B1510+0</f>
        <v/>
      </c>
      <c r="E1510">
        <f>Parameters!$B$25</f>
        <v/>
      </c>
    </row>
    <row r="1511">
      <c r="A1511" t="n">
        <v>150.9</v>
      </c>
      <c r="B1511">
        <f>IF(A1511&gt;162.1,Parameters!$B$5,Parameters!$B$4)</f>
        <v/>
      </c>
      <c r="C1511">
        <f>C1510-0.1*B1511+0</f>
        <v/>
      </c>
      <c r="D1511">
        <f>D1510-0.1*B1511+0</f>
        <v/>
      </c>
      <c r="E1511">
        <f>Parameters!$B$25</f>
        <v/>
      </c>
    </row>
    <row r="1512">
      <c r="A1512" t="n">
        <v>151</v>
      </c>
      <c r="B1512">
        <f>IF(A1512&gt;162.1,Parameters!$B$5,Parameters!$B$4)</f>
        <v/>
      </c>
      <c r="C1512">
        <f>C1511-0.1*B1512+0</f>
        <v/>
      </c>
      <c r="D1512">
        <f>D1511-0.1*B1512+0</f>
        <v/>
      </c>
      <c r="E1512">
        <f>Parameters!$B$25</f>
        <v/>
      </c>
    </row>
    <row r="1513">
      <c r="A1513" t="n">
        <v>151.1</v>
      </c>
      <c r="B1513">
        <f>IF(A1513&gt;162.1,Parameters!$B$5,Parameters!$B$4)</f>
        <v/>
      </c>
      <c r="C1513">
        <f>C1512-0.1*B1513+0</f>
        <v/>
      </c>
      <c r="D1513">
        <f>D1512-0.1*B1513+0</f>
        <v/>
      </c>
      <c r="E1513">
        <f>Parameters!$B$25</f>
        <v/>
      </c>
    </row>
    <row r="1514">
      <c r="A1514" t="n">
        <v>151.2</v>
      </c>
      <c r="B1514">
        <f>IF(A1514&gt;162.1,Parameters!$B$5,Parameters!$B$4)</f>
        <v/>
      </c>
      <c r="C1514">
        <f>C1513-0.1*B1514+0</f>
        <v/>
      </c>
      <c r="D1514">
        <f>D1513-0.1*B1514+0</f>
        <v/>
      </c>
      <c r="E1514">
        <f>Parameters!$B$25</f>
        <v/>
      </c>
    </row>
    <row r="1515">
      <c r="A1515" t="n">
        <v>151.3</v>
      </c>
      <c r="B1515">
        <f>IF(A1515&gt;162.1,Parameters!$B$5,Parameters!$B$4)</f>
        <v/>
      </c>
      <c r="C1515">
        <f>C1514-0.1*B1515+0</f>
        <v/>
      </c>
      <c r="D1515">
        <f>D1514-0.1*B1515+0</f>
        <v/>
      </c>
      <c r="E1515">
        <f>Parameters!$B$25</f>
        <v/>
      </c>
    </row>
    <row r="1516">
      <c r="A1516" t="n">
        <v>151.4</v>
      </c>
      <c r="B1516">
        <f>IF(A1516&gt;162.1,Parameters!$B$5,Parameters!$B$4)</f>
        <v/>
      </c>
      <c r="C1516">
        <f>C1515-0.1*B1516+0</f>
        <v/>
      </c>
      <c r="D1516">
        <f>D1515-0.1*B1516+0</f>
        <v/>
      </c>
      <c r="E1516">
        <f>Parameters!$B$25</f>
        <v/>
      </c>
    </row>
    <row r="1517">
      <c r="A1517" t="n">
        <v>151.5</v>
      </c>
      <c r="B1517">
        <f>IF(A1517&gt;162.1,Parameters!$B$5,Parameters!$B$4)</f>
        <v/>
      </c>
      <c r="C1517">
        <f>C1516-0.1*B1517+0</f>
        <v/>
      </c>
      <c r="D1517">
        <f>D1516-0.1*B1517+0</f>
        <v/>
      </c>
      <c r="E1517">
        <f>Parameters!$B$25</f>
        <v/>
      </c>
    </row>
    <row r="1518">
      <c r="A1518" t="n">
        <v>151.6</v>
      </c>
      <c r="B1518">
        <f>IF(A1518&gt;162.1,Parameters!$B$5,Parameters!$B$4)</f>
        <v/>
      </c>
      <c r="C1518">
        <f>C1517-0.1*B1518+0</f>
        <v/>
      </c>
      <c r="D1518">
        <f>D1517-0.1*B1518+0</f>
        <v/>
      </c>
      <c r="E1518">
        <f>Parameters!$B$25</f>
        <v/>
      </c>
    </row>
    <row r="1519">
      <c r="A1519" t="n">
        <v>151.7</v>
      </c>
      <c r="B1519">
        <f>IF(A1519&gt;162.1,Parameters!$B$5,Parameters!$B$4)</f>
        <v/>
      </c>
      <c r="C1519">
        <f>C1518-0.1*B1519+0</f>
        <v/>
      </c>
      <c r="D1519">
        <f>D1518-0.1*B1519+0</f>
        <v/>
      </c>
      <c r="E1519">
        <f>Parameters!$B$25</f>
        <v/>
      </c>
    </row>
    <row r="1520">
      <c r="A1520" t="n">
        <v>151.8</v>
      </c>
      <c r="B1520">
        <f>IF(A1520&gt;162.1,Parameters!$B$5,Parameters!$B$4)</f>
        <v/>
      </c>
      <c r="C1520">
        <f>C1519-0.1*B1520+0</f>
        <v/>
      </c>
      <c r="D1520">
        <f>D1519-0.1*B1520+0</f>
        <v/>
      </c>
      <c r="E1520">
        <f>Parameters!$B$25</f>
        <v/>
      </c>
    </row>
    <row r="1521">
      <c r="A1521" t="n">
        <v>151.9</v>
      </c>
      <c r="B1521">
        <f>IF(A1521&gt;162.1,Parameters!$B$5,Parameters!$B$4)</f>
        <v/>
      </c>
      <c r="C1521">
        <f>C1520-0.1*B1521+0</f>
        <v/>
      </c>
      <c r="D1521">
        <f>D1520-0.1*B1521+0</f>
        <v/>
      </c>
      <c r="E1521">
        <f>Parameters!$B$25</f>
        <v/>
      </c>
    </row>
    <row r="1522">
      <c r="A1522" t="n">
        <v>152</v>
      </c>
      <c r="B1522">
        <f>IF(A1522&gt;162.1,Parameters!$B$5,Parameters!$B$4)</f>
        <v/>
      </c>
      <c r="C1522">
        <f>C1521-0.1*B1522+0</f>
        <v/>
      </c>
      <c r="D1522">
        <f>D1521-0.1*B1522+0</f>
        <v/>
      </c>
      <c r="E1522">
        <f>Parameters!$B$25</f>
        <v/>
      </c>
    </row>
    <row r="1523">
      <c r="A1523" t="n">
        <v>152.1</v>
      </c>
      <c r="B1523">
        <f>IF(A1523&gt;162.1,Parameters!$B$5,Parameters!$B$4)</f>
        <v/>
      </c>
      <c r="C1523">
        <f>C1522-0.1*B1523+0</f>
        <v/>
      </c>
      <c r="D1523">
        <f>D1522-0.1*B1523+0</f>
        <v/>
      </c>
      <c r="E1523">
        <f>Parameters!$B$25</f>
        <v/>
      </c>
    </row>
    <row r="1524">
      <c r="A1524" t="n">
        <v>152.2</v>
      </c>
      <c r="B1524">
        <f>IF(A1524&gt;162.1,Parameters!$B$5,Parameters!$B$4)</f>
        <v/>
      </c>
      <c r="C1524">
        <f>C1523-0.1*B1524+0</f>
        <v/>
      </c>
      <c r="D1524">
        <f>D1523-0.1*B1524+0</f>
        <v/>
      </c>
      <c r="E1524">
        <f>Parameters!$B$25</f>
        <v/>
      </c>
    </row>
    <row r="1525">
      <c r="A1525" t="n">
        <v>152.3</v>
      </c>
      <c r="B1525">
        <f>IF(A1525&gt;162.1,Parameters!$B$5,Parameters!$B$4)</f>
        <v/>
      </c>
      <c r="C1525">
        <f>C1524-0.1*B1525+0</f>
        <v/>
      </c>
      <c r="D1525">
        <f>D1524-0.1*B1525+0</f>
        <v/>
      </c>
      <c r="E1525">
        <f>Parameters!$B$25</f>
        <v/>
      </c>
    </row>
    <row r="1526">
      <c r="A1526" t="n">
        <v>152.4</v>
      </c>
      <c r="B1526">
        <f>IF(A1526&gt;162.1,Parameters!$B$5,Parameters!$B$4)</f>
        <v/>
      </c>
      <c r="C1526">
        <f>C1525-0.1*B1526+0</f>
        <v/>
      </c>
      <c r="D1526">
        <f>D1525-0.1*B1526+0</f>
        <v/>
      </c>
      <c r="E1526">
        <f>Parameters!$B$25</f>
        <v/>
      </c>
    </row>
    <row r="1527">
      <c r="A1527" t="n">
        <v>152.5</v>
      </c>
      <c r="B1527">
        <f>IF(A1527&gt;162.1,Parameters!$B$5,Parameters!$B$4)</f>
        <v/>
      </c>
      <c r="C1527">
        <f>C1526-0.1*B1527+0</f>
        <v/>
      </c>
      <c r="D1527">
        <f>D1526-0.1*B1527+0</f>
        <v/>
      </c>
      <c r="E1527">
        <f>Parameters!$B$25</f>
        <v/>
      </c>
    </row>
    <row r="1528">
      <c r="A1528" t="n">
        <v>152.6</v>
      </c>
      <c r="B1528">
        <f>IF(A1528&gt;162.1,Parameters!$B$5,Parameters!$B$4)</f>
        <v/>
      </c>
      <c r="C1528">
        <f>C1527-0.1*B1528+0</f>
        <v/>
      </c>
      <c r="D1528">
        <f>D1527-0.1*B1528+0</f>
        <v/>
      </c>
      <c r="E1528">
        <f>Parameters!$B$25</f>
        <v/>
      </c>
    </row>
    <row r="1529">
      <c r="A1529" t="n">
        <v>152.7</v>
      </c>
      <c r="B1529">
        <f>IF(A1529&gt;162.1,Parameters!$B$5,Parameters!$B$4)</f>
        <v/>
      </c>
      <c r="C1529">
        <f>C1528-0.1*B1529+0</f>
        <v/>
      </c>
      <c r="D1529">
        <f>D1528-0.1*B1529+0</f>
        <v/>
      </c>
      <c r="E1529">
        <f>Parameters!$B$25</f>
        <v/>
      </c>
    </row>
    <row r="1530">
      <c r="A1530" t="n">
        <v>152.8</v>
      </c>
      <c r="B1530">
        <f>IF(A1530&gt;162.1,Parameters!$B$5,Parameters!$B$4)</f>
        <v/>
      </c>
      <c r="C1530">
        <f>C1529-0.1*B1530+0</f>
        <v/>
      </c>
      <c r="D1530">
        <f>D1529-0.1*B1530+0</f>
        <v/>
      </c>
      <c r="E1530">
        <f>Parameters!$B$25</f>
        <v/>
      </c>
    </row>
    <row r="1531">
      <c r="A1531" t="n">
        <v>152.9</v>
      </c>
      <c r="B1531">
        <f>IF(A1531&gt;162.1,Parameters!$B$5,Parameters!$B$4)</f>
        <v/>
      </c>
      <c r="C1531">
        <f>C1530-0.1*B1531+0</f>
        <v/>
      </c>
      <c r="D1531">
        <f>D1530-0.1*B1531+0</f>
        <v/>
      </c>
      <c r="E1531">
        <f>Parameters!$B$25</f>
        <v/>
      </c>
    </row>
    <row r="1532">
      <c r="A1532" t="n">
        <v>153</v>
      </c>
      <c r="B1532">
        <f>IF(A1532&gt;162.1,Parameters!$B$5,Parameters!$B$4)</f>
        <v/>
      </c>
      <c r="C1532">
        <f>C1531-0.1*B1532+0</f>
        <v/>
      </c>
      <c r="D1532">
        <f>D1531-0.1*B1532+0</f>
        <v/>
      </c>
      <c r="E1532">
        <f>Parameters!$B$25</f>
        <v/>
      </c>
    </row>
    <row r="1533">
      <c r="A1533" t="n">
        <v>153.1</v>
      </c>
      <c r="B1533">
        <f>IF(A1533&gt;162.1,Parameters!$B$5,Parameters!$B$4)</f>
        <v/>
      </c>
      <c r="C1533">
        <f>C1532-0.1*B1533+0</f>
        <v/>
      </c>
      <c r="D1533">
        <f>D1532-0.1*B1533+0</f>
        <v/>
      </c>
      <c r="E1533">
        <f>Parameters!$B$25</f>
        <v/>
      </c>
    </row>
    <row r="1534">
      <c r="A1534" t="n">
        <v>153.2</v>
      </c>
      <c r="B1534">
        <f>IF(A1534&gt;162.1,Parameters!$B$5,Parameters!$B$4)</f>
        <v/>
      </c>
      <c r="C1534">
        <f>C1533-0.1*B1534+0</f>
        <v/>
      </c>
      <c r="D1534">
        <f>D1533-0.1*B1534+0</f>
        <v/>
      </c>
      <c r="E1534">
        <f>Parameters!$B$25</f>
        <v/>
      </c>
    </row>
    <row r="1535">
      <c r="A1535" t="n">
        <v>153.3</v>
      </c>
      <c r="B1535">
        <f>IF(A1535&gt;162.1,Parameters!$B$5,Parameters!$B$4)</f>
        <v/>
      </c>
      <c r="C1535">
        <f>C1534-0.1*B1535+0</f>
        <v/>
      </c>
      <c r="D1535">
        <f>D1534-0.1*B1535+0</f>
        <v/>
      </c>
      <c r="E1535">
        <f>Parameters!$B$25</f>
        <v/>
      </c>
    </row>
    <row r="1536">
      <c r="A1536" t="n">
        <v>153.4</v>
      </c>
      <c r="B1536">
        <f>IF(A1536&gt;162.1,Parameters!$B$5,Parameters!$B$4)</f>
        <v/>
      </c>
      <c r="C1536">
        <f>C1535-0.1*B1536+0</f>
        <v/>
      </c>
      <c r="D1536">
        <f>D1535-0.1*B1536+0</f>
        <v/>
      </c>
      <c r="E1536">
        <f>Parameters!$B$25</f>
        <v/>
      </c>
    </row>
    <row r="1537">
      <c r="A1537" t="n">
        <v>153.5</v>
      </c>
      <c r="B1537">
        <f>IF(A1537&gt;162.1,Parameters!$B$5,Parameters!$B$4)</f>
        <v/>
      </c>
      <c r="C1537">
        <f>C1536-0.1*B1537+0</f>
        <v/>
      </c>
      <c r="D1537">
        <f>D1536-0.1*B1537+0</f>
        <v/>
      </c>
      <c r="E1537">
        <f>Parameters!$B$25</f>
        <v/>
      </c>
    </row>
    <row r="1538">
      <c r="A1538" t="n">
        <v>153.6</v>
      </c>
      <c r="B1538">
        <f>IF(A1538&gt;162.1,Parameters!$B$5,Parameters!$B$4)</f>
        <v/>
      </c>
      <c r="C1538">
        <f>C1537-0.1*B1538+0</f>
        <v/>
      </c>
      <c r="D1538">
        <f>D1537-0.1*B1538+0</f>
        <v/>
      </c>
      <c r="E1538">
        <f>Parameters!$B$25</f>
        <v/>
      </c>
    </row>
    <row r="1539">
      <c r="A1539" t="n">
        <v>153.7</v>
      </c>
      <c r="B1539">
        <f>IF(A1539&gt;162.1,Parameters!$B$5,Parameters!$B$4)</f>
        <v/>
      </c>
      <c r="C1539">
        <f>C1538-0.1*B1539+0</f>
        <v/>
      </c>
      <c r="D1539">
        <f>D1538-0.1*B1539+0</f>
        <v/>
      </c>
      <c r="E1539">
        <f>Parameters!$B$25</f>
        <v/>
      </c>
    </row>
    <row r="1540">
      <c r="A1540" t="n">
        <v>153.8</v>
      </c>
      <c r="B1540">
        <f>IF(A1540&gt;162.1,Parameters!$B$5,Parameters!$B$4)</f>
        <v/>
      </c>
      <c r="C1540">
        <f>C1539-0.1*B1540+0</f>
        <v/>
      </c>
      <c r="D1540">
        <f>D1539-0.1*B1540+0</f>
        <v/>
      </c>
      <c r="E1540">
        <f>Parameters!$B$25</f>
        <v/>
      </c>
    </row>
    <row r="1541">
      <c r="A1541" t="n">
        <v>153.9</v>
      </c>
      <c r="B1541">
        <f>IF(A1541&gt;162.1,Parameters!$B$5,Parameters!$B$4)</f>
        <v/>
      </c>
      <c r="C1541">
        <f>C1540-0.1*B1541+0</f>
        <v/>
      </c>
      <c r="D1541">
        <f>D1540-0.1*B1541+0</f>
        <v/>
      </c>
      <c r="E1541">
        <f>Parameters!$B$25</f>
        <v/>
      </c>
    </row>
    <row r="1542">
      <c r="A1542" t="n">
        <v>154</v>
      </c>
      <c r="B1542">
        <f>IF(A1542&gt;162.1,Parameters!$B$5,Parameters!$B$4)</f>
        <v/>
      </c>
      <c r="C1542">
        <f>C1541-0.1*B1542+0</f>
        <v/>
      </c>
      <c r="D1542">
        <f>D1541-0.1*B1542+0</f>
        <v/>
      </c>
      <c r="E1542">
        <f>Parameters!$B$25</f>
        <v/>
      </c>
    </row>
    <row r="1543">
      <c r="A1543" t="n">
        <v>154.1</v>
      </c>
      <c r="B1543">
        <f>IF(A1543&gt;162.1,Parameters!$B$5,Parameters!$B$4)</f>
        <v/>
      </c>
      <c r="C1543">
        <f>C1542-0.1*B1543+0</f>
        <v/>
      </c>
      <c r="D1543">
        <f>D1542-0.1*B1543+0</f>
        <v/>
      </c>
      <c r="E1543">
        <f>Parameters!$B$25</f>
        <v/>
      </c>
    </row>
    <row r="1544">
      <c r="A1544" t="n">
        <v>154.2</v>
      </c>
      <c r="B1544">
        <f>IF(A1544&gt;162.1,Parameters!$B$5,Parameters!$B$4)</f>
        <v/>
      </c>
      <c r="C1544">
        <f>C1543-0.1*B1544+0</f>
        <v/>
      </c>
      <c r="D1544">
        <f>D1543-0.1*B1544+0</f>
        <v/>
      </c>
      <c r="E1544">
        <f>Parameters!$B$25</f>
        <v/>
      </c>
    </row>
    <row r="1545">
      <c r="A1545" t="n">
        <v>154.3</v>
      </c>
      <c r="B1545">
        <f>IF(A1545&gt;162.1,Parameters!$B$5,Parameters!$B$4)</f>
        <v/>
      </c>
      <c r="C1545">
        <f>C1544-0.1*B1545+0</f>
        <v/>
      </c>
      <c r="D1545">
        <f>D1544-0.1*B1545+0</f>
        <v/>
      </c>
      <c r="E1545">
        <f>Parameters!$B$25</f>
        <v/>
      </c>
    </row>
    <row r="1546">
      <c r="A1546" t="n">
        <v>154.4</v>
      </c>
      <c r="B1546">
        <f>IF(A1546&gt;162.1,Parameters!$B$5,Parameters!$B$4)</f>
        <v/>
      </c>
      <c r="C1546">
        <f>C1545-0.1*B1546+0</f>
        <v/>
      </c>
      <c r="D1546">
        <f>D1545-0.1*B1546+0</f>
        <v/>
      </c>
      <c r="E1546">
        <f>Parameters!$B$25</f>
        <v/>
      </c>
    </row>
    <row r="1547">
      <c r="A1547" t="n">
        <v>154.5</v>
      </c>
      <c r="B1547">
        <f>IF(A1547&gt;162.1,Parameters!$B$5,Parameters!$B$4)</f>
        <v/>
      </c>
      <c r="C1547">
        <f>C1546-0.1*B1547+0</f>
        <v/>
      </c>
      <c r="D1547">
        <f>D1546-0.1*B1547+0</f>
        <v/>
      </c>
      <c r="E1547">
        <f>Parameters!$B$25</f>
        <v/>
      </c>
    </row>
    <row r="1548">
      <c r="A1548" t="n">
        <v>154.6</v>
      </c>
      <c r="B1548">
        <f>IF(A1548&gt;162.1,Parameters!$B$5,Parameters!$B$4)</f>
        <v/>
      </c>
      <c r="C1548">
        <f>C1547-0.1*B1548+0</f>
        <v/>
      </c>
      <c r="D1548">
        <f>D1547-0.1*B1548+0</f>
        <v/>
      </c>
      <c r="E1548">
        <f>Parameters!$B$25</f>
        <v/>
      </c>
    </row>
    <row r="1549">
      <c r="A1549" t="n">
        <v>154.7</v>
      </c>
      <c r="B1549">
        <f>IF(A1549&gt;162.1,Parameters!$B$5,Parameters!$B$4)</f>
        <v/>
      </c>
      <c r="C1549">
        <f>C1548-0.1*B1549+0</f>
        <v/>
      </c>
      <c r="D1549">
        <f>D1548-0.1*B1549+0</f>
        <v/>
      </c>
      <c r="E1549">
        <f>Parameters!$B$25</f>
        <v/>
      </c>
    </row>
    <row r="1550">
      <c r="A1550" t="n">
        <v>154.8</v>
      </c>
      <c r="B1550">
        <f>IF(A1550&gt;162.1,Parameters!$B$5,Parameters!$B$4)</f>
        <v/>
      </c>
      <c r="C1550">
        <f>C1549-0.1*B1550+0</f>
        <v/>
      </c>
      <c r="D1550">
        <f>D1549-0.1*B1550+0</f>
        <v/>
      </c>
      <c r="E1550">
        <f>Parameters!$B$25</f>
        <v/>
      </c>
    </row>
    <row r="1551">
      <c r="A1551" t="n">
        <v>154.9</v>
      </c>
      <c r="B1551">
        <f>IF(A1551&gt;162.1,Parameters!$B$5,Parameters!$B$4)</f>
        <v/>
      </c>
      <c r="C1551">
        <f>C1550-0.1*B1551+0</f>
        <v/>
      </c>
      <c r="D1551">
        <f>D1550-0.1*B1551+0</f>
        <v/>
      </c>
      <c r="E1551">
        <f>Parameters!$B$25</f>
        <v/>
      </c>
    </row>
    <row r="1552">
      <c r="A1552" t="n">
        <v>155</v>
      </c>
      <c r="B1552">
        <f>IF(A1552&gt;162.1,Parameters!$B$5,Parameters!$B$4)</f>
        <v/>
      </c>
      <c r="C1552">
        <f>C1551-0.1*B1552+0</f>
        <v/>
      </c>
      <c r="D1552">
        <f>D1551-0.1*B1552+0</f>
        <v/>
      </c>
      <c r="E1552">
        <f>Parameters!$B$25</f>
        <v/>
      </c>
    </row>
    <row r="1553">
      <c r="A1553" t="n">
        <v>155.1</v>
      </c>
      <c r="B1553">
        <f>IF(A1553&gt;162.1,Parameters!$B$5,Parameters!$B$4)</f>
        <v/>
      </c>
      <c r="C1553">
        <f>C1552-0.1*B1553+0</f>
        <v/>
      </c>
      <c r="D1553">
        <f>D1552-0.1*B1553+0</f>
        <v/>
      </c>
      <c r="E1553">
        <f>Parameters!$B$25</f>
        <v/>
      </c>
    </row>
    <row r="1554">
      <c r="A1554" t="n">
        <v>155.2</v>
      </c>
      <c r="B1554">
        <f>IF(A1554&gt;162.1,Parameters!$B$5,Parameters!$B$4)</f>
        <v/>
      </c>
      <c r="C1554">
        <f>C1553-0.1*B1554+0</f>
        <v/>
      </c>
      <c r="D1554">
        <f>D1553-0.1*B1554+0</f>
        <v/>
      </c>
      <c r="E1554">
        <f>Parameters!$B$25</f>
        <v/>
      </c>
    </row>
    <row r="1555">
      <c r="A1555" t="n">
        <v>155.3</v>
      </c>
      <c r="B1555">
        <f>IF(A1555&gt;162.1,Parameters!$B$5,Parameters!$B$4)</f>
        <v/>
      </c>
      <c r="C1555">
        <f>C1554-0.1*B1555+0</f>
        <v/>
      </c>
      <c r="D1555">
        <f>D1554-0.1*B1555+0</f>
        <v/>
      </c>
      <c r="E1555">
        <f>Parameters!$B$25</f>
        <v/>
      </c>
    </row>
    <row r="1556">
      <c r="A1556" t="n">
        <v>155.4</v>
      </c>
      <c r="B1556">
        <f>IF(A1556&gt;162.1,Parameters!$B$5,Parameters!$B$4)</f>
        <v/>
      </c>
      <c r="C1556">
        <f>C1555-0.1*B1556+0</f>
        <v/>
      </c>
      <c r="D1556">
        <f>D1555-0.1*B1556+0</f>
        <v/>
      </c>
      <c r="E1556">
        <f>Parameters!$B$25</f>
        <v/>
      </c>
    </row>
    <row r="1557">
      <c r="A1557" t="n">
        <v>155.5</v>
      </c>
      <c r="B1557">
        <f>IF(A1557&gt;162.1,Parameters!$B$5,Parameters!$B$4)</f>
        <v/>
      </c>
      <c r="C1557">
        <f>C1556-0.1*B1557+0</f>
        <v/>
      </c>
      <c r="D1557">
        <f>D1556-0.1*B1557+0</f>
        <v/>
      </c>
      <c r="E1557">
        <f>Parameters!$B$25</f>
        <v/>
      </c>
    </row>
    <row r="1558">
      <c r="A1558" t="n">
        <v>155.6</v>
      </c>
      <c r="B1558">
        <f>IF(A1558&gt;162.1,Parameters!$B$5,Parameters!$B$4)</f>
        <v/>
      </c>
      <c r="C1558">
        <f>C1557-0.1*B1558+0</f>
        <v/>
      </c>
      <c r="D1558">
        <f>D1557-0.1*B1558+0</f>
        <v/>
      </c>
      <c r="E1558">
        <f>Parameters!$B$25</f>
        <v/>
      </c>
    </row>
    <row r="1559">
      <c r="A1559" t="n">
        <v>155.7</v>
      </c>
      <c r="B1559">
        <f>IF(A1559&gt;162.1,Parameters!$B$5,Parameters!$B$4)</f>
        <v/>
      </c>
      <c r="C1559">
        <f>C1558-0.1*B1559+0</f>
        <v/>
      </c>
      <c r="D1559">
        <f>D1558-0.1*B1559+0</f>
        <v/>
      </c>
      <c r="E1559">
        <f>Parameters!$B$25</f>
        <v/>
      </c>
    </row>
    <row r="1560">
      <c r="A1560" t="n">
        <v>155.8</v>
      </c>
      <c r="B1560">
        <f>IF(A1560&gt;162.1,Parameters!$B$5,Parameters!$B$4)</f>
        <v/>
      </c>
      <c r="C1560">
        <f>C1559-0.1*B1560+0</f>
        <v/>
      </c>
      <c r="D1560">
        <f>D1559-0.1*B1560+0</f>
        <v/>
      </c>
      <c r="E1560">
        <f>Parameters!$B$25</f>
        <v/>
      </c>
    </row>
    <row r="1561">
      <c r="A1561" t="n">
        <v>155.9</v>
      </c>
      <c r="B1561">
        <f>IF(A1561&gt;162.1,Parameters!$B$5,Parameters!$B$4)</f>
        <v/>
      </c>
      <c r="C1561">
        <f>C1560-0.1*B1561+0</f>
        <v/>
      </c>
      <c r="D1561">
        <f>D1560-0.1*B1561+0</f>
        <v/>
      </c>
      <c r="E1561">
        <f>Parameters!$B$25</f>
        <v/>
      </c>
    </row>
    <row r="1562">
      <c r="A1562" t="n">
        <v>156</v>
      </c>
      <c r="B1562">
        <f>IF(A1562&gt;162.1,Parameters!$B$5,Parameters!$B$4)</f>
        <v/>
      </c>
      <c r="C1562">
        <f>C1561-0.1*B1562+0</f>
        <v/>
      </c>
      <c r="D1562">
        <f>D1561-0.1*B1562+0</f>
        <v/>
      </c>
      <c r="E1562">
        <f>Parameters!$B$25</f>
        <v/>
      </c>
    </row>
    <row r="1563">
      <c r="A1563" t="n">
        <v>156.1</v>
      </c>
      <c r="B1563">
        <f>IF(A1563&gt;162.1,Parameters!$B$5,Parameters!$B$4)</f>
        <v/>
      </c>
      <c r="C1563">
        <f>C1562-0.1*B1563+0</f>
        <v/>
      </c>
      <c r="D1563">
        <f>D1562-0.1*B1563+0</f>
        <v/>
      </c>
      <c r="E1563">
        <f>Parameters!$B$25</f>
        <v/>
      </c>
    </row>
    <row r="1564">
      <c r="A1564" t="n">
        <v>156.2</v>
      </c>
      <c r="B1564">
        <f>IF(A1564&gt;162.1,Parameters!$B$5,Parameters!$B$4)</f>
        <v/>
      </c>
      <c r="C1564">
        <f>C1563-0.1*B1564+0</f>
        <v/>
      </c>
      <c r="D1564">
        <f>D1563-0.1*B1564+0</f>
        <v/>
      </c>
      <c r="E1564">
        <f>Parameters!$B$25</f>
        <v/>
      </c>
    </row>
    <row r="1565">
      <c r="A1565" t="n">
        <v>156.3</v>
      </c>
      <c r="B1565">
        <f>IF(A1565&gt;162.1,Parameters!$B$5,Parameters!$B$4)</f>
        <v/>
      </c>
      <c r="C1565">
        <f>C1564-0.1*B1565+0</f>
        <v/>
      </c>
      <c r="D1565">
        <f>D1564-0.1*B1565+0</f>
        <v/>
      </c>
      <c r="E1565">
        <f>Parameters!$B$25</f>
        <v/>
      </c>
    </row>
    <row r="1566">
      <c r="A1566" t="n">
        <v>156.4</v>
      </c>
      <c r="B1566">
        <f>IF(A1566&gt;162.1,Parameters!$B$5,Parameters!$B$4)</f>
        <v/>
      </c>
      <c r="C1566">
        <f>C1565-0.1*B1566+0</f>
        <v/>
      </c>
      <c r="D1566">
        <f>D1565-0.1*B1566+0</f>
        <v/>
      </c>
      <c r="E1566">
        <f>Parameters!$B$25</f>
        <v/>
      </c>
    </row>
    <row r="1567">
      <c r="A1567" t="n">
        <v>156.5</v>
      </c>
      <c r="B1567">
        <f>IF(A1567&gt;162.1,Parameters!$B$5,Parameters!$B$4)</f>
        <v/>
      </c>
      <c r="C1567">
        <f>C1566-0.1*B1567+0</f>
        <v/>
      </c>
      <c r="D1567">
        <f>D1566-0.1*B1567+0</f>
        <v/>
      </c>
      <c r="E1567">
        <f>Parameters!$B$25</f>
        <v/>
      </c>
    </row>
    <row r="1568">
      <c r="A1568" t="n">
        <v>156.6</v>
      </c>
      <c r="B1568">
        <f>IF(A1568&gt;162.1,Parameters!$B$5,Parameters!$B$4)</f>
        <v/>
      </c>
      <c r="C1568">
        <f>C1567-0.1*B1568+0</f>
        <v/>
      </c>
      <c r="D1568">
        <f>D1567-0.1*B1568+0</f>
        <v/>
      </c>
      <c r="E1568">
        <f>Parameters!$B$25</f>
        <v/>
      </c>
    </row>
    <row r="1569">
      <c r="A1569" t="n">
        <v>156.7</v>
      </c>
      <c r="B1569">
        <f>IF(A1569&gt;162.1,Parameters!$B$5,Parameters!$B$4)</f>
        <v/>
      </c>
      <c r="C1569">
        <f>C1568-0.1*B1569+0</f>
        <v/>
      </c>
      <c r="D1569">
        <f>D1568-0.1*B1569+0</f>
        <v/>
      </c>
      <c r="E1569">
        <f>Parameters!$B$25</f>
        <v/>
      </c>
    </row>
    <row r="1570">
      <c r="A1570" t="n">
        <v>156.8</v>
      </c>
      <c r="B1570">
        <f>IF(A1570&gt;162.1,Parameters!$B$5,Parameters!$B$4)</f>
        <v/>
      </c>
      <c r="C1570">
        <f>C1569-0.1*B1570+0</f>
        <v/>
      </c>
      <c r="D1570">
        <f>D1569-0.1*B1570+0</f>
        <v/>
      </c>
      <c r="E1570">
        <f>Parameters!$B$25</f>
        <v/>
      </c>
    </row>
    <row r="1571">
      <c r="A1571" t="n">
        <v>156.9</v>
      </c>
      <c r="B1571">
        <f>IF(A1571&gt;162.1,Parameters!$B$5,Parameters!$B$4)</f>
        <v/>
      </c>
      <c r="C1571">
        <f>C1570-0.1*B1571+0</f>
        <v/>
      </c>
      <c r="D1571">
        <f>D1570-0.1*B1571+0</f>
        <v/>
      </c>
      <c r="E1571">
        <f>Parameters!$B$25</f>
        <v/>
      </c>
    </row>
    <row r="1572">
      <c r="A1572" t="n">
        <v>157</v>
      </c>
      <c r="B1572">
        <f>IF(A1572&gt;162.1,Parameters!$B$5,Parameters!$B$4)</f>
        <v/>
      </c>
      <c r="C1572">
        <f>C1571-0.1*B1572+0</f>
        <v/>
      </c>
      <c r="D1572">
        <f>D1571-0.1*B1572+0</f>
        <v/>
      </c>
      <c r="E1572">
        <f>Parameters!$B$25</f>
        <v/>
      </c>
    </row>
    <row r="1573">
      <c r="A1573" t="n">
        <v>157.1</v>
      </c>
      <c r="B1573">
        <f>IF(A1573&gt;162.1,Parameters!$B$5,Parameters!$B$4)</f>
        <v/>
      </c>
      <c r="C1573">
        <f>C1572-0.1*B1573+0</f>
        <v/>
      </c>
      <c r="D1573">
        <f>D1572-0.1*B1573+0</f>
        <v/>
      </c>
      <c r="E1573">
        <f>Parameters!$B$25</f>
        <v/>
      </c>
    </row>
    <row r="1574">
      <c r="A1574" t="n">
        <v>157.2</v>
      </c>
      <c r="B1574">
        <f>IF(A1574&gt;162.1,Parameters!$B$5,Parameters!$B$4)</f>
        <v/>
      </c>
      <c r="C1574">
        <f>C1573-0.1*B1574+0</f>
        <v/>
      </c>
      <c r="D1574">
        <f>D1573-0.1*B1574+0</f>
        <v/>
      </c>
      <c r="E1574">
        <f>Parameters!$B$25</f>
        <v/>
      </c>
    </row>
    <row r="1575">
      <c r="A1575" t="n">
        <v>157.3</v>
      </c>
      <c r="B1575">
        <f>IF(A1575&gt;162.1,Parameters!$B$5,Parameters!$B$4)</f>
        <v/>
      </c>
      <c r="C1575">
        <f>C1574-0.1*B1575+0</f>
        <v/>
      </c>
      <c r="D1575">
        <f>D1574-0.1*B1575+0</f>
        <v/>
      </c>
      <c r="E1575">
        <f>Parameters!$B$25</f>
        <v/>
      </c>
    </row>
    <row r="1576">
      <c r="A1576" t="n">
        <v>157.4</v>
      </c>
      <c r="B1576">
        <f>IF(A1576&gt;162.1,Parameters!$B$5,Parameters!$B$4)</f>
        <v/>
      </c>
      <c r="C1576">
        <f>C1575-0.1*B1576+0</f>
        <v/>
      </c>
      <c r="D1576">
        <f>D1575-0.1*B1576+0</f>
        <v/>
      </c>
      <c r="E1576">
        <f>Parameters!$B$25</f>
        <v/>
      </c>
    </row>
    <row r="1577">
      <c r="A1577" t="n">
        <v>157.5</v>
      </c>
      <c r="B1577">
        <f>IF(A1577&gt;162.1,Parameters!$B$5,Parameters!$B$4)</f>
        <v/>
      </c>
      <c r="C1577">
        <f>C1576-0.1*B1577+0</f>
        <v/>
      </c>
      <c r="D1577">
        <f>D1576-0.1*B1577+0</f>
        <v/>
      </c>
      <c r="E1577">
        <f>Parameters!$B$25</f>
        <v/>
      </c>
    </row>
    <row r="1578">
      <c r="A1578" t="n">
        <v>157.6</v>
      </c>
      <c r="B1578">
        <f>IF(A1578&gt;162.1,Parameters!$B$5,Parameters!$B$4)</f>
        <v/>
      </c>
      <c r="C1578">
        <f>C1577-0.1*B1578+0</f>
        <v/>
      </c>
      <c r="D1578">
        <f>D1577-0.1*B1578+0</f>
        <v/>
      </c>
      <c r="E1578">
        <f>Parameters!$B$25</f>
        <v/>
      </c>
    </row>
    <row r="1579">
      <c r="A1579" t="n">
        <v>157.7</v>
      </c>
      <c r="B1579">
        <f>IF(A1579&gt;162.1,Parameters!$B$5,Parameters!$B$4)</f>
        <v/>
      </c>
      <c r="C1579">
        <f>C1578-0.1*B1579+0</f>
        <v/>
      </c>
      <c r="D1579">
        <f>D1578-0.1*B1579+0</f>
        <v/>
      </c>
      <c r="E1579">
        <f>Parameters!$B$25</f>
        <v/>
      </c>
    </row>
    <row r="1580">
      <c r="A1580" t="n">
        <v>157.8</v>
      </c>
      <c r="B1580">
        <f>IF(A1580&gt;162.1,Parameters!$B$5,Parameters!$B$4)</f>
        <v/>
      </c>
      <c r="C1580">
        <f>C1579-0.1*B1580+0</f>
        <v/>
      </c>
      <c r="D1580">
        <f>D1579-0.1*B1580+0</f>
        <v/>
      </c>
      <c r="E1580">
        <f>Parameters!$B$25</f>
        <v/>
      </c>
    </row>
    <row r="1581">
      <c r="A1581" t="n">
        <v>157.9</v>
      </c>
      <c r="B1581">
        <f>IF(A1581&gt;162.1,Parameters!$B$5,Parameters!$B$4)</f>
        <v/>
      </c>
      <c r="C1581">
        <f>C1580-0.1*B1581+0</f>
        <v/>
      </c>
      <c r="D1581">
        <f>D1580-0.1*B1581+0</f>
        <v/>
      </c>
      <c r="E1581">
        <f>Parameters!$B$25</f>
        <v/>
      </c>
    </row>
    <row r="1582">
      <c r="A1582" t="n">
        <v>158</v>
      </c>
      <c r="B1582">
        <f>IF(A1582&gt;162.1,Parameters!$B$5,Parameters!$B$4)</f>
        <v/>
      </c>
      <c r="C1582">
        <f>C1581-0.1*B1582+0</f>
        <v/>
      </c>
      <c r="D1582">
        <f>D1581-0.1*B1582+0</f>
        <v/>
      </c>
      <c r="E1582">
        <f>Parameters!$B$25</f>
        <v/>
      </c>
    </row>
    <row r="1583">
      <c r="A1583" t="n">
        <v>158.1</v>
      </c>
      <c r="B1583">
        <f>IF(A1583&gt;162.1,Parameters!$B$5,Parameters!$B$4)</f>
        <v/>
      </c>
      <c r="C1583">
        <f>C1582-0.1*B1583+0</f>
        <v/>
      </c>
      <c r="D1583">
        <f>D1582-0.1*B1583+0</f>
        <v/>
      </c>
      <c r="E1583">
        <f>Parameters!$B$25</f>
        <v/>
      </c>
    </row>
    <row r="1584">
      <c r="A1584" t="n">
        <v>158.2</v>
      </c>
      <c r="B1584">
        <f>IF(A1584&gt;162.1,Parameters!$B$5,Parameters!$B$4)</f>
        <v/>
      </c>
      <c r="C1584">
        <f>C1583-0.1*B1584+0</f>
        <v/>
      </c>
      <c r="D1584">
        <f>D1583-0.1*B1584+0</f>
        <v/>
      </c>
      <c r="E1584">
        <f>Parameters!$B$25</f>
        <v/>
      </c>
    </row>
    <row r="1585">
      <c r="A1585" t="n">
        <v>158.3</v>
      </c>
      <c r="B1585">
        <f>IF(A1585&gt;162.1,Parameters!$B$5,Parameters!$B$4)</f>
        <v/>
      </c>
      <c r="C1585">
        <f>C1584-0.1*B1585+0</f>
        <v/>
      </c>
      <c r="D1585">
        <f>D1584-0.1*B1585+0</f>
        <v/>
      </c>
      <c r="E1585">
        <f>Parameters!$B$25</f>
        <v/>
      </c>
    </row>
    <row r="1586">
      <c r="A1586" t="n">
        <v>158.4</v>
      </c>
      <c r="B1586">
        <f>IF(A1586&gt;162.1,Parameters!$B$5,Parameters!$B$4)</f>
        <v/>
      </c>
      <c r="C1586">
        <f>C1585-0.1*B1586+0</f>
        <v/>
      </c>
      <c r="D1586">
        <f>D1585-0.1*B1586+0</f>
        <v/>
      </c>
      <c r="E1586">
        <f>Parameters!$B$25</f>
        <v/>
      </c>
    </row>
    <row r="1587">
      <c r="A1587" t="n">
        <v>158.5</v>
      </c>
      <c r="B1587">
        <f>IF(A1587&gt;162.1,Parameters!$B$5,Parameters!$B$4)</f>
        <v/>
      </c>
      <c r="C1587">
        <f>C1586-0.1*B1587+0</f>
        <v/>
      </c>
      <c r="D1587">
        <f>D1586-0.1*B1587+0</f>
        <v/>
      </c>
      <c r="E1587">
        <f>Parameters!$B$25</f>
        <v/>
      </c>
    </row>
    <row r="1588">
      <c r="A1588" t="n">
        <v>158.6</v>
      </c>
      <c r="B1588">
        <f>IF(A1588&gt;162.1,Parameters!$B$5,Parameters!$B$4)</f>
        <v/>
      </c>
      <c r="C1588">
        <f>C1587-0.1*B1588+0</f>
        <v/>
      </c>
      <c r="D1588">
        <f>D1587-0.1*B1588+0</f>
        <v/>
      </c>
      <c r="E1588">
        <f>Parameters!$B$25</f>
        <v/>
      </c>
    </row>
    <row r="1589">
      <c r="A1589" t="n">
        <v>158.7</v>
      </c>
      <c r="B1589">
        <f>IF(A1589&gt;162.1,Parameters!$B$5,Parameters!$B$4)</f>
        <v/>
      </c>
      <c r="C1589">
        <f>C1588-0.1*B1589+0</f>
        <v/>
      </c>
      <c r="D1589">
        <f>D1588-0.1*B1589+0</f>
        <v/>
      </c>
      <c r="E1589">
        <f>Parameters!$B$25</f>
        <v/>
      </c>
    </row>
    <row r="1590">
      <c r="A1590" t="n">
        <v>158.8</v>
      </c>
      <c r="B1590">
        <f>IF(A1590&gt;162.1,Parameters!$B$5,Parameters!$B$4)</f>
        <v/>
      </c>
      <c r="C1590">
        <f>C1589-0.1*B1590+0</f>
        <v/>
      </c>
      <c r="D1590">
        <f>D1589-0.1*B1590+0</f>
        <v/>
      </c>
      <c r="E1590">
        <f>Parameters!$B$25</f>
        <v/>
      </c>
    </row>
    <row r="1591">
      <c r="A1591" t="n">
        <v>158.9</v>
      </c>
      <c r="B1591">
        <f>IF(A1591&gt;162.1,Parameters!$B$5,Parameters!$B$4)</f>
        <v/>
      </c>
      <c r="C1591">
        <f>C1590-0.1*B1591+0</f>
        <v/>
      </c>
      <c r="D1591">
        <f>D1590-0.1*B1591+0</f>
        <v/>
      </c>
      <c r="E1591">
        <f>Parameters!$B$25</f>
        <v/>
      </c>
    </row>
    <row r="1592">
      <c r="A1592" t="n">
        <v>159</v>
      </c>
      <c r="B1592">
        <f>IF(A1592&gt;162.1,Parameters!$B$5,Parameters!$B$4)</f>
        <v/>
      </c>
      <c r="C1592">
        <f>C1591-0.1*B1592+0</f>
        <v/>
      </c>
      <c r="D1592">
        <f>D1591-0.1*B1592+0</f>
        <v/>
      </c>
      <c r="E1592">
        <f>Parameters!$B$25</f>
        <v/>
      </c>
    </row>
    <row r="1593">
      <c r="A1593" t="n">
        <v>159.1</v>
      </c>
      <c r="B1593">
        <f>IF(A1593&gt;162.1,Parameters!$B$5,Parameters!$B$4)</f>
        <v/>
      </c>
      <c r="C1593">
        <f>C1592-0.1*B1593+0</f>
        <v/>
      </c>
      <c r="D1593">
        <f>D1592-0.1*B1593+0</f>
        <v/>
      </c>
      <c r="E1593">
        <f>Parameters!$B$25</f>
        <v/>
      </c>
    </row>
    <row r="1594">
      <c r="A1594" t="n">
        <v>159.2</v>
      </c>
      <c r="B1594">
        <f>IF(A1594&gt;162.1,Parameters!$B$5,Parameters!$B$4)</f>
        <v/>
      </c>
      <c r="C1594">
        <f>C1593-0.1*B1594+0</f>
        <v/>
      </c>
      <c r="D1594">
        <f>D1593-0.1*B1594+0</f>
        <v/>
      </c>
      <c r="E1594">
        <f>Parameters!$B$25</f>
        <v/>
      </c>
    </row>
    <row r="1595">
      <c r="A1595" t="n">
        <v>159.3</v>
      </c>
      <c r="B1595">
        <f>IF(A1595&gt;162.1,Parameters!$B$5,Parameters!$B$4)</f>
        <v/>
      </c>
      <c r="C1595">
        <f>C1594-0.1*B1595+0</f>
        <v/>
      </c>
      <c r="D1595">
        <f>D1594-0.1*B1595+0</f>
        <v/>
      </c>
      <c r="E1595">
        <f>Parameters!$B$25</f>
        <v/>
      </c>
    </row>
    <row r="1596">
      <c r="A1596" t="n">
        <v>159.4</v>
      </c>
      <c r="B1596">
        <f>IF(A1596&gt;162.1,Parameters!$B$5,Parameters!$B$4)</f>
        <v/>
      </c>
      <c r="C1596">
        <f>C1595-0.1*B1596+0</f>
        <v/>
      </c>
      <c r="D1596">
        <f>D1595-0.1*B1596+0</f>
        <v/>
      </c>
      <c r="E1596">
        <f>Parameters!$B$25</f>
        <v/>
      </c>
    </row>
    <row r="1597">
      <c r="A1597" t="n">
        <v>159.5</v>
      </c>
      <c r="B1597">
        <f>IF(A1597&gt;162.1,Parameters!$B$5,Parameters!$B$4)</f>
        <v/>
      </c>
      <c r="C1597">
        <f>C1596-0.1*B1597+0</f>
        <v/>
      </c>
      <c r="D1597">
        <f>D1596-0.1*B1597+0</f>
        <v/>
      </c>
      <c r="E1597">
        <f>Parameters!$B$25</f>
        <v/>
      </c>
    </row>
    <row r="1598">
      <c r="A1598" t="n">
        <v>159.6</v>
      </c>
      <c r="B1598">
        <f>IF(A1598&gt;162.1,Parameters!$B$5,Parameters!$B$4)</f>
        <v/>
      </c>
      <c r="C1598">
        <f>C1597-0.1*B1598+0</f>
        <v/>
      </c>
      <c r="D1598">
        <f>D1597-0.1*B1598+0</f>
        <v/>
      </c>
      <c r="E1598">
        <f>Parameters!$B$25</f>
        <v/>
      </c>
    </row>
    <row r="1599">
      <c r="A1599" t="n">
        <v>159.7</v>
      </c>
      <c r="B1599">
        <f>IF(A1599&gt;162.1,Parameters!$B$5,Parameters!$B$4)</f>
        <v/>
      </c>
      <c r="C1599">
        <f>C1598-0.1*B1599+0</f>
        <v/>
      </c>
      <c r="D1599">
        <f>D1598-0.1*B1599+0</f>
        <v/>
      </c>
      <c r="E1599">
        <f>Parameters!$B$25</f>
        <v/>
      </c>
    </row>
    <row r="1600">
      <c r="A1600" t="n">
        <v>159.8</v>
      </c>
      <c r="B1600">
        <f>IF(A1600&gt;162.1,Parameters!$B$5,Parameters!$B$4)</f>
        <v/>
      </c>
      <c r="C1600">
        <f>C1599-0.1*B1600+0</f>
        <v/>
      </c>
      <c r="D1600">
        <f>D1599-0.1*B1600+0</f>
        <v/>
      </c>
      <c r="E1600">
        <f>Parameters!$B$25</f>
        <v/>
      </c>
    </row>
    <row r="1601">
      <c r="A1601" t="n">
        <v>159.9</v>
      </c>
      <c r="B1601">
        <f>IF(A1601&gt;162.1,Parameters!$B$5,Parameters!$B$4)</f>
        <v/>
      </c>
      <c r="C1601">
        <f>C1600-0.1*B1601+0</f>
        <v/>
      </c>
      <c r="D1601">
        <f>D1600-0.1*B1601+0</f>
        <v/>
      </c>
      <c r="E1601">
        <f>Parameters!$B$25</f>
        <v/>
      </c>
    </row>
    <row r="1602">
      <c r="A1602" t="n">
        <v>160</v>
      </c>
      <c r="B1602">
        <f>IF(A1602&gt;162.1,Parameters!$B$5,Parameters!$B$4)</f>
        <v/>
      </c>
      <c r="C1602">
        <f>C1601-0.1*B1602+0</f>
        <v/>
      </c>
      <c r="D1602">
        <f>D1601-0.1*B1602+0</f>
        <v/>
      </c>
      <c r="E1602">
        <f>Parameters!$B$25</f>
        <v/>
      </c>
    </row>
    <row r="1603">
      <c r="A1603" t="n">
        <v>160.1</v>
      </c>
      <c r="B1603">
        <f>IF(A1603&gt;162.1,Parameters!$B$5,Parameters!$B$4)</f>
        <v/>
      </c>
      <c r="C1603">
        <f>C1602-0.1*B1603+0</f>
        <v/>
      </c>
      <c r="D1603">
        <f>D1602-0.1*B1603+0</f>
        <v/>
      </c>
      <c r="E1603">
        <f>Parameters!$B$25</f>
        <v/>
      </c>
    </row>
    <row r="1604">
      <c r="A1604" t="n">
        <v>160.2</v>
      </c>
      <c r="B1604">
        <f>IF(A1604&gt;162.1,Parameters!$B$5,Parameters!$B$4)</f>
        <v/>
      </c>
      <c r="C1604">
        <f>C1603-0.1*B1604+0</f>
        <v/>
      </c>
      <c r="D1604">
        <f>D1603-0.1*B1604+0</f>
        <v/>
      </c>
      <c r="E1604">
        <f>Parameters!$B$25</f>
        <v/>
      </c>
    </row>
    <row r="1605">
      <c r="A1605" t="n">
        <v>160.3</v>
      </c>
      <c r="B1605">
        <f>IF(A1605&gt;162.1,Parameters!$B$5,Parameters!$B$4)</f>
        <v/>
      </c>
      <c r="C1605">
        <f>C1604-0.1*B1605+0</f>
        <v/>
      </c>
      <c r="D1605">
        <f>D1604-0.1*B1605+0</f>
        <v/>
      </c>
      <c r="E1605">
        <f>Parameters!$B$25</f>
        <v/>
      </c>
    </row>
    <row r="1606">
      <c r="A1606" t="n">
        <v>160.4</v>
      </c>
      <c r="B1606">
        <f>IF(A1606&gt;162.1,Parameters!$B$5,Parameters!$B$4)</f>
        <v/>
      </c>
      <c r="C1606">
        <f>C1605-0.1*B1606+0</f>
        <v/>
      </c>
      <c r="D1606">
        <f>D1605-0.1*B1606+0</f>
        <v/>
      </c>
      <c r="E1606">
        <f>Parameters!$B$25</f>
        <v/>
      </c>
    </row>
    <row r="1607">
      <c r="A1607" t="n">
        <v>160.5</v>
      </c>
      <c r="B1607">
        <f>IF(A1607&gt;162.1,Parameters!$B$5,Parameters!$B$4)</f>
        <v/>
      </c>
      <c r="C1607">
        <f>C1606-0.1*B1607+0</f>
        <v/>
      </c>
      <c r="D1607">
        <f>D1606-0.1*B1607+0</f>
        <v/>
      </c>
      <c r="E1607">
        <f>Parameters!$B$25</f>
        <v/>
      </c>
    </row>
    <row r="1608">
      <c r="A1608" t="n">
        <v>160.6</v>
      </c>
      <c r="B1608">
        <f>IF(A1608&gt;162.1,Parameters!$B$5,Parameters!$B$4)</f>
        <v/>
      </c>
      <c r="C1608">
        <f>C1607-0.1*B1608+0</f>
        <v/>
      </c>
      <c r="D1608">
        <f>D1607-0.1*B1608+0</f>
        <v/>
      </c>
      <c r="E1608">
        <f>Parameters!$B$25</f>
        <v/>
      </c>
    </row>
    <row r="1609">
      <c r="A1609" t="n">
        <v>160.7</v>
      </c>
      <c r="B1609">
        <f>IF(A1609&gt;162.1,Parameters!$B$5,Parameters!$B$4)</f>
        <v/>
      </c>
      <c r="C1609">
        <f>C1608-0.1*B1609+0</f>
        <v/>
      </c>
      <c r="D1609">
        <f>D1608-0.1*B1609+0</f>
        <v/>
      </c>
      <c r="E1609">
        <f>Parameters!$B$25</f>
        <v/>
      </c>
    </row>
    <row r="1610">
      <c r="A1610" t="n">
        <v>160.8</v>
      </c>
      <c r="B1610">
        <f>IF(A1610&gt;162.1,Parameters!$B$5,Parameters!$B$4)</f>
        <v/>
      </c>
      <c r="C1610">
        <f>C1609-0.1*B1610+0</f>
        <v/>
      </c>
      <c r="D1610">
        <f>D1609-0.1*B1610+0</f>
        <v/>
      </c>
      <c r="E1610">
        <f>Parameters!$B$25</f>
        <v/>
      </c>
    </row>
    <row r="1611">
      <c r="A1611" t="n">
        <v>160.9</v>
      </c>
      <c r="B1611">
        <f>IF(A1611&gt;162.1,Parameters!$B$5,Parameters!$B$4)</f>
        <v/>
      </c>
      <c r="C1611">
        <f>C1610-0.1*B1611+0</f>
        <v/>
      </c>
      <c r="D1611">
        <f>D1610-0.1*B1611+0</f>
        <v/>
      </c>
      <c r="E1611">
        <f>Parameters!$B$25</f>
        <v/>
      </c>
    </row>
    <row r="1612">
      <c r="A1612" t="n">
        <v>161</v>
      </c>
      <c r="B1612">
        <f>IF(A1612&gt;162.1,Parameters!$B$5,Parameters!$B$4)</f>
        <v/>
      </c>
      <c r="C1612">
        <f>C1611-0.1*B1612+0</f>
        <v/>
      </c>
      <c r="D1612">
        <f>D1611-0.1*B1612+0</f>
        <v/>
      </c>
      <c r="E1612">
        <f>Parameters!$B$25</f>
        <v/>
      </c>
    </row>
    <row r="1613">
      <c r="A1613" t="n">
        <v>161.1</v>
      </c>
      <c r="B1613">
        <f>IF(A1613&gt;162.1,Parameters!$B$5,Parameters!$B$4)</f>
        <v/>
      </c>
      <c r="C1613">
        <f>C1612-0.1*B1613+0</f>
        <v/>
      </c>
      <c r="D1613">
        <f>D1612-0.1*B1613+0</f>
        <v/>
      </c>
      <c r="E1613">
        <f>Parameters!$B$25</f>
        <v/>
      </c>
    </row>
    <row r="1614">
      <c r="A1614" t="n">
        <v>161.2</v>
      </c>
      <c r="B1614">
        <f>IF(A1614&gt;162.1,Parameters!$B$5,Parameters!$B$4)</f>
        <v/>
      </c>
      <c r="C1614">
        <f>C1613-0.1*B1614+0</f>
        <v/>
      </c>
      <c r="D1614">
        <f>D1613-0.1*B1614+0</f>
        <v/>
      </c>
      <c r="E1614">
        <f>Parameters!$B$25</f>
        <v/>
      </c>
    </row>
    <row r="1615">
      <c r="A1615" t="n">
        <v>161.3</v>
      </c>
      <c r="B1615">
        <f>IF(A1615&gt;162.1,Parameters!$B$5,Parameters!$B$4)</f>
        <v/>
      </c>
      <c r="C1615">
        <f>C1614-0.1*B1615+0</f>
        <v/>
      </c>
      <c r="D1615">
        <f>D1614-0.1*B1615+0</f>
        <v/>
      </c>
      <c r="E1615">
        <f>Parameters!$B$25</f>
        <v/>
      </c>
    </row>
    <row r="1616">
      <c r="A1616" t="n">
        <v>161.4</v>
      </c>
      <c r="B1616">
        <f>IF(A1616&gt;162.1,Parameters!$B$5,Parameters!$B$4)</f>
        <v/>
      </c>
      <c r="C1616">
        <f>C1615-0.1*B1616+0</f>
        <v/>
      </c>
      <c r="D1616">
        <f>D1615-0.1*B1616+0</f>
        <v/>
      </c>
      <c r="E1616">
        <f>Parameters!$B$25</f>
        <v/>
      </c>
    </row>
    <row r="1617">
      <c r="A1617" t="n">
        <v>161.5</v>
      </c>
      <c r="B1617">
        <f>IF(A1617&gt;162.1,Parameters!$B$5,Parameters!$B$4)</f>
        <v/>
      </c>
      <c r="C1617">
        <f>C1616-0.1*B1617+0</f>
        <v/>
      </c>
      <c r="D1617">
        <f>D1616-0.1*B1617+0</f>
        <v/>
      </c>
      <c r="E1617">
        <f>Parameters!$B$25</f>
        <v/>
      </c>
    </row>
    <row r="1618">
      <c r="A1618" t="n">
        <v>161.6</v>
      </c>
      <c r="B1618">
        <f>IF(A1618&gt;162.1,Parameters!$B$5,Parameters!$B$4)</f>
        <v/>
      </c>
      <c r="C1618">
        <f>C1617-0.1*B1618+0</f>
        <v/>
      </c>
      <c r="D1618">
        <f>D1617-0.1*B1618+0</f>
        <v/>
      </c>
      <c r="E1618">
        <f>Parameters!$B$25</f>
        <v/>
      </c>
    </row>
    <row r="1619">
      <c r="A1619" t="n">
        <v>161.7</v>
      </c>
      <c r="B1619">
        <f>IF(A1619&gt;162.1,Parameters!$B$5,Parameters!$B$4)</f>
        <v/>
      </c>
      <c r="C1619">
        <f>C1618-0.1*B1619+0</f>
        <v/>
      </c>
      <c r="D1619">
        <f>D1618-0.1*B1619+0</f>
        <v/>
      </c>
      <c r="E1619">
        <f>Parameters!$B$25</f>
        <v/>
      </c>
    </row>
    <row r="1620">
      <c r="A1620" t="n">
        <v>161.8</v>
      </c>
      <c r="B1620">
        <f>IF(A1620&gt;162.1,Parameters!$B$5,Parameters!$B$4)</f>
        <v/>
      </c>
      <c r="C1620">
        <f>C1619-0.1*B1620+0</f>
        <v/>
      </c>
      <c r="D1620">
        <f>D1619-0.1*B1620+0</f>
        <v/>
      </c>
      <c r="E1620">
        <f>Parameters!$B$25</f>
        <v/>
      </c>
    </row>
    <row r="1621">
      <c r="A1621" t="n">
        <v>161.9</v>
      </c>
      <c r="B1621">
        <f>IF(A1621&gt;162.1,Parameters!$B$5,Parameters!$B$4)</f>
        <v/>
      </c>
      <c r="C1621">
        <f>C1620-0.1*B1621+0</f>
        <v/>
      </c>
      <c r="D1621">
        <f>D1620-0.1*B1621+0</f>
        <v/>
      </c>
      <c r="E1621">
        <f>Parameters!$B$25</f>
        <v/>
      </c>
    </row>
    <row r="1622">
      <c r="A1622" t="n">
        <v>162</v>
      </c>
      <c r="B1622">
        <f>IF(A1622&gt;162.1,Parameters!$B$5,Parameters!$B$4)</f>
        <v/>
      </c>
      <c r="C1622">
        <f>C1621-0.1*B1622+0</f>
        <v/>
      </c>
      <c r="D1622">
        <f>D1621-0.1*B1622+0</f>
        <v/>
      </c>
      <c r="E1622">
        <f>Parameters!$B$25</f>
        <v/>
      </c>
    </row>
    <row r="1623">
      <c r="A1623" t="n">
        <v>162.1</v>
      </c>
      <c r="B1623">
        <f>IF(A1623&gt;162.1,Parameters!$B$5,Parameters!$B$4)</f>
        <v/>
      </c>
      <c r="C1623">
        <f>C1622-0.1*B1623+'Dwell Plans'!$B$10</f>
        <v/>
      </c>
      <c r="D1623">
        <f>D1622-0.1*B1623+MIN(60/60*Parameters!$B$8,Parameters!$B$6-(D1622-0.1*B1623))</f>
        <v/>
      </c>
      <c r="E1623">
        <f>Parameters!$B$25</f>
        <v/>
      </c>
    </row>
    <row r="1624">
      <c r="A1624" t="n">
        <v>162.2</v>
      </c>
      <c r="B1624">
        <f>IF(A1624&gt;162.1,Parameters!$B$5,Parameters!$B$4)</f>
        <v/>
      </c>
      <c r="C1624">
        <f>C1623-0.1*B1624+0</f>
        <v/>
      </c>
      <c r="D1624">
        <f>D1623-0.1*B1624+0</f>
        <v/>
      </c>
      <c r="E1624">
        <f>Parameters!$B$25</f>
        <v/>
      </c>
    </row>
    <row r="1625">
      <c r="A1625" t="n">
        <v>162.3</v>
      </c>
      <c r="B1625">
        <f>IF(A1625&gt;162.1,Parameters!$B$5,Parameters!$B$4)</f>
        <v/>
      </c>
      <c r="C1625">
        <f>C1624-0.1*B1625+0</f>
        <v/>
      </c>
      <c r="D1625">
        <f>D1624-0.1*B1625+0</f>
        <v/>
      </c>
      <c r="E1625">
        <f>Parameters!$B$25</f>
        <v/>
      </c>
    </row>
    <row r="1626">
      <c r="A1626" t="n">
        <v>162.4</v>
      </c>
      <c r="B1626">
        <f>IF(A1626&gt;162.1,Parameters!$B$5,Parameters!$B$4)</f>
        <v/>
      </c>
      <c r="C1626">
        <f>C1625-0.1*B1626+0</f>
        <v/>
      </c>
      <c r="D1626">
        <f>D1625-0.1*B1626+0</f>
        <v/>
      </c>
      <c r="E1626">
        <f>Parameters!$B$25</f>
        <v/>
      </c>
    </row>
    <row r="1627">
      <c r="A1627" t="n">
        <v>162.5</v>
      </c>
      <c r="B1627">
        <f>IF(A1627&gt;162.1,Parameters!$B$5,Parameters!$B$4)</f>
        <v/>
      </c>
      <c r="C1627">
        <f>C1626-0.1*B1627+0</f>
        <v/>
      </c>
      <c r="D1627">
        <f>D1626-0.1*B1627+0</f>
        <v/>
      </c>
      <c r="E1627">
        <f>Parameters!$B$25</f>
        <v/>
      </c>
    </row>
    <row r="1628">
      <c r="A1628" t="n">
        <v>162.6</v>
      </c>
      <c r="B1628">
        <f>IF(A1628&gt;162.1,Parameters!$B$5,Parameters!$B$4)</f>
        <v/>
      </c>
      <c r="C1628">
        <f>C1627-0.1*B1628+0</f>
        <v/>
      </c>
      <c r="D1628">
        <f>D1627-0.1*B1628+0</f>
        <v/>
      </c>
      <c r="E1628">
        <f>Parameters!$B$25</f>
        <v/>
      </c>
    </row>
    <row r="1629">
      <c r="A1629" t="n">
        <v>162.7</v>
      </c>
      <c r="B1629">
        <f>IF(A1629&gt;162.1,Parameters!$B$5,Parameters!$B$4)</f>
        <v/>
      </c>
      <c r="C1629">
        <f>C1628-0.1*B1629+0</f>
        <v/>
      </c>
      <c r="D1629">
        <f>D1628-0.1*B1629+0</f>
        <v/>
      </c>
      <c r="E1629">
        <f>Parameters!$B$25</f>
        <v/>
      </c>
    </row>
    <row r="1630">
      <c r="A1630" t="n">
        <v>162.8</v>
      </c>
      <c r="B1630">
        <f>IF(A1630&gt;162.1,Parameters!$B$5,Parameters!$B$4)</f>
        <v/>
      </c>
      <c r="C1630">
        <f>C1629-0.1*B1630+0</f>
        <v/>
      </c>
      <c r="D1630">
        <f>D1629-0.1*B1630+0</f>
        <v/>
      </c>
      <c r="E1630">
        <f>Parameters!$B$25</f>
        <v/>
      </c>
    </row>
    <row r="1631">
      <c r="A1631" t="n">
        <v>162.9</v>
      </c>
      <c r="B1631">
        <f>IF(A1631&gt;162.1,Parameters!$B$5,Parameters!$B$4)</f>
        <v/>
      </c>
      <c r="C1631">
        <f>C1630-0.1*B1631+0</f>
        <v/>
      </c>
      <c r="D1631">
        <f>D1630-0.1*B1631+0</f>
        <v/>
      </c>
      <c r="E1631">
        <f>Parameters!$B$25</f>
        <v/>
      </c>
    </row>
    <row r="1632">
      <c r="A1632" t="n">
        <v>163</v>
      </c>
      <c r="B1632">
        <f>IF(A1632&gt;162.1,Parameters!$B$5,Parameters!$B$4)</f>
        <v/>
      </c>
      <c r="C1632">
        <f>C1631-0.1*B1632+0</f>
        <v/>
      </c>
      <c r="D1632">
        <f>D1631-0.1*B1632+0</f>
        <v/>
      </c>
      <c r="E1632">
        <f>Parameters!$B$25</f>
        <v/>
      </c>
    </row>
    <row r="1633">
      <c r="A1633" t="n">
        <v>163.1</v>
      </c>
      <c r="B1633">
        <f>IF(A1633&gt;162.1,Parameters!$B$5,Parameters!$B$4)</f>
        <v/>
      </c>
      <c r="C1633">
        <f>C1632-0.1*B1633+0</f>
        <v/>
      </c>
      <c r="D1633">
        <f>D1632-0.1*B1633+0</f>
        <v/>
      </c>
      <c r="E1633">
        <f>Parameters!$B$25</f>
        <v/>
      </c>
    </row>
    <row r="1634">
      <c r="A1634" t="n">
        <v>163.2</v>
      </c>
      <c r="B1634">
        <f>IF(A1634&gt;162.1,Parameters!$B$5,Parameters!$B$4)</f>
        <v/>
      </c>
      <c r="C1634">
        <f>C1633-0.1*B1634+0</f>
        <v/>
      </c>
      <c r="D1634">
        <f>D1633-0.1*B1634+0</f>
        <v/>
      </c>
      <c r="E1634">
        <f>Parameters!$B$25</f>
        <v/>
      </c>
    </row>
    <row r="1635">
      <c r="A1635" t="n">
        <v>163.3</v>
      </c>
      <c r="B1635">
        <f>IF(A1635&gt;162.1,Parameters!$B$5,Parameters!$B$4)</f>
        <v/>
      </c>
      <c r="C1635">
        <f>C1634-0.1*B1635+0</f>
        <v/>
      </c>
      <c r="D1635">
        <f>D1634-0.1*B1635+0</f>
        <v/>
      </c>
      <c r="E1635">
        <f>Parameters!$B$25</f>
        <v/>
      </c>
    </row>
    <row r="1636">
      <c r="A1636" t="n">
        <v>163.4</v>
      </c>
      <c r="B1636">
        <f>IF(A1636&gt;162.1,Parameters!$B$5,Parameters!$B$4)</f>
        <v/>
      </c>
      <c r="C1636">
        <f>C1635-0.1*B1636+0</f>
        <v/>
      </c>
      <c r="D1636">
        <f>D1635-0.1*B1636+0</f>
        <v/>
      </c>
      <c r="E1636">
        <f>Parameters!$B$25</f>
        <v/>
      </c>
    </row>
    <row r="1637">
      <c r="A1637" t="n">
        <v>163.5</v>
      </c>
      <c r="B1637">
        <f>IF(A1637&gt;162.1,Parameters!$B$5,Parameters!$B$4)</f>
        <v/>
      </c>
      <c r="C1637">
        <f>C1636-0.1*B1637+0</f>
        <v/>
      </c>
      <c r="D1637">
        <f>D1636-0.1*B1637+0</f>
        <v/>
      </c>
      <c r="E1637">
        <f>Parameters!$B$25</f>
        <v/>
      </c>
    </row>
    <row r="1638">
      <c r="A1638" t="n">
        <v>163.6</v>
      </c>
      <c r="B1638">
        <f>IF(A1638&gt;162.1,Parameters!$B$5,Parameters!$B$4)</f>
        <v/>
      </c>
      <c r="C1638">
        <f>C1637-0.1*B1638+0</f>
        <v/>
      </c>
      <c r="D1638">
        <f>D1637-0.1*B1638+0</f>
        <v/>
      </c>
      <c r="E1638">
        <f>Parameters!$B$25</f>
        <v/>
      </c>
    </row>
    <row r="1639">
      <c r="A1639" t="n">
        <v>163.7</v>
      </c>
      <c r="B1639">
        <f>IF(A1639&gt;162.1,Parameters!$B$5,Parameters!$B$4)</f>
        <v/>
      </c>
      <c r="C1639">
        <f>C1638-0.1*B1639+0</f>
        <v/>
      </c>
      <c r="D1639">
        <f>D1638-0.1*B1639+0</f>
        <v/>
      </c>
      <c r="E1639">
        <f>Parameters!$B$25</f>
        <v/>
      </c>
    </row>
    <row r="1640">
      <c r="A1640" t="n">
        <v>163.8</v>
      </c>
      <c r="B1640">
        <f>IF(A1640&gt;162.1,Parameters!$B$5,Parameters!$B$4)</f>
        <v/>
      </c>
      <c r="C1640">
        <f>C1639-0.1*B1640+0</f>
        <v/>
      </c>
      <c r="D1640">
        <f>D1639-0.1*B1640+0</f>
        <v/>
      </c>
      <c r="E1640">
        <f>Parameters!$B$25</f>
        <v/>
      </c>
    </row>
    <row r="1641">
      <c r="A1641" t="n">
        <v>163.9</v>
      </c>
      <c r="B1641">
        <f>IF(A1641&gt;162.1,Parameters!$B$5,Parameters!$B$4)</f>
        <v/>
      </c>
      <c r="C1641">
        <f>C1640-0.1*B1641+0</f>
        <v/>
      </c>
      <c r="D1641">
        <f>D1640-0.1*B1641+0</f>
        <v/>
      </c>
      <c r="E1641">
        <f>Parameters!$B$25</f>
        <v/>
      </c>
    </row>
    <row r="1642">
      <c r="A1642" t="n">
        <v>164</v>
      </c>
      <c r="B1642">
        <f>IF(A1642&gt;162.1,Parameters!$B$5,Parameters!$B$4)</f>
        <v/>
      </c>
      <c r="C1642">
        <f>C1641-0.1*B1642+0</f>
        <v/>
      </c>
      <c r="D1642">
        <f>D1641-0.1*B1642+0</f>
        <v/>
      </c>
      <c r="E1642">
        <f>Parameters!$B$25</f>
        <v/>
      </c>
    </row>
    <row r="1643">
      <c r="A1643" t="n">
        <v>164.1</v>
      </c>
      <c r="B1643">
        <f>IF(A1643&gt;162.1,Parameters!$B$5,Parameters!$B$4)</f>
        <v/>
      </c>
      <c r="C1643">
        <f>C1642-0.1*B1643+0</f>
        <v/>
      </c>
      <c r="D1643">
        <f>D1642-0.1*B1643+0</f>
        <v/>
      </c>
      <c r="E1643">
        <f>Parameters!$B$25</f>
        <v/>
      </c>
    </row>
    <row r="1644">
      <c r="A1644" t="n">
        <v>164.2</v>
      </c>
      <c r="B1644">
        <f>IF(A1644&gt;162.1,Parameters!$B$5,Parameters!$B$4)</f>
        <v/>
      </c>
      <c r="C1644">
        <f>C1643-0.1*B1644+0</f>
        <v/>
      </c>
      <c r="D1644">
        <f>D1643-0.1*B1644+0</f>
        <v/>
      </c>
      <c r="E1644">
        <f>Parameters!$B$25</f>
        <v/>
      </c>
    </row>
    <row r="1645">
      <c r="A1645" t="n">
        <v>164.3</v>
      </c>
      <c r="B1645">
        <f>IF(A1645&gt;162.1,Parameters!$B$5,Parameters!$B$4)</f>
        <v/>
      </c>
      <c r="C1645">
        <f>C1644-0.1*B1645+0</f>
        <v/>
      </c>
      <c r="D1645">
        <f>D1644-0.1*B1645+0</f>
        <v/>
      </c>
      <c r="E1645">
        <f>Parameters!$B$25</f>
        <v/>
      </c>
    </row>
    <row r="1646">
      <c r="A1646" t="n">
        <v>164.4</v>
      </c>
      <c r="B1646">
        <f>IF(A1646&gt;162.1,Parameters!$B$5,Parameters!$B$4)</f>
        <v/>
      </c>
      <c r="C1646">
        <f>C1645-0.1*B1646+0</f>
        <v/>
      </c>
      <c r="D1646">
        <f>D1645-0.1*B1646+0</f>
        <v/>
      </c>
      <c r="E1646">
        <f>Parameters!$B$25</f>
        <v/>
      </c>
    </row>
    <row r="1647">
      <c r="A1647" t="n">
        <v>164.5</v>
      </c>
      <c r="B1647">
        <f>IF(A1647&gt;162.1,Parameters!$B$5,Parameters!$B$4)</f>
        <v/>
      </c>
      <c r="C1647">
        <f>C1646-0.1*B1647+0</f>
        <v/>
      </c>
      <c r="D1647">
        <f>D1646-0.1*B1647+0</f>
        <v/>
      </c>
      <c r="E1647">
        <f>Parameters!$B$25</f>
        <v/>
      </c>
    </row>
    <row r="1648">
      <c r="A1648" t="n">
        <v>164.6</v>
      </c>
      <c r="B1648">
        <f>IF(A1648&gt;162.1,Parameters!$B$5,Parameters!$B$4)</f>
        <v/>
      </c>
      <c r="C1648">
        <f>C1647-0.1*B1648+0</f>
        <v/>
      </c>
      <c r="D1648">
        <f>D1647-0.1*B1648+0</f>
        <v/>
      </c>
      <c r="E1648">
        <f>Parameters!$B$25</f>
        <v/>
      </c>
    </row>
    <row r="1649">
      <c r="A1649" t="n">
        <v>164.7</v>
      </c>
      <c r="B1649">
        <f>IF(A1649&gt;162.1,Parameters!$B$5,Parameters!$B$4)</f>
        <v/>
      </c>
      <c r="C1649">
        <f>C1648-0.1*B1649+0</f>
        <v/>
      </c>
      <c r="D1649">
        <f>D1648-0.1*B1649+0</f>
        <v/>
      </c>
      <c r="E1649">
        <f>Parameters!$B$25</f>
        <v/>
      </c>
    </row>
    <row r="1650">
      <c r="A1650" t="n">
        <v>164.8</v>
      </c>
      <c r="B1650">
        <f>IF(A1650&gt;162.1,Parameters!$B$5,Parameters!$B$4)</f>
        <v/>
      </c>
      <c r="C1650">
        <f>C1649-0.1*B1650+0</f>
        <v/>
      </c>
      <c r="D1650">
        <f>D1649-0.1*B1650+0</f>
        <v/>
      </c>
      <c r="E1650">
        <f>Parameters!$B$25</f>
        <v/>
      </c>
    </row>
    <row r="1651">
      <c r="A1651" t="n">
        <v>164.9</v>
      </c>
      <c r="B1651">
        <f>IF(A1651&gt;162.1,Parameters!$B$5,Parameters!$B$4)</f>
        <v/>
      </c>
      <c r="C1651">
        <f>C1650-0.1*B1651+0</f>
        <v/>
      </c>
      <c r="D1651">
        <f>D1650-0.1*B1651+0</f>
        <v/>
      </c>
      <c r="E1651">
        <f>Parameters!$B$25</f>
        <v/>
      </c>
    </row>
    <row r="1652">
      <c r="A1652" t="n">
        <v>165</v>
      </c>
      <c r="B1652">
        <f>IF(A1652&gt;162.1,Parameters!$B$5,Parameters!$B$4)</f>
        <v/>
      </c>
      <c r="C1652">
        <f>C1651-0.1*B1652+0</f>
        <v/>
      </c>
      <c r="D1652">
        <f>D1651-0.1*B1652+0</f>
        <v/>
      </c>
      <c r="E1652">
        <f>Parameters!$B$25</f>
        <v/>
      </c>
    </row>
    <row r="1653">
      <c r="A1653" t="n">
        <v>165.1</v>
      </c>
      <c r="B1653">
        <f>IF(A1653&gt;162.1,Parameters!$B$5,Parameters!$B$4)</f>
        <v/>
      </c>
      <c r="C1653">
        <f>C1652-0.1*B1653+0</f>
        <v/>
      </c>
      <c r="D1653">
        <f>D1652-0.1*B1653+0</f>
        <v/>
      </c>
      <c r="E1653">
        <f>Parameters!$B$25</f>
        <v/>
      </c>
    </row>
    <row r="1654">
      <c r="A1654" t="n">
        <v>165.2</v>
      </c>
      <c r="B1654">
        <f>IF(A1654&gt;162.1,Parameters!$B$5,Parameters!$B$4)</f>
        <v/>
      </c>
      <c r="C1654">
        <f>C1653-0.1*B1654+0</f>
        <v/>
      </c>
      <c r="D1654">
        <f>D1653-0.1*B1654+0</f>
        <v/>
      </c>
      <c r="E1654">
        <f>Parameters!$B$25</f>
        <v/>
      </c>
    </row>
    <row r="1655">
      <c r="A1655" t="n">
        <v>165.3</v>
      </c>
      <c r="B1655">
        <f>IF(A1655&gt;162.1,Parameters!$B$5,Parameters!$B$4)</f>
        <v/>
      </c>
      <c r="C1655">
        <f>C1654-0.1*B1655+0</f>
        <v/>
      </c>
      <c r="D1655">
        <f>D1654-0.1*B1655+0</f>
        <v/>
      </c>
      <c r="E1655">
        <f>Parameters!$B$25</f>
        <v/>
      </c>
    </row>
    <row r="1656">
      <c r="A1656" t="n">
        <v>165.4</v>
      </c>
      <c r="B1656">
        <f>IF(A1656&gt;162.1,Parameters!$B$5,Parameters!$B$4)</f>
        <v/>
      </c>
      <c r="C1656">
        <f>C1655-0.1*B1656+0</f>
        <v/>
      </c>
      <c r="D1656">
        <f>D1655-0.1*B1656+0</f>
        <v/>
      </c>
      <c r="E1656">
        <f>Parameters!$B$25</f>
        <v/>
      </c>
    </row>
    <row r="1657">
      <c r="A1657" t="n">
        <v>165.5</v>
      </c>
      <c r="B1657">
        <f>IF(A1657&gt;162.1,Parameters!$B$5,Parameters!$B$4)</f>
        <v/>
      </c>
      <c r="C1657">
        <f>C1656-0.1*B1657+0</f>
        <v/>
      </c>
      <c r="D1657">
        <f>D1656-0.1*B1657+0</f>
        <v/>
      </c>
      <c r="E1657">
        <f>Parameters!$B$25</f>
        <v/>
      </c>
    </row>
    <row r="1658">
      <c r="A1658" t="n">
        <v>165.6</v>
      </c>
      <c r="B1658">
        <f>IF(A1658&gt;162.1,Parameters!$B$5,Parameters!$B$4)</f>
        <v/>
      </c>
      <c r="C1658">
        <f>C1657-0.1*B1658+0</f>
        <v/>
      </c>
      <c r="D1658">
        <f>D1657-0.1*B1658+0</f>
        <v/>
      </c>
      <c r="E1658">
        <f>Parameters!$B$25</f>
        <v/>
      </c>
    </row>
    <row r="1659">
      <c r="A1659" t="n">
        <v>165.7</v>
      </c>
      <c r="B1659">
        <f>IF(A1659&gt;162.1,Parameters!$B$5,Parameters!$B$4)</f>
        <v/>
      </c>
      <c r="C1659">
        <f>C1658-0.1*B1659+0</f>
        <v/>
      </c>
      <c r="D1659">
        <f>D1658-0.1*B1659+0</f>
        <v/>
      </c>
      <c r="E1659">
        <f>Parameters!$B$25</f>
        <v/>
      </c>
    </row>
    <row r="1660">
      <c r="A1660" t="n">
        <v>165.8</v>
      </c>
      <c r="B1660">
        <f>IF(A1660&gt;162.1,Parameters!$B$5,Parameters!$B$4)</f>
        <v/>
      </c>
      <c r="C1660">
        <f>C1659-0.1*B1660+0</f>
        <v/>
      </c>
      <c r="D1660">
        <f>D1659-0.1*B1660+0</f>
        <v/>
      </c>
      <c r="E1660">
        <f>Parameters!$B$25</f>
        <v/>
      </c>
    </row>
    <row r="1661">
      <c r="A1661" t="n">
        <v>165.9</v>
      </c>
      <c r="B1661">
        <f>IF(A1661&gt;162.1,Parameters!$B$5,Parameters!$B$4)</f>
        <v/>
      </c>
      <c r="C1661">
        <f>C1660-0.1*B1661+0</f>
        <v/>
      </c>
      <c r="D1661">
        <f>D1660-0.1*B1661+0</f>
        <v/>
      </c>
      <c r="E1661">
        <f>Parameters!$B$25</f>
        <v/>
      </c>
    </row>
    <row r="1662">
      <c r="A1662" t="n">
        <v>166</v>
      </c>
      <c r="B1662">
        <f>IF(A1662&gt;162.1,Parameters!$B$5,Parameters!$B$4)</f>
        <v/>
      </c>
      <c r="C1662">
        <f>C1661-0.1*B1662+0</f>
        <v/>
      </c>
      <c r="D1662">
        <f>D1661-0.1*B1662+0</f>
        <v/>
      </c>
      <c r="E1662">
        <f>Parameters!$B$25</f>
        <v/>
      </c>
    </row>
    <row r="1663">
      <c r="A1663" t="n">
        <v>166.1</v>
      </c>
      <c r="B1663">
        <f>IF(A1663&gt;162.1,Parameters!$B$5,Parameters!$B$4)</f>
        <v/>
      </c>
      <c r="C1663">
        <f>C1662-0.1*B1663+0</f>
        <v/>
      </c>
      <c r="D1663">
        <f>D1662-0.1*B1663+0</f>
        <v/>
      </c>
      <c r="E1663">
        <f>Parameters!$B$25</f>
        <v/>
      </c>
    </row>
    <row r="1664">
      <c r="A1664" t="n">
        <v>166.2</v>
      </c>
      <c r="B1664">
        <f>IF(A1664&gt;162.1,Parameters!$B$5,Parameters!$B$4)</f>
        <v/>
      </c>
      <c r="C1664">
        <f>C1663-0.1*B1664+0</f>
        <v/>
      </c>
      <c r="D1664">
        <f>D1663-0.1*B1664+0</f>
        <v/>
      </c>
      <c r="E1664">
        <f>Parameters!$B$25</f>
        <v/>
      </c>
    </row>
    <row r="1665">
      <c r="A1665" t="n">
        <v>166.3</v>
      </c>
      <c r="B1665">
        <f>IF(A1665&gt;162.1,Parameters!$B$5,Parameters!$B$4)</f>
        <v/>
      </c>
      <c r="C1665">
        <f>C1664-0.1*B1665+0</f>
        <v/>
      </c>
      <c r="D1665">
        <f>D1664-0.1*B1665+0</f>
        <v/>
      </c>
      <c r="E1665">
        <f>Parameters!$B$25</f>
        <v/>
      </c>
    </row>
    <row r="1666">
      <c r="A1666" t="n">
        <v>166.4</v>
      </c>
      <c r="B1666">
        <f>IF(A1666&gt;162.1,Parameters!$B$5,Parameters!$B$4)</f>
        <v/>
      </c>
      <c r="C1666">
        <f>C1665-0.1*B1666+0</f>
        <v/>
      </c>
      <c r="D1666">
        <f>D1665-0.1*B1666+0</f>
        <v/>
      </c>
      <c r="E1666">
        <f>Parameters!$B$25</f>
        <v/>
      </c>
    </row>
    <row r="1667">
      <c r="A1667" t="n">
        <v>166.5</v>
      </c>
      <c r="B1667">
        <f>IF(A1667&gt;162.1,Parameters!$B$5,Parameters!$B$4)</f>
        <v/>
      </c>
      <c r="C1667">
        <f>C1666-0.1*B1667+0</f>
        <v/>
      </c>
      <c r="D1667">
        <f>D1666-0.1*B1667+0</f>
        <v/>
      </c>
      <c r="E1667">
        <f>Parameters!$B$25</f>
        <v/>
      </c>
    </row>
    <row r="1668">
      <c r="A1668" t="n">
        <v>166.6</v>
      </c>
      <c r="B1668">
        <f>IF(A1668&gt;162.1,Parameters!$B$5,Parameters!$B$4)</f>
        <v/>
      </c>
      <c r="C1668">
        <f>C1667-0.1*B1668+0</f>
        <v/>
      </c>
      <c r="D1668">
        <f>D1667-0.1*B1668+0</f>
        <v/>
      </c>
      <c r="E1668">
        <f>Parameters!$B$25</f>
        <v/>
      </c>
    </row>
    <row r="1669">
      <c r="A1669" t="n">
        <v>166.7</v>
      </c>
      <c r="B1669">
        <f>IF(A1669&gt;162.1,Parameters!$B$5,Parameters!$B$4)</f>
        <v/>
      </c>
      <c r="C1669">
        <f>C1668-0.1*B1669+0</f>
        <v/>
      </c>
      <c r="D1669">
        <f>D1668-0.1*B1669+0</f>
        <v/>
      </c>
      <c r="E1669">
        <f>Parameters!$B$25</f>
        <v/>
      </c>
    </row>
    <row r="1670">
      <c r="A1670" t="n">
        <v>166.8</v>
      </c>
      <c r="B1670">
        <f>IF(A1670&gt;162.1,Parameters!$B$5,Parameters!$B$4)</f>
        <v/>
      </c>
      <c r="C1670">
        <f>C1669-0.1*B1670+0</f>
        <v/>
      </c>
      <c r="D1670">
        <f>D1669-0.1*B1670+0</f>
        <v/>
      </c>
      <c r="E1670">
        <f>Parameters!$B$25</f>
        <v/>
      </c>
    </row>
    <row r="1671">
      <c r="A1671" t="n">
        <v>166.9</v>
      </c>
      <c r="B1671">
        <f>IF(A1671&gt;162.1,Parameters!$B$5,Parameters!$B$4)</f>
        <v/>
      </c>
      <c r="C1671">
        <f>C1670-0.1*B1671+0</f>
        <v/>
      </c>
      <c r="D1671">
        <f>D1670-0.1*B1671+0</f>
        <v/>
      </c>
      <c r="E1671">
        <f>Parameters!$B$25</f>
        <v/>
      </c>
    </row>
    <row r="1672">
      <c r="A1672" t="n">
        <v>167</v>
      </c>
      <c r="B1672">
        <f>IF(A1672&gt;162.1,Parameters!$B$5,Parameters!$B$4)</f>
        <v/>
      </c>
      <c r="C1672">
        <f>C1671-0.1*B1672+0</f>
        <v/>
      </c>
      <c r="D1672">
        <f>D1671-0.1*B1672+0</f>
        <v/>
      </c>
      <c r="E1672">
        <f>Parameters!$B$25</f>
        <v/>
      </c>
    </row>
    <row r="1673">
      <c r="A1673" t="n">
        <v>167.1</v>
      </c>
      <c r="B1673">
        <f>IF(A1673&gt;162.1,Parameters!$B$5,Parameters!$B$4)</f>
        <v/>
      </c>
      <c r="C1673">
        <f>C1672-0.1*B1673+0</f>
        <v/>
      </c>
      <c r="D1673">
        <f>D1672-0.1*B1673+0</f>
        <v/>
      </c>
      <c r="E1673">
        <f>Parameters!$B$25</f>
        <v/>
      </c>
    </row>
    <row r="1674">
      <c r="A1674" t="n">
        <v>167.2</v>
      </c>
      <c r="B1674">
        <f>IF(A1674&gt;162.1,Parameters!$B$5,Parameters!$B$4)</f>
        <v/>
      </c>
      <c r="C1674">
        <f>C1673-0.1*B1674+0</f>
        <v/>
      </c>
      <c r="D1674">
        <f>D1673-0.1*B1674+0</f>
        <v/>
      </c>
      <c r="E1674">
        <f>Parameters!$B$25</f>
        <v/>
      </c>
    </row>
    <row r="1675">
      <c r="A1675" t="n">
        <v>167.3</v>
      </c>
      <c r="B1675">
        <f>IF(A1675&gt;162.1,Parameters!$B$5,Parameters!$B$4)</f>
        <v/>
      </c>
      <c r="C1675">
        <f>C1674-0.1*B1675+0</f>
        <v/>
      </c>
      <c r="D1675">
        <f>D1674-0.1*B1675+0</f>
        <v/>
      </c>
      <c r="E1675">
        <f>Parameters!$B$25</f>
        <v/>
      </c>
    </row>
    <row r="1676">
      <c r="A1676" t="n">
        <v>167.4</v>
      </c>
      <c r="B1676">
        <f>IF(A1676&gt;162.1,Parameters!$B$5,Parameters!$B$4)</f>
        <v/>
      </c>
      <c r="C1676">
        <f>C1675-0.1*B1676+0</f>
        <v/>
      </c>
      <c r="D1676">
        <f>D1675-0.1*B1676+0</f>
        <v/>
      </c>
      <c r="E1676">
        <f>Parameters!$B$25</f>
        <v/>
      </c>
    </row>
    <row r="1677">
      <c r="A1677" t="n">
        <v>167.5</v>
      </c>
      <c r="B1677">
        <f>IF(A1677&gt;162.1,Parameters!$B$5,Parameters!$B$4)</f>
        <v/>
      </c>
      <c r="C1677">
        <f>C1676-0.1*B1677+0</f>
        <v/>
      </c>
      <c r="D1677">
        <f>D1676-0.1*B1677+0</f>
        <v/>
      </c>
      <c r="E1677">
        <f>Parameters!$B$25</f>
        <v/>
      </c>
    </row>
    <row r="1678">
      <c r="A1678" t="n">
        <v>167.6</v>
      </c>
      <c r="B1678">
        <f>IF(A1678&gt;162.1,Parameters!$B$5,Parameters!$B$4)</f>
        <v/>
      </c>
      <c r="C1678">
        <f>C1677-0.1*B1678+0</f>
        <v/>
      </c>
      <c r="D1678">
        <f>D1677-0.1*B1678+0</f>
        <v/>
      </c>
      <c r="E1678">
        <f>Parameters!$B$25</f>
        <v/>
      </c>
    </row>
    <row r="1679">
      <c r="A1679" t="n">
        <v>167.7</v>
      </c>
      <c r="B1679">
        <f>IF(A1679&gt;162.1,Parameters!$B$5,Parameters!$B$4)</f>
        <v/>
      </c>
      <c r="C1679">
        <f>C1678-0.1*B1679+0</f>
        <v/>
      </c>
      <c r="D1679">
        <f>D1678-0.1*B1679+0</f>
        <v/>
      </c>
      <c r="E1679">
        <f>Parameters!$B$25</f>
        <v/>
      </c>
    </row>
    <row r="1680">
      <c r="A1680" t="n">
        <v>167.8</v>
      </c>
      <c r="B1680">
        <f>IF(A1680&gt;162.1,Parameters!$B$5,Parameters!$B$4)</f>
        <v/>
      </c>
      <c r="C1680">
        <f>C1679-0.1*B1680+0</f>
        <v/>
      </c>
      <c r="D1680">
        <f>D1679-0.1*B1680+0</f>
        <v/>
      </c>
      <c r="E1680">
        <f>Parameters!$B$25</f>
        <v/>
      </c>
    </row>
    <row r="1681">
      <c r="A1681" t="n">
        <v>167.9</v>
      </c>
      <c r="B1681">
        <f>IF(A1681&gt;162.1,Parameters!$B$5,Parameters!$B$4)</f>
        <v/>
      </c>
      <c r="C1681">
        <f>C1680-0.1*B1681+0</f>
        <v/>
      </c>
      <c r="D1681">
        <f>D1680-0.1*B1681+0</f>
        <v/>
      </c>
      <c r="E1681">
        <f>Parameters!$B$25</f>
        <v/>
      </c>
    </row>
    <row r="1682">
      <c r="A1682" t="n">
        <v>168</v>
      </c>
      <c r="B1682">
        <f>IF(A1682&gt;162.1,Parameters!$B$5,Parameters!$B$4)</f>
        <v/>
      </c>
      <c r="C1682">
        <f>C1681-0.1*B1682+0</f>
        <v/>
      </c>
      <c r="D1682">
        <f>D1681-0.1*B1682+0</f>
        <v/>
      </c>
      <c r="E1682">
        <f>Parameters!$B$25</f>
        <v/>
      </c>
    </row>
    <row r="1683">
      <c r="A1683" t="n">
        <v>168.1</v>
      </c>
      <c r="B1683">
        <f>IF(A1683&gt;162.1,Parameters!$B$5,Parameters!$B$4)</f>
        <v/>
      </c>
      <c r="C1683">
        <f>C1682-0.1*B1683+0</f>
        <v/>
      </c>
      <c r="D1683">
        <f>D1682-0.1*B1683+0</f>
        <v/>
      </c>
      <c r="E1683">
        <f>Parameters!$B$25</f>
        <v/>
      </c>
    </row>
    <row r="1684">
      <c r="A1684" t="n">
        <v>168.2</v>
      </c>
      <c r="B1684">
        <f>IF(A1684&gt;162.1,Parameters!$B$5,Parameters!$B$4)</f>
        <v/>
      </c>
      <c r="C1684">
        <f>C1683-0.1*B1684+0</f>
        <v/>
      </c>
      <c r="D1684">
        <f>D1683-0.1*B1684+0</f>
        <v/>
      </c>
      <c r="E1684">
        <f>Parameters!$B$25</f>
        <v/>
      </c>
    </row>
    <row r="1685">
      <c r="A1685" t="n">
        <v>168.3</v>
      </c>
      <c r="B1685">
        <f>IF(A1685&gt;162.1,Parameters!$B$5,Parameters!$B$4)</f>
        <v/>
      </c>
      <c r="C1685">
        <f>C1684-0.1*B1685+0</f>
        <v/>
      </c>
      <c r="D1685">
        <f>D1684-0.1*B1685+0</f>
        <v/>
      </c>
      <c r="E1685">
        <f>Parameters!$B$25</f>
        <v/>
      </c>
    </row>
    <row r="1686">
      <c r="A1686" t="n">
        <v>168.4</v>
      </c>
      <c r="B1686">
        <f>IF(A1686&gt;162.1,Parameters!$B$5,Parameters!$B$4)</f>
        <v/>
      </c>
      <c r="C1686">
        <f>C1685-0.1*B1686+0</f>
        <v/>
      </c>
      <c r="D1686">
        <f>D1685-0.1*B1686+0</f>
        <v/>
      </c>
      <c r="E1686">
        <f>Parameters!$B$25</f>
        <v/>
      </c>
    </row>
    <row r="1687">
      <c r="A1687" t="n">
        <v>168.5</v>
      </c>
      <c r="B1687">
        <f>IF(A1687&gt;162.1,Parameters!$B$5,Parameters!$B$4)</f>
        <v/>
      </c>
      <c r="C1687">
        <f>C1686-0.1*B1687+0</f>
        <v/>
      </c>
      <c r="D1687">
        <f>D1686-0.1*B1687+0</f>
        <v/>
      </c>
      <c r="E1687">
        <f>Parameters!$B$25</f>
        <v/>
      </c>
    </row>
    <row r="1688">
      <c r="A1688" t="n">
        <v>168.6</v>
      </c>
      <c r="B1688">
        <f>IF(A1688&gt;162.1,Parameters!$B$5,Parameters!$B$4)</f>
        <v/>
      </c>
      <c r="C1688">
        <f>C1687-0.1*B1688+0</f>
        <v/>
      </c>
      <c r="D1688">
        <f>D1687-0.1*B1688+0</f>
        <v/>
      </c>
      <c r="E1688">
        <f>Parameters!$B$25</f>
        <v/>
      </c>
    </row>
    <row r="1689">
      <c r="A1689" t="n">
        <v>168.7</v>
      </c>
      <c r="B1689">
        <f>IF(A1689&gt;162.1,Parameters!$B$5,Parameters!$B$4)</f>
        <v/>
      </c>
      <c r="C1689">
        <f>C1688-0.1*B1689+0</f>
        <v/>
      </c>
      <c r="D1689">
        <f>D1688-0.1*B1689+0</f>
        <v/>
      </c>
      <c r="E1689">
        <f>Parameters!$B$25</f>
        <v/>
      </c>
    </row>
    <row r="1690">
      <c r="A1690" t="n">
        <v>168.8</v>
      </c>
      <c r="B1690">
        <f>IF(A1690&gt;162.1,Parameters!$B$5,Parameters!$B$4)</f>
        <v/>
      </c>
      <c r="C1690">
        <f>C1689-0.1*B1690+0</f>
        <v/>
      </c>
      <c r="D1690">
        <f>D1689-0.1*B1690+0</f>
        <v/>
      </c>
      <c r="E1690">
        <f>Parameters!$B$25</f>
        <v/>
      </c>
    </row>
    <row r="1691">
      <c r="A1691" t="n">
        <v>168.9</v>
      </c>
      <c r="B1691">
        <f>IF(A1691&gt;162.1,Parameters!$B$5,Parameters!$B$4)</f>
        <v/>
      </c>
      <c r="C1691">
        <f>C1690-0.1*B1691+0</f>
        <v/>
      </c>
      <c r="D1691">
        <f>D1690-0.1*B1691+0</f>
        <v/>
      </c>
      <c r="E1691">
        <f>Parameters!$B$25</f>
        <v/>
      </c>
    </row>
    <row r="1692">
      <c r="A1692" t="n">
        <v>169</v>
      </c>
      <c r="B1692">
        <f>IF(A1692&gt;162.1,Parameters!$B$5,Parameters!$B$4)</f>
        <v/>
      </c>
      <c r="C1692">
        <f>C1691-0.1*B1692+0</f>
        <v/>
      </c>
      <c r="D1692">
        <f>D1691-0.1*B1692+0</f>
        <v/>
      </c>
      <c r="E1692">
        <f>Parameters!$B$25</f>
        <v/>
      </c>
    </row>
    <row r="1693">
      <c r="A1693" t="n">
        <v>169.1</v>
      </c>
      <c r="B1693">
        <f>IF(A1693&gt;162.1,Parameters!$B$5,Parameters!$B$4)</f>
        <v/>
      </c>
      <c r="C1693">
        <f>C1692-0.1*B1693+0</f>
        <v/>
      </c>
      <c r="D1693">
        <f>D1692-0.1*B1693+0</f>
        <v/>
      </c>
      <c r="E1693">
        <f>Parameters!$B$25</f>
        <v/>
      </c>
    </row>
    <row r="1694">
      <c r="A1694" t="n">
        <v>169.2</v>
      </c>
      <c r="B1694">
        <f>IF(A1694&gt;162.1,Parameters!$B$5,Parameters!$B$4)</f>
        <v/>
      </c>
      <c r="C1694">
        <f>C1693-0.1*B1694+0</f>
        <v/>
      </c>
      <c r="D1694">
        <f>D1693-0.1*B1694+0</f>
        <v/>
      </c>
      <c r="E1694">
        <f>Parameters!$B$25</f>
        <v/>
      </c>
    </row>
    <row r="1695">
      <c r="A1695" t="n">
        <v>169.3</v>
      </c>
      <c r="B1695">
        <f>IF(A1695&gt;162.1,Parameters!$B$5,Parameters!$B$4)</f>
        <v/>
      </c>
      <c r="C1695">
        <f>C1694-0.1*B1695+0</f>
        <v/>
      </c>
      <c r="D1695">
        <f>D1694-0.1*B1695+0</f>
        <v/>
      </c>
      <c r="E1695">
        <f>Parameters!$B$25</f>
        <v/>
      </c>
    </row>
    <row r="1696">
      <c r="A1696" t="n">
        <v>169.4</v>
      </c>
      <c r="B1696">
        <f>IF(A1696&gt;162.1,Parameters!$B$5,Parameters!$B$4)</f>
        <v/>
      </c>
      <c r="C1696">
        <f>C1695-0.1*B1696+0</f>
        <v/>
      </c>
      <c r="D1696">
        <f>D1695-0.1*B1696+0</f>
        <v/>
      </c>
      <c r="E1696">
        <f>Parameters!$B$25</f>
        <v/>
      </c>
    </row>
    <row r="1697">
      <c r="A1697" t="n">
        <v>169.5</v>
      </c>
      <c r="B1697">
        <f>IF(A1697&gt;162.1,Parameters!$B$5,Parameters!$B$4)</f>
        <v/>
      </c>
      <c r="C1697">
        <f>C1696-0.1*B1697+0</f>
        <v/>
      </c>
      <c r="D1697">
        <f>D1696-0.1*B1697+0</f>
        <v/>
      </c>
      <c r="E1697">
        <f>Parameters!$B$25</f>
        <v/>
      </c>
    </row>
    <row r="1698">
      <c r="A1698" t="n">
        <v>169.6</v>
      </c>
      <c r="B1698">
        <f>IF(A1698&gt;162.1,Parameters!$B$5,Parameters!$B$4)</f>
        <v/>
      </c>
      <c r="C1698">
        <f>C1697-0.1*B1698+0</f>
        <v/>
      </c>
      <c r="D1698">
        <f>D1697-0.1*B1698+0</f>
        <v/>
      </c>
      <c r="E1698">
        <f>Parameters!$B$25</f>
        <v/>
      </c>
    </row>
    <row r="1699">
      <c r="A1699" t="n">
        <v>169.7</v>
      </c>
      <c r="B1699">
        <f>IF(A1699&gt;162.1,Parameters!$B$5,Parameters!$B$4)</f>
        <v/>
      </c>
      <c r="C1699">
        <f>C1698-0.1*B1699+0</f>
        <v/>
      </c>
      <c r="D1699">
        <f>D1698-0.1*B1699+0</f>
        <v/>
      </c>
      <c r="E1699">
        <f>Parameters!$B$25</f>
        <v/>
      </c>
    </row>
    <row r="1700">
      <c r="A1700" t="n">
        <v>169.8</v>
      </c>
      <c r="B1700">
        <f>IF(A1700&gt;162.1,Parameters!$B$5,Parameters!$B$4)</f>
        <v/>
      </c>
      <c r="C1700">
        <f>C1699-0.1*B1700+0</f>
        <v/>
      </c>
      <c r="D1700">
        <f>D1699-0.1*B1700+0</f>
        <v/>
      </c>
      <c r="E1700">
        <f>Parameters!$B$25</f>
        <v/>
      </c>
    </row>
    <row r="1701">
      <c r="A1701" t="n">
        <v>169.9</v>
      </c>
      <c r="B1701">
        <f>IF(A1701&gt;162.1,Parameters!$B$5,Parameters!$B$4)</f>
        <v/>
      </c>
      <c r="C1701">
        <f>C1700-0.1*B1701+0</f>
        <v/>
      </c>
      <c r="D1701">
        <f>D1700-0.1*B1701+0</f>
        <v/>
      </c>
      <c r="E1701">
        <f>Parameters!$B$25</f>
        <v/>
      </c>
    </row>
    <row r="1702">
      <c r="A1702" t="n">
        <v>170</v>
      </c>
      <c r="B1702">
        <f>IF(A1702&gt;162.1,Parameters!$B$5,Parameters!$B$4)</f>
        <v/>
      </c>
      <c r="C1702">
        <f>C1701-0.1*B1702+0</f>
        <v/>
      </c>
      <c r="D1702">
        <f>D1701-0.1*B1702+0</f>
        <v/>
      </c>
      <c r="E1702">
        <f>Parameters!$B$25</f>
        <v/>
      </c>
    </row>
    <row r="1703">
      <c r="A1703" t="n">
        <v>170.1</v>
      </c>
      <c r="B1703">
        <f>IF(A1703&gt;162.1,Parameters!$B$5,Parameters!$B$4)</f>
        <v/>
      </c>
      <c r="C1703">
        <f>C1702-0.1*B1703+0</f>
        <v/>
      </c>
      <c r="D1703">
        <f>D1702-0.1*B1703+0</f>
        <v/>
      </c>
      <c r="E1703">
        <f>Parameters!$B$25</f>
        <v/>
      </c>
    </row>
    <row r="1704">
      <c r="A1704" t="n">
        <v>170.2</v>
      </c>
      <c r="B1704">
        <f>IF(A1704&gt;162.1,Parameters!$B$5,Parameters!$B$4)</f>
        <v/>
      </c>
      <c r="C1704">
        <f>C1703-0.1*B1704+0</f>
        <v/>
      </c>
      <c r="D1704">
        <f>D1703-0.1*B1704+0</f>
        <v/>
      </c>
      <c r="E1704">
        <f>Parameters!$B$25</f>
        <v/>
      </c>
    </row>
    <row r="1705">
      <c r="A1705" t="n">
        <v>170.3</v>
      </c>
      <c r="B1705">
        <f>IF(A1705&gt;162.1,Parameters!$B$5,Parameters!$B$4)</f>
        <v/>
      </c>
      <c r="C1705">
        <f>C1704-0.1*B1705+0</f>
        <v/>
      </c>
      <c r="D1705">
        <f>D1704-0.1*B1705+0</f>
        <v/>
      </c>
      <c r="E1705">
        <f>Parameters!$B$25</f>
        <v/>
      </c>
    </row>
    <row r="1706">
      <c r="A1706" t="n">
        <v>170.4</v>
      </c>
      <c r="B1706">
        <f>IF(A1706&gt;162.1,Parameters!$B$5,Parameters!$B$4)</f>
        <v/>
      </c>
      <c r="C1706">
        <f>C1705-0.1*B1706+0</f>
        <v/>
      </c>
      <c r="D1706">
        <f>D1705-0.1*B1706+0</f>
        <v/>
      </c>
      <c r="E1706">
        <f>Parameters!$B$25</f>
        <v/>
      </c>
    </row>
    <row r="1707">
      <c r="A1707" t="n">
        <v>170.5</v>
      </c>
      <c r="B1707">
        <f>IF(A1707&gt;162.1,Parameters!$B$5,Parameters!$B$4)</f>
        <v/>
      </c>
      <c r="C1707">
        <f>C1706-0.1*B1707+0</f>
        <v/>
      </c>
      <c r="D1707">
        <f>D1706-0.1*B1707+0</f>
        <v/>
      </c>
      <c r="E1707">
        <f>Parameters!$B$25</f>
        <v/>
      </c>
    </row>
    <row r="1708">
      <c r="A1708" t="n">
        <v>170.6</v>
      </c>
      <c r="B1708">
        <f>IF(A1708&gt;162.1,Parameters!$B$5,Parameters!$B$4)</f>
        <v/>
      </c>
      <c r="C1708">
        <f>C1707-0.1*B1708+0</f>
        <v/>
      </c>
      <c r="D1708">
        <f>D1707-0.1*B1708+0</f>
        <v/>
      </c>
      <c r="E1708">
        <f>Parameters!$B$25</f>
        <v/>
      </c>
    </row>
    <row r="1709">
      <c r="A1709" t="n">
        <v>170.7</v>
      </c>
      <c r="B1709">
        <f>IF(A1709&gt;162.1,Parameters!$B$5,Parameters!$B$4)</f>
        <v/>
      </c>
      <c r="C1709">
        <f>C1708-0.1*B1709+0</f>
        <v/>
      </c>
      <c r="D1709">
        <f>D1708-0.1*B1709+0</f>
        <v/>
      </c>
      <c r="E1709">
        <f>Parameters!$B$25</f>
        <v/>
      </c>
    </row>
    <row r="1710">
      <c r="A1710" t="n">
        <v>170.8</v>
      </c>
      <c r="B1710">
        <f>IF(A1710&gt;162.1,Parameters!$B$5,Parameters!$B$4)</f>
        <v/>
      </c>
      <c r="C1710">
        <f>C1709-0.1*B1710+0</f>
        <v/>
      </c>
      <c r="D1710">
        <f>D1709-0.1*B1710+0</f>
        <v/>
      </c>
      <c r="E1710">
        <f>Parameters!$B$25</f>
        <v/>
      </c>
    </row>
    <row r="1711">
      <c r="A1711" t="n">
        <v>170.9</v>
      </c>
      <c r="B1711">
        <f>IF(A1711&gt;162.1,Parameters!$B$5,Parameters!$B$4)</f>
        <v/>
      </c>
      <c r="C1711">
        <f>C1710-0.1*B1711+0</f>
        <v/>
      </c>
      <c r="D1711">
        <f>D1710-0.1*B1711+0</f>
        <v/>
      </c>
      <c r="E1711">
        <f>Parameters!$B$25</f>
        <v/>
      </c>
    </row>
    <row r="1712">
      <c r="A1712" t="n">
        <v>171</v>
      </c>
      <c r="B1712">
        <f>IF(A1712&gt;162.1,Parameters!$B$5,Parameters!$B$4)</f>
        <v/>
      </c>
      <c r="C1712">
        <f>C1711-0.1*B1712+0</f>
        <v/>
      </c>
      <c r="D1712">
        <f>D1711-0.1*B1712+0</f>
        <v/>
      </c>
      <c r="E1712">
        <f>Parameters!$B$25</f>
        <v/>
      </c>
    </row>
    <row r="1713">
      <c r="A1713" t="n">
        <v>171.1</v>
      </c>
      <c r="B1713">
        <f>IF(A1713&gt;162.1,Parameters!$B$5,Parameters!$B$4)</f>
        <v/>
      </c>
      <c r="C1713">
        <f>C1712-0.1*B1713+0</f>
        <v/>
      </c>
      <c r="D1713">
        <f>D1712-0.1*B1713+0</f>
        <v/>
      </c>
      <c r="E1713">
        <f>Parameters!$B$25</f>
        <v/>
      </c>
    </row>
    <row r="1714">
      <c r="A1714" t="n">
        <v>171.2</v>
      </c>
      <c r="B1714">
        <f>IF(A1714&gt;162.1,Parameters!$B$5,Parameters!$B$4)</f>
        <v/>
      </c>
      <c r="C1714">
        <f>C1713-0.1*B1714+0</f>
        <v/>
      </c>
      <c r="D1714">
        <f>D1713-0.1*B1714+0</f>
        <v/>
      </c>
      <c r="E1714">
        <f>Parameters!$B$25</f>
        <v/>
      </c>
    </row>
    <row r="1715">
      <c r="A1715" t="n">
        <v>171.3</v>
      </c>
      <c r="B1715">
        <f>IF(A1715&gt;162.1,Parameters!$B$5,Parameters!$B$4)</f>
        <v/>
      </c>
      <c r="C1715">
        <f>C1714-0.1*B1715+0</f>
        <v/>
      </c>
      <c r="D1715">
        <f>D1714-0.1*B1715+0</f>
        <v/>
      </c>
      <c r="E1715">
        <f>Parameters!$B$25</f>
        <v/>
      </c>
    </row>
    <row r="1716">
      <c r="A1716" t="n">
        <v>171.4</v>
      </c>
      <c r="B1716">
        <f>IF(A1716&gt;162.1,Parameters!$B$5,Parameters!$B$4)</f>
        <v/>
      </c>
      <c r="C1716">
        <f>C1715-0.1*B1716+0</f>
        <v/>
      </c>
      <c r="D1716">
        <f>D1715-0.1*B1716+0</f>
        <v/>
      </c>
      <c r="E1716">
        <f>Parameters!$B$25</f>
        <v/>
      </c>
    </row>
    <row r="1717">
      <c r="A1717" t="n">
        <v>171.5</v>
      </c>
      <c r="B1717">
        <f>IF(A1717&gt;162.1,Parameters!$B$5,Parameters!$B$4)</f>
        <v/>
      </c>
      <c r="C1717">
        <f>C1716-0.1*B1717+0</f>
        <v/>
      </c>
      <c r="D1717">
        <f>D1716-0.1*B1717+0</f>
        <v/>
      </c>
      <c r="E1717">
        <f>Parameters!$B$25</f>
        <v/>
      </c>
    </row>
    <row r="1718">
      <c r="A1718" t="n">
        <v>171.6</v>
      </c>
      <c r="B1718">
        <f>IF(A1718&gt;162.1,Parameters!$B$5,Parameters!$B$4)</f>
        <v/>
      </c>
      <c r="C1718">
        <f>C1717-0.1*B1718+0</f>
        <v/>
      </c>
      <c r="D1718">
        <f>D1717-0.1*B1718+0</f>
        <v/>
      </c>
      <c r="E1718">
        <f>Parameters!$B$25</f>
        <v/>
      </c>
    </row>
    <row r="1719">
      <c r="A1719" t="n">
        <v>171.7</v>
      </c>
      <c r="B1719">
        <f>IF(A1719&gt;162.1,Parameters!$B$5,Parameters!$B$4)</f>
        <v/>
      </c>
      <c r="C1719">
        <f>C1718-0.1*B1719+0</f>
        <v/>
      </c>
      <c r="D1719">
        <f>D1718-0.1*B1719+0</f>
        <v/>
      </c>
      <c r="E1719">
        <f>Parameters!$B$25</f>
        <v/>
      </c>
    </row>
    <row r="1720">
      <c r="A1720" t="n">
        <v>171.8</v>
      </c>
      <c r="B1720">
        <f>IF(A1720&gt;162.1,Parameters!$B$5,Parameters!$B$4)</f>
        <v/>
      </c>
      <c r="C1720">
        <f>C1719-0.1*B1720+0</f>
        <v/>
      </c>
      <c r="D1720">
        <f>D1719-0.1*B1720+0</f>
        <v/>
      </c>
      <c r="E1720">
        <f>Parameters!$B$25</f>
        <v/>
      </c>
    </row>
    <row r="1721">
      <c r="A1721" t="n">
        <v>171.9</v>
      </c>
      <c r="B1721">
        <f>IF(A1721&gt;162.1,Parameters!$B$5,Parameters!$B$4)</f>
        <v/>
      </c>
      <c r="C1721">
        <f>C1720-0.1*B1721+0</f>
        <v/>
      </c>
      <c r="D1721">
        <f>D1720-0.1*B1721+0</f>
        <v/>
      </c>
      <c r="E1721">
        <f>Parameters!$B$25</f>
        <v/>
      </c>
    </row>
    <row r="1722">
      <c r="A1722" t="n">
        <v>172</v>
      </c>
      <c r="B1722">
        <f>IF(A1722&gt;162.1,Parameters!$B$5,Parameters!$B$4)</f>
        <v/>
      </c>
      <c r="C1722">
        <f>C1721-0.1*B1722+0</f>
        <v/>
      </c>
      <c r="D1722">
        <f>D1721-0.1*B1722+0</f>
        <v/>
      </c>
      <c r="E1722">
        <f>Parameters!$B$25</f>
        <v/>
      </c>
    </row>
    <row r="1723">
      <c r="A1723" t="n">
        <v>172.1</v>
      </c>
      <c r="B1723">
        <f>IF(A1723&gt;162.1,Parameters!$B$5,Parameters!$B$4)</f>
        <v/>
      </c>
      <c r="C1723">
        <f>C1722-0.1*B1723+0</f>
        <v/>
      </c>
      <c r="D1723">
        <f>D1722-0.1*B1723+0</f>
        <v/>
      </c>
      <c r="E1723">
        <f>Parameters!$B$25</f>
        <v/>
      </c>
    </row>
    <row r="1724">
      <c r="A1724" t="n">
        <v>172.2</v>
      </c>
      <c r="B1724">
        <f>IF(A1724&gt;162.1,Parameters!$B$5,Parameters!$B$4)</f>
        <v/>
      </c>
      <c r="C1724">
        <f>C1723-0.1*B1724+0</f>
        <v/>
      </c>
      <c r="D1724">
        <f>D1723-0.1*B1724+0</f>
        <v/>
      </c>
      <c r="E1724">
        <f>Parameters!$B$25</f>
        <v/>
      </c>
    </row>
    <row r="1725">
      <c r="A1725" t="n">
        <v>172.3</v>
      </c>
      <c r="B1725">
        <f>IF(A1725&gt;162.1,Parameters!$B$5,Parameters!$B$4)</f>
        <v/>
      </c>
      <c r="C1725">
        <f>C1724-0.1*B1725+0</f>
        <v/>
      </c>
      <c r="D1725">
        <f>D1724-0.1*B1725+0</f>
        <v/>
      </c>
      <c r="E1725">
        <f>Parameters!$B$25</f>
        <v/>
      </c>
    </row>
    <row r="1726">
      <c r="A1726" t="n">
        <v>172.4</v>
      </c>
      <c r="B1726">
        <f>IF(A1726&gt;162.1,Parameters!$B$5,Parameters!$B$4)</f>
        <v/>
      </c>
      <c r="C1726">
        <f>C1725-0.1*B1726+0</f>
        <v/>
      </c>
      <c r="D1726">
        <f>D1725-0.1*B1726+0</f>
        <v/>
      </c>
      <c r="E1726">
        <f>Parameters!$B$25</f>
        <v/>
      </c>
    </row>
    <row r="1727">
      <c r="A1727" t="n">
        <v>172.5</v>
      </c>
      <c r="B1727">
        <f>IF(A1727&gt;162.1,Parameters!$B$5,Parameters!$B$4)</f>
        <v/>
      </c>
      <c r="C1727">
        <f>C1726-0.1*B1727+0</f>
        <v/>
      </c>
      <c r="D1727">
        <f>D1726-0.1*B1727+0</f>
        <v/>
      </c>
      <c r="E1727">
        <f>Parameters!$B$25</f>
        <v/>
      </c>
    </row>
    <row r="1728">
      <c r="A1728" t="n">
        <v>172.6</v>
      </c>
      <c r="B1728">
        <f>IF(A1728&gt;162.1,Parameters!$B$5,Parameters!$B$4)</f>
        <v/>
      </c>
      <c r="C1728">
        <f>C1727-0.1*B1728+0</f>
        <v/>
      </c>
      <c r="D1728">
        <f>D1727-0.1*B1728+0</f>
        <v/>
      </c>
      <c r="E1728">
        <f>Parameters!$B$25</f>
        <v/>
      </c>
    </row>
    <row r="1729">
      <c r="A1729" t="n">
        <v>172.7</v>
      </c>
      <c r="B1729">
        <f>IF(A1729&gt;162.1,Parameters!$B$5,Parameters!$B$4)</f>
        <v/>
      </c>
      <c r="C1729">
        <f>C1728-0.1*B1729+0</f>
        <v/>
      </c>
      <c r="D1729">
        <f>D1728-0.1*B1729+0</f>
        <v/>
      </c>
      <c r="E1729">
        <f>Parameters!$B$25</f>
        <v/>
      </c>
    </row>
    <row r="1730">
      <c r="A1730" t="n">
        <v>172.8</v>
      </c>
      <c r="B1730">
        <f>IF(A1730&gt;162.1,Parameters!$B$5,Parameters!$B$4)</f>
        <v/>
      </c>
      <c r="C1730">
        <f>C1729-0.1*B1730+0</f>
        <v/>
      </c>
      <c r="D1730">
        <f>D1729-0.1*B1730+0</f>
        <v/>
      </c>
      <c r="E1730">
        <f>Parameters!$B$25</f>
        <v/>
      </c>
    </row>
    <row r="1731">
      <c r="A1731" t="n">
        <v>172.9</v>
      </c>
      <c r="B1731">
        <f>IF(A1731&gt;162.1,Parameters!$B$5,Parameters!$B$4)</f>
        <v/>
      </c>
      <c r="C1731">
        <f>C1730-0.1*B1731+0</f>
        <v/>
      </c>
      <c r="D1731">
        <f>D1730-0.1*B1731+0</f>
        <v/>
      </c>
      <c r="E1731">
        <f>Parameters!$B$25</f>
        <v/>
      </c>
    </row>
    <row r="1732">
      <c r="A1732" t="n">
        <v>173</v>
      </c>
      <c r="B1732">
        <f>IF(A1732&gt;162.1,Parameters!$B$5,Parameters!$B$4)</f>
        <v/>
      </c>
      <c r="C1732">
        <f>C1731-0.1*B1732+0</f>
        <v/>
      </c>
      <c r="D1732">
        <f>D1731-0.1*B1732+0</f>
        <v/>
      </c>
      <c r="E1732">
        <f>Parameters!$B$25</f>
        <v/>
      </c>
    </row>
    <row r="1733">
      <c r="A1733" t="n">
        <v>173.1</v>
      </c>
      <c r="B1733">
        <f>IF(A1733&gt;162.1,Parameters!$B$5,Parameters!$B$4)</f>
        <v/>
      </c>
      <c r="C1733">
        <f>C1732-0.1*B1733+0</f>
        <v/>
      </c>
      <c r="D1733">
        <f>D1732-0.1*B1733+0</f>
        <v/>
      </c>
      <c r="E1733">
        <f>Parameters!$B$25</f>
        <v/>
      </c>
    </row>
    <row r="1734">
      <c r="A1734" t="n">
        <v>173.2</v>
      </c>
      <c r="B1734">
        <f>IF(A1734&gt;162.1,Parameters!$B$5,Parameters!$B$4)</f>
        <v/>
      </c>
      <c r="C1734">
        <f>C1733-0.1*B1734+0</f>
        <v/>
      </c>
      <c r="D1734">
        <f>D1733-0.1*B1734+0</f>
        <v/>
      </c>
      <c r="E1734">
        <f>Parameters!$B$25</f>
        <v/>
      </c>
    </row>
    <row r="1735">
      <c r="A1735" t="n">
        <v>173.3</v>
      </c>
      <c r="B1735">
        <f>IF(A1735&gt;162.1,Parameters!$B$5,Parameters!$B$4)</f>
        <v/>
      </c>
      <c r="C1735">
        <f>C1734-0.1*B1735+0</f>
        <v/>
      </c>
      <c r="D1735">
        <f>D1734-0.1*B1735+0</f>
        <v/>
      </c>
      <c r="E1735">
        <f>Parameters!$B$25</f>
        <v/>
      </c>
    </row>
    <row r="1736">
      <c r="A1736" t="n">
        <v>173.4</v>
      </c>
      <c r="B1736">
        <f>IF(A1736&gt;162.1,Parameters!$B$5,Parameters!$B$4)</f>
        <v/>
      </c>
      <c r="C1736">
        <f>C1735-0.1*B1736+0</f>
        <v/>
      </c>
      <c r="D1736">
        <f>D1735-0.1*B1736+0</f>
        <v/>
      </c>
      <c r="E1736">
        <f>Parameters!$B$25</f>
        <v/>
      </c>
    </row>
    <row r="1737">
      <c r="A1737" t="n">
        <v>173.5</v>
      </c>
      <c r="B1737">
        <f>IF(A1737&gt;162.1,Parameters!$B$5,Parameters!$B$4)</f>
        <v/>
      </c>
      <c r="C1737">
        <f>C1736-0.1*B1737+0</f>
        <v/>
      </c>
      <c r="D1737">
        <f>D1736-0.1*B1737+0</f>
        <v/>
      </c>
      <c r="E1737">
        <f>Parameters!$B$25</f>
        <v/>
      </c>
    </row>
    <row r="1738">
      <c r="A1738" t="n">
        <v>173.6</v>
      </c>
      <c r="B1738">
        <f>IF(A1738&gt;162.1,Parameters!$B$5,Parameters!$B$4)</f>
        <v/>
      </c>
      <c r="C1738">
        <f>C1737-0.1*B1738+0</f>
        <v/>
      </c>
      <c r="D1738">
        <f>D1737-0.1*B1738+0</f>
        <v/>
      </c>
      <c r="E1738">
        <f>Parameters!$B$25</f>
        <v/>
      </c>
    </row>
    <row r="1739">
      <c r="A1739" t="n">
        <v>173.7</v>
      </c>
      <c r="B1739">
        <f>IF(A1739&gt;162.1,Parameters!$B$5,Parameters!$B$4)</f>
        <v/>
      </c>
      <c r="C1739">
        <f>C1738-0.1*B1739+0</f>
        <v/>
      </c>
      <c r="D1739">
        <f>D1738-0.1*B1739+0</f>
        <v/>
      </c>
      <c r="E1739">
        <f>Parameters!$B$25</f>
        <v/>
      </c>
    </row>
    <row r="1740">
      <c r="A1740" t="n">
        <v>173.8</v>
      </c>
      <c r="B1740">
        <f>IF(A1740&gt;162.1,Parameters!$B$5,Parameters!$B$4)</f>
        <v/>
      </c>
      <c r="C1740">
        <f>C1739-0.1*B1740+0</f>
        <v/>
      </c>
      <c r="D1740">
        <f>D1739-0.1*B1740+0</f>
        <v/>
      </c>
      <c r="E1740">
        <f>Parameters!$B$25</f>
        <v/>
      </c>
    </row>
    <row r="1741">
      <c r="A1741" t="n">
        <v>173.9</v>
      </c>
      <c r="B1741">
        <f>IF(A1741&gt;162.1,Parameters!$B$5,Parameters!$B$4)</f>
        <v/>
      </c>
      <c r="C1741">
        <f>C1740-0.1*B1741+0</f>
        <v/>
      </c>
      <c r="D1741">
        <f>D1740-0.1*B1741+0</f>
        <v/>
      </c>
      <c r="E1741">
        <f>Parameters!$B$25</f>
        <v/>
      </c>
    </row>
    <row r="1742">
      <c r="A1742" t="n">
        <v>174</v>
      </c>
      <c r="B1742">
        <f>IF(A1742&gt;162.1,Parameters!$B$5,Parameters!$B$4)</f>
        <v/>
      </c>
      <c r="C1742">
        <f>C1741-0.1*B1742+0</f>
        <v/>
      </c>
      <c r="D1742">
        <f>D1741-0.1*B1742+0</f>
        <v/>
      </c>
      <c r="E1742">
        <f>Parameters!$B$25</f>
        <v/>
      </c>
    </row>
    <row r="1743">
      <c r="A1743" t="n">
        <v>174.1</v>
      </c>
      <c r="B1743">
        <f>IF(A1743&gt;162.1,Parameters!$B$5,Parameters!$B$4)</f>
        <v/>
      </c>
      <c r="C1743">
        <f>C1742-0.1*B1743+0</f>
        <v/>
      </c>
      <c r="D1743">
        <f>D1742-0.1*B1743+0</f>
        <v/>
      </c>
      <c r="E1743">
        <f>Parameters!$B$25</f>
        <v/>
      </c>
    </row>
    <row r="1744">
      <c r="A1744" t="n">
        <v>174.2</v>
      </c>
      <c r="B1744">
        <f>IF(A1744&gt;162.1,Parameters!$B$5,Parameters!$B$4)</f>
        <v/>
      </c>
      <c r="C1744">
        <f>C1743-0.1*B1744+0</f>
        <v/>
      </c>
      <c r="D1744">
        <f>D1743-0.1*B1744+0</f>
        <v/>
      </c>
      <c r="E1744">
        <f>Parameters!$B$25</f>
        <v/>
      </c>
    </row>
    <row r="1745">
      <c r="A1745" t="n">
        <v>174.3</v>
      </c>
      <c r="B1745">
        <f>IF(A1745&gt;162.1,Parameters!$B$5,Parameters!$B$4)</f>
        <v/>
      </c>
      <c r="C1745">
        <f>C1744-0.1*B1745+0</f>
        <v/>
      </c>
      <c r="D1745">
        <f>D1744-0.1*B1745+0</f>
        <v/>
      </c>
      <c r="E1745">
        <f>Parameters!$B$25</f>
        <v/>
      </c>
    </row>
    <row r="1746">
      <c r="A1746" t="n">
        <v>174.4</v>
      </c>
      <c r="B1746">
        <f>IF(A1746&gt;162.1,Parameters!$B$5,Parameters!$B$4)</f>
        <v/>
      </c>
      <c r="C1746">
        <f>C1745-0.1*B1746+0</f>
        <v/>
      </c>
      <c r="D1746">
        <f>D1745-0.1*B1746+0</f>
        <v/>
      </c>
      <c r="E1746">
        <f>Parameters!$B$25</f>
        <v/>
      </c>
    </row>
    <row r="1747">
      <c r="A1747" t="n">
        <v>174.5</v>
      </c>
      <c r="B1747">
        <f>IF(A1747&gt;162.1,Parameters!$B$5,Parameters!$B$4)</f>
        <v/>
      </c>
      <c r="C1747">
        <f>C1746-0.1*B1747+0</f>
        <v/>
      </c>
      <c r="D1747">
        <f>D1746-0.1*B1747+0</f>
        <v/>
      </c>
      <c r="E1747">
        <f>Parameters!$B$25</f>
        <v/>
      </c>
    </row>
    <row r="1748">
      <c r="A1748" t="n">
        <v>174.6</v>
      </c>
      <c r="B1748">
        <f>IF(A1748&gt;162.1,Parameters!$B$5,Parameters!$B$4)</f>
        <v/>
      </c>
      <c r="C1748">
        <f>C1747-0.1*B1748+0</f>
        <v/>
      </c>
      <c r="D1748">
        <f>D1747-0.1*B1748+0</f>
        <v/>
      </c>
      <c r="E1748">
        <f>Parameters!$B$25</f>
        <v/>
      </c>
    </row>
    <row r="1749">
      <c r="A1749" t="n">
        <v>174.7</v>
      </c>
      <c r="B1749">
        <f>IF(A1749&gt;162.1,Parameters!$B$5,Parameters!$B$4)</f>
        <v/>
      </c>
      <c r="C1749">
        <f>C1748-0.1*B1749+0</f>
        <v/>
      </c>
      <c r="D1749">
        <f>D1748-0.1*B1749+0</f>
        <v/>
      </c>
      <c r="E1749">
        <f>Parameters!$B$25</f>
        <v/>
      </c>
    </row>
    <row r="1750">
      <c r="A1750" t="n">
        <v>174.8</v>
      </c>
      <c r="B1750">
        <f>IF(A1750&gt;162.1,Parameters!$B$5,Parameters!$B$4)</f>
        <v/>
      </c>
      <c r="C1750">
        <f>C1749-0.1*B1750+0</f>
        <v/>
      </c>
      <c r="D1750">
        <f>D1749-0.1*B1750+0</f>
        <v/>
      </c>
      <c r="E1750">
        <f>Parameters!$B$25</f>
        <v/>
      </c>
    </row>
    <row r="1751">
      <c r="A1751" t="n">
        <v>174.9</v>
      </c>
      <c r="B1751">
        <f>IF(A1751&gt;162.1,Parameters!$B$5,Parameters!$B$4)</f>
        <v/>
      </c>
      <c r="C1751">
        <f>C1750-0.1*B1751+0</f>
        <v/>
      </c>
      <c r="D1751">
        <f>D1750-0.1*B1751+0</f>
        <v/>
      </c>
      <c r="E1751">
        <f>Parameters!$B$25</f>
        <v/>
      </c>
    </row>
    <row r="1752">
      <c r="A1752" t="n">
        <v>175</v>
      </c>
      <c r="B1752">
        <f>IF(A1752&gt;162.1,Parameters!$B$5,Parameters!$B$4)</f>
        <v/>
      </c>
      <c r="C1752">
        <f>C1751-0.1*B1752+0</f>
        <v/>
      </c>
      <c r="D1752">
        <f>D1751-0.1*B1752+0</f>
        <v/>
      </c>
      <c r="E1752">
        <f>Parameters!$B$25</f>
        <v/>
      </c>
    </row>
    <row r="1753">
      <c r="A1753" t="n">
        <v>175.1</v>
      </c>
      <c r="B1753">
        <f>IF(A1753&gt;162.1,Parameters!$B$5,Parameters!$B$4)</f>
        <v/>
      </c>
      <c r="C1753">
        <f>C1752-0.1*B1753+0</f>
        <v/>
      </c>
      <c r="D1753">
        <f>D1752-0.1*B1753+0</f>
        <v/>
      </c>
      <c r="E1753">
        <f>Parameters!$B$25</f>
        <v/>
      </c>
    </row>
    <row r="1754">
      <c r="A1754" t="n">
        <v>175.2</v>
      </c>
      <c r="B1754">
        <f>IF(A1754&gt;162.1,Parameters!$B$5,Parameters!$B$4)</f>
        <v/>
      </c>
      <c r="C1754">
        <f>C1753-0.1*B1754+0</f>
        <v/>
      </c>
      <c r="D1754">
        <f>D1753-0.1*B1754+0</f>
        <v/>
      </c>
      <c r="E1754">
        <f>Parameters!$B$25</f>
        <v/>
      </c>
    </row>
    <row r="1755">
      <c r="A1755" t="n">
        <v>175.3</v>
      </c>
      <c r="B1755">
        <f>IF(A1755&gt;162.1,Parameters!$B$5,Parameters!$B$4)</f>
        <v/>
      </c>
      <c r="C1755">
        <f>C1754-0.1*B1755+0</f>
        <v/>
      </c>
      <c r="D1755">
        <f>D1754-0.1*B1755+0</f>
        <v/>
      </c>
      <c r="E1755">
        <f>Parameters!$B$25</f>
        <v/>
      </c>
    </row>
    <row r="1756">
      <c r="A1756" t="n">
        <v>175.4</v>
      </c>
      <c r="B1756">
        <f>IF(A1756&gt;162.1,Parameters!$B$5,Parameters!$B$4)</f>
        <v/>
      </c>
      <c r="C1756">
        <f>C1755-0.1*B1756+0</f>
        <v/>
      </c>
      <c r="D1756">
        <f>D1755-0.1*B1756+0</f>
        <v/>
      </c>
      <c r="E1756">
        <f>Parameters!$B$25</f>
        <v/>
      </c>
    </row>
    <row r="1757">
      <c r="A1757" t="n">
        <v>175.5</v>
      </c>
      <c r="B1757">
        <f>IF(A1757&gt;162.1,Parameters!$B$5,Parameters!$B$4)</f>
        <v/>
      </c>
      <c r="C1757">
        <f>C1756-0.1*B1757+0</f>
        <v/>
      </c>
      <c r="D1757">
        <f>D1756-0.1*B1757+0</f>
        <v/>
      </c>
      <c r="E1757">
        <f>Parameters!$B$25</f>
        <v/>
      </c>
    </row>
    <row r="1758">
      <c r="A1758" t="n">
        <v>175.6</v>
      </c>
      <c r="B1758">
        <f>IF(A1758&gt;162.1,Parameters!$B$5,Parameters!$B$4)</f>
        <v/>
      </c>
      <c r="C1758">
        <f>C1757-0.1*B1758+0</f>
        <v/>
      </c>
      <c r="D1758">
        <f>D1757-0.1*B1758+0</f>
        <v/>
      </c>
      <c r="E1758">
        <f>Parameters!$B$25</f>
        <v/>
      </c>
    </row>
    <row r="1759">
      <c r="A1759" t="n">
        <v>175.7</v>
      </c>
      <c r="B1759">
        <f>IF(A1759&gt;162.1,Parameters!$B$5,Parameters!$B$4)</f>
        <v/>
      </c>
      <c r="C1759">
        <f>C1758-0.1*B1759+0</f>
        <v/>
      </c>
      <c r="D1759">
        <f>D1758-0.1*B1759+0</f>
        <v/>
      </c>
      <c r="E1759">
        <f>Parameters!$B$25</f>
        <v/>
      </c>
    </row>
    <row r="1760">
      <c r="A1760" t="n">
        <v>175.8</v>
      </c>
      <c r="B1760">
        <f>IF(A1760&gt;162.1,Parameters!$B$5,Parameters!$B$4)</f>
        <v/>
      </c>
      <c r="C1760">
        <f>C1759-0.1*B1760+0</f>
        <v/>
      </c>
      <c r="D1760">
        <f>D1759-0.1*B1760+0</f>
        <v/>
      </c>
      <c r="E1760">
        <f>Parameters!$B$25</f>
        <v/>
      </c>
    </row>
    <row r="1761">
      <c r="A1761" t="n">
        <v>175.9</v>
      </c>
      <c r="B1761">
        <f>IF(A1761&gt;162.1,Parameters!$B$5,Parameters!$B$4)</f>
        <v/>
      </c>
      <c r="C1761">
        <f>C1760-0.1*B1761+0</f>
        <v/>
      </c>
      <c r="D1761">
        <f>D1760-0.1*B1761+0</f>
        <v/>
      </c>
      <c r="E1761">
        <f>Parameters!$B$25</f>
        <v/>
      </c>
    </row>
    <row r="1762">
      <c r="A1762" t="n">
        <v>176</v>
      </c>
      <c r="B1762">
        <f>IF(A1762&gt;162.1,Parameters!$B$5,Parameters!$B$4)</f>
        <v/>
      </c>
      <c r="C1762">
        <f>C1761-0.1*B1762+0</f>
        <v/>
      </c>
      <c r="D1762">
        <f>D1761-0.1*B1762+0</f>
        <v/>
      </c>
      <c r="E1762">
        <f>Parameters!$B$25</f>
        <v/>
      </c>
    </row>
    <row r="1763">
      <c r="A1763" t="n">
        <v>176.1</v>
      </c>
      <c r="B1763">
        <f>IF(A1763&gt;162.1,Parameters!$B$5,Parameters!$B$4)</f>
        <v/>
      </c>
      <c r="C1763">
        <f>C1762-0.1*B1763+0</f>
        <v/>
      </c>
      <c r="D1763">
        <f>D1762-0.1*B1763+0</f>
        <v/>
      </c>
      <c r="E1763">
        <f>Parameters!$B$25</f>
        <v/>
      </c>
    </row>
    <row r="1764">
      <c r="A1764" t="n">
        <v>176.2</v>
      </c>
      <c r="B1764">
        <f>IF(A1764&gt;162.1,Parameters!$B$5,Parameters!$B$4)</f>
        <v/>
      </c>
      <c r="C1764">
        <f>C1763-0.1*B1764+0</f>
        <v/>
      </c>
      <c r="D1764">
        <f>D1763-0.1*B1764+0</f>
        <v/>
      </c>
      <c r="E1764">
        <f>Parameters!$B$25</f>
        <v/>
      </c>
    </row>
    <row r="1765">
      <c r="A1765" t="n">
        <v>176.3</v>
      </c>
      <c r="B1765">
        <f>IF(A1765&gt;162.1,Parameters!$B$5,Parameters!$B$4)</f>
        <v/>
      </c>
      <c r="C1765">
        <f>C1764-0.1*B1765+0</f>
        <v/>
      </c>
      <c r="D1765">
        <f>D1764-0.1*B1765+0</f>
        <v/>
      </c>
      <c r="E1765">
        <f>Parameters!$B$25</f>
        <v/>
      </c>
    </row>
    <row r="1766">
      <c r="A1766" t="n">
        <v>176.4</v>
      </c>
      <c r="B1766">
        <f>IF(A1766&gt;162.1,Parameters!$B$5,Parameters!$B$4)</f>
        <v/>
      </c>
      <c r="C1766">
        <f>C1765-0.1*B1766+0</f>
        <v/>
      </c>
      <c r="D1766">
        <f>D1765-0.1*B1766+0</f>
        <v/>
      </c>
      <c r="E1766">
        <f>Parameters!$B$25</f>
        <v/>
      </c>
    </row>
    <row r="1767">
      <c r="A1767" t="n">
        <v>176.5</v>
      </c>
      <c r="B1767">
        <f>IF(A1767&gt;162.1,Parameters!$B$5,Parameters!$B$4)</f>
        <v/>
      </c>
      <c r="C1767">
        <f>C1766-0.1*B1767+0</f>
        <v/>
      </c>
      <c r="D1767">
        <f>D1766-0.1*B1767+0</f>
        <v/>
      </c>
      <c r="E1767">
        <f>Parameters!$B$25</f>
        <v/>
      </c>
    </row>
    <row r="1768">
      <c r="A1768" t="n">
        <v>176.6</v>
      </c>
      <c r="B1768">
        <f>IF(A1768&gt;162.1,Parameters!$B$5,Parameters!$B$4)</f>
        <v/>
      </c>
      <c r="C1768">
        <f>C1767-0.1*B1768+0</f>
        <v/>
      </c>
      <c r="D1768">
        <f>D1767-0.1*B1768+0</f>
        <v/>
      </c>
      <c r="E1768">
        <f>Parameters!$B$25</f>
        <v/>
      </c>
    </row>
    <row r="1769">
      <c r="A1769" t="n">
        <v>176.7</v>
      </c>
      <c r="B1769">
        <f>IF(A1769&gt;162.1,Parameters!$B$5,Parameters!$B$4)</f>
        <v/>
      </c>
      <c r="C1769">
        <f>C1768-0.1*B1769+0</f>
        <v/>
      </c>
      <c r="D1769">
        <f>D1768-0.1*B1769+0</f>
        <v/>
      </c>
      <c r="E1769">
        <f>Parameters!$B$25</f>
        <v/>
      </c>
    </row>
    <row r="1770">
      <c r="A1770" t="n">
        <v>176.8</v>
      </c>
      <c r="B1770">
        <f>IF(A1770&gt;162.1,Parameters!$B$5,Parameters!$B$4)</f>
        <v/>
      </c>
      <c r="C1770">
        <f>C1769-0.1*B1770+0</f>
        <v/>
      </c>
      <c r="D1770">
        <f>D1769-0.1*B1770+0</f>
        <v/>
      </c>
      <c r="E1770">
        <f>Parameters!$B$25</f>
        <v/>
      </c>
    </row>
    <row r="1771">
      <c r="A1771" t="n">
        <v>176.9</v>
      </c>
      <c r="B1771">
        <f>IF(A1771&gt;162.1,Parameters!$B$5,Parameters!$B$4)</f>
        <v/>
      </c>
      <c r="C1771">
        <f>C1770-0.1*B1771+0</f>
        <v/>
      </c>
      <c r="D1771">
        <f>D1770-0.1*B1771+0</f>
        <v/>
      </c>
      <c r="E1771">
        <f>Parameters!$B$25</f>
        <v/>
      </c>
    </row>
    <row r="1772">
      <c r="A1772" t="n">
        <v>177</v>
      </c>
      <c r="B1772">
        <f>IF(A1772&gt;162.1,Parameters!$B$5,Parameters!$B$4)</f>
        <v/>
      </c>
      <c r="C1772">
        <f>C1771-0.1*B1772+0</f>
        <v/>
      </c>
      <c r="D1772">
        <f>D1771-0.1*B1772+0</f>
        <v/>
      </c>
      <c r="E1772">
        <f>Parameters!$B$25</f>
        <v/>
      </c>
    </row>
    <row r="1773">
      <c r="A1773" t="n">
        <v>177.1</v>
      </c>
      <c r="B1773">
        <f>IF(A1773&gt;162.1,Parameters!$B$5,Parameters!$B$4)</f>
        <v/>
      </c>
      <c r="C1773">
        <f>C1772-0.1*B1773+0</f>
        <v/>
      </c>
      <c r="D1773">
        <f>D1772-0.1*B1773+0</f>
        <v/>
      </c>
      <c r="E1773">
        <f>Parameters!$B$25</f>
        <v/>
      </c>
    </row>
    <row r="1774">
      <c r="A1774" t="n">
        <v>177.2</v>
      </c>
      <c r="B1774">
        <f>IF(A1774&gt;162.1,Parameters!$B$5,Parameters!$B$4)</f>
        <v/>
      </c>
      <c r="C1774">
        <f>C1773-0.1*B1774+0</f>
        <v/>
      </c>
      <c r="D1774">
        <f>D1773-0.1*B1774+0</f>
        <v/>
      </c>
      <c r="E1774">
        <f>Parameters!$B$25</f>
        <v/>
      </c>
    </row>
    <row r="1775">
      <c r="A1775" t="n">
        <v>177.3</v>
      </c>
      <c r="B1775">
        <f>IF(A1775&gt;162.1,Parameters!$B$5,Parameters!$B$4)</f>
        <v/>
      </c>
      <c r="C1775">
        <f>C1774-0.1*B1775+0</f>
        <v/>
      </c>
      <c r="D1775">
        <f>D1774-0.1*B1775+0</f>
        <v/>
      </c>
      <c r="E1775">
        <f>Parameters!$B$25</f>
        <v/>
      </c>
    </row>
    <row r="1776">
      <c r="A1776" t="n">
        <v>177.4</v>
      </c>
      <c r="B1776">
        <f>IF(A1776&gt;162.1,Parameters!$B$5,Parameters!$B$4)</f>
        <v/>
      </c>
      <c r="C1776">
        <f>C1775-0.1*B1776+0</f>
        <v/>
      </c>
      <c r="D1776">
        <f>D1775-0.1*B1776+0</f>
        <v/>
      </c>
      <c r="E1776">
        <f>Parameters!$B$25</f>
        <v/>
      </c>
    </row>
    <row r="1777">
      <c r="A1777" t="n">
        <v>177.5</v>
      </c>
      <c r="B1777">
        <f>IF(A1777&gt;162.1,Parameters!$B$5,Parameters!$B$4)</f>
        <v/>
      </c>
      <c r="C1777">
        <f>C1776-0.1*B1777+0</f>
        <v/>
      </c>
      <c r="D1777">
        <f>D1776-0.1*B1777+0</f>
        <v/>
      </c>
      <c r="E1777">
        <f>Parameters!$B$25</f>
        <v/>
      </c>
    </row>
    <row r="1778">
      <c r="A1778" t="n">
        <v>177.6</v>
      </c>
      <c r="B1778">
        <f>IF(A1778&gt;162.1,Parameters!$B$5,Parameters!$B$4)</f>
        <v/>
      </c>
      <c r="C1778">
        <f>C1777-0.1*B1778+0</f>
        <v/>
      </c>
      <c r="D1778">
        <f>D1777-0.1*B1778+0</f>
        <v/>
      </c>
      <c r="E1778">
        <f>Parameters!$B$25</f>
        <v/>
      </c>
    </row>
    <row r="1779">
      <c r="A1779" t="n">
        <v>177.7</v>
      </c>
      <c r="B1779">
        <f>IF(A1779&gt;162.1,Parameters!$B$5,Parameters!$B$4)</f>
        <v/>
      </c>
      <c r="C1779">
        <f>C1778-0.1*B1779+0</f>
        <v/>
      </c>
      <c r="D1779">
        <f>D1778-0.1*B1779+0</f>
        <v/>
      </c>
      <c r="E1779">
        <f>Parameters!$B$25</f>
        <v/>
      </c>
    </row>
    <row r="1780">
      <c r="A1780" t="n">
        <v>177.8</v>
      </c>
      <c r="B1780">
        <f>IF(A1780&gt;162.1,Parameters!$B$5,Parameters!$B$4)</f>
        <v/>
      </c>
      <c r="C1780">
        <f>C1779-0.1*B1780+0</f>
        <v/>
      </c>
      <c r="D1780">
        <f>D1779-0.1*B1780+0</f>
        <v/>
      </c>
      <c r="E1780">
        <f>Parameters!$B$25</f>
        <v/>
      </c>
    </row>
    <row r="1781">
      <c r="A1781" t="n">
        <v>177.9</v>
      </c>
      <c r="B1781">
        <f>IF(A1781&gt;162.1,Parameters!$B$5,Parameters!$B$4)</f>
        <v/>
      </c>
      <c r="C1781">
        <f>C1780-0.1*B1781+0</f>
        <v/>
      </c>
      <c r="D1781">
        <f>D1780-0.1*B1781+0</f>
        <v/>
      </c>
      <c r="E1781">
        <f>Parameters!$B$25</f>
        <v/>
      </c>
    </row>
    <row r="1782">
      <c r="A1782" t="n">
        <v>178</v>
      </c>
      <c r="B1782">
        <f>IF(A1782&gt;162.1,Parameters!$B$5,Parameters!$B$4)</f>
        <v/>
      </c>
      <c r="C1782">
        <f>C1781-0.1*B1782+0</f>
        <v/>
      </c>
      <c r="D1782">
        <f>D1781-0.1*B1782+0</f>
        <v/>
      </c>
      <c r="E1782">
        <f>Parameters!$B$25</f>
        <v/>
      </c>
    </row>
    <row r="1783">
      <c r="A1783" t="n">
        <v>178.1</v>
      </c>
      <c r="B1783">
        <f>IF(A1783&gt;162.1,Parameters!$B$5,Parameters!$B$4)</f>
        <v/>
      </c>
      <c r="C1783">
        <f>C1782-0.1*B1783+0</f>
        <v/>
      </c>
      <c r="D1783">
        <f>D1782-0.1*B1783+0</f>
        <v/>
      </c>
      <c r="E1783">
        <f>Parameters!$B$25</f>
        <v/>
      </c>
    </row>
    <row r="1784">
      <c r="A1784" t="n">
        <v>178.2</v>
      </c>
      <c r="B1784">
        <f>IF(A1784&gt;162.1,Parameters!$B$5,Parameters!$B$4)</f>
        <v/>
      </c>
      <c r="C1784">
        <f>C1783-0.1*B1784+0</f>
        <v/>
      </c>
      <c r="D1784">
        <f>D1783-0.1*B1784+0</f>
        <v/>
      </c>
      <c r="E1784">
        <f>Parameters!$B$25</f>
        <v/>
      </c>
    </row>
    <row r="1785">
      <c r="A1785" t="n">
        <v>178.3</v>
      </c>
      <c r="B1785">
        <f>IF(A1785&gt;162.1,Parameters!$B$5,Parameters!$B$4)</f>
        <v/>
      </c>
      <c r="C1785">
        <f>C1784-0.1*B1785+0</f>
        <v/>
      </c>
      <c r="D1785">
        <f>D1784-0.1*B1785+0</f>
        <v/>
      </c>
      <c r="E1785">
        <f>Parameters!$B$25</f>
        <v/>
      </c>
    </row>
    <row r="1786">
      <c r="A1786" t="n">
        <v>178.4</v>
      </c>
      <c r="B1786">
        <f>IF(A1786&gt;162.1,Parameters!$B$5,Parameters!$B$4)</f>
        <v/>
      </c>
      <c r="C1786">
        <f>C1785-0.1*B1786+0</f>
        <v/>
      </c>
      <c r="D1786">
        <f>D1785-0.1*B1786+0</f>
        <v/>
      </c>
      <c r="E1786">
        <f>Parameters!$B$25</f>
        <v/>
      </c>
    </row>
    <row r="1787">
      <c r="A1787" t="n">
        <v>178.5</v>
      </c>
      <c r="B1787">
        <f>IF(A1787&gt;162.1,Parameters!$B$5,Parameters!$B$4)</f>
        <v/>
      </c>
      <c r="C1787">
        <f>C1786-0.1*B1787+0</f>
        <v/>
      </c>
      <c r="D1787">
        <f>D1786-0.1*B1787+0</f>
        <v/>
      </c>
      <c r="E1787">
        <f>Parameters!$B$25</f>
        <v/>
      </c>
    </row>
    <row r="1788">
      <c r="A1788" t="n">
        <v>178.6</v>
      </c>
      <c r="B1788">
        <f>IF(A1788&gt;162.1,Parameters!$B$5,Parameters!$B$4)</f>
        <v/>
      </c>
      <c r="C1788">
        <f>C1787-0.1*B1788+0</f>
        <v/>
      </c>
      <c r="D1788">
        <f>D1787-0.1*B1788+0</f>
        <v/>
      </c>
      <c r="E1788">
        <f>Parameters!$B$25</f>
        <v/>
      </c>
    </row>
    <row r="1789">
      <c r="A1789" t="n">
        <v>178.7</v>
      </c>
      <c r="B1789">
        <f>IF(A1789&gt;162.1,Parameters!$B$5,Parameters!$B$4)</f>
        <v/>
      </c>
      <c r="C1789">
        <f>C1788-0.1*B1789+0</f>
        <v/>
      </c>
      <c r="D1789">
        <f>D1788-0.1*B1789+0</f>
        <v/>
      </c>
      <c r="E1789">
        <f>Parameters!$B$25</f>
        <v/>
      </c>
    </row>
    <row r="1790">
      <c r="A1790" t="n">
        <v>178.8</v>
      </c>
      <c r="B1790">
        <f>IF(A1790&gt;162.1,Parameters!$B$5,Parameters!$B$4)</f>
        <v/>
      </c>
      <c r="C1790">
        <f>C1789-0.1*B1790+0</f>
        <v/>
      </c>
      <c r="D1790">
        <f>D1789-0.1*B1790+0</f>
        <v/>
      </c>
      <c r="E1790">
        <f>Parameters!$B$25</f>
        <v/>
      </c>
    </row>
    <row r="1791">
      <c r="A1791" t="n">
        <v>178.9</v>
      </c>
      <c r="B1791">
        <f>IF(A1791&gt;162.1,Parameters!$B$5,Parameters!$B$4)</f>
        <v/>
      </c>
      <c r="C1791">
        <f>C1790-0.1*B1791+0</f>
        <v/>
      </c>
      <c r="D1791">
        <f>D1790-0.1*B1791+0</f>
        <v/>
      </c>
      <c r="E1791">
        <f>Parameters!$B$25</f>
        <v/>
      </c>
    </row>
    <row r="1792">
      <c r="A1792" t="n">
        <v>179</v>
      </c>
      <c r="B1792">
        <f>IF(A1792&gt;162.1,Parameters!$B$5,Parameters!$B$4)</f>
        <v/>
      </c>
      <c r="C1792">
        <f>C1791-0.1*B1792+0</f>
        <v/>
      </c>
      <c r="D1792">
        <f>D1791-0.1*B1792+0</f>
        <v/>
      </c>
      <c r="E1792">
        <f>Parameters!$B$25</f>
        <v/>
      </c>
    </row>
    <row r="1793">
      <c r="A1793" t="n">
        <v>179.1</v>
      </c>
      <c r="B1793">
        <f>IF(A1793&gt;162.1,Parameters!$B$5,Parameters!$B$4)</f>
        <v/>
      </c>
      <c r="C1793">
        <f>C1792-0.1*B1793+0</f>
        <v/>
      </c>
      <c r="D1793">
        <f>D1792-0.1*B1793+0</f>
        <v/>
      </c>
      <c r="E1793">
        <f>Parameters!$B$25</f>
        <v/>
      </c>
    </row>
    <row r="1794">
      <c r="A1794" t="n">
        <v>179.2</v>
      </c>
      <c r="B1794">
        <f>IF(A1794&gt;162.1,Parameters!$B$5,Parameters!$B$4)</f>
        <v/>
      </c>
      <c r="C1794">
        <f>C1793-0.1*B1794+0</f>
        <v/>
      </c>
      <c r="D1794">
        <f>D1793-0.1*B1794+0</f>
        <v/>
      </c>
      <c r="E1794">
        <f>Parameters!$B$25</f>
        <v/>
      </c>
    </row>
    <row r="1795">
      <c r="A1795" t="n">
        <v>179.3</v>
      </c>
      <c r="B1795">
        <f>IF(A1795&gt;162.1,Parameters!$B$5,Parameters!$B$4)</f>
        <v/>
      </c>
      <c r="C1795">
        <f>C1794-0.1*B1795+0</f>
        <v/>
      </c>
      <c r="D1795">
        <f>D1794-0.1*B1795+0</f>
        <v/>
      </c>
      <c r="E1795">
        <f>Parameters!$B$25</f>
        <v/>
      </c>
    </row>
    <row r="1796">
      <c r="A1796" t="n">
        <v>179.4</v>
      </c>
      <c r="B1796">
        <f>IF(A1796&gt;162.1,Parameters!$B$5,Parameters!$B$4)</f>
        <v/>
      </c>
      <c r="C1796">
        <f>C1795-0.1*B1796+0</f>
        <v/>
      </c>
      <c r="D1796">
        <f>D1795-0.1*B1796+0</f>
        <v/>
      </c>
      <c r="E1796">
        <f>Parameters!$B$25</f>
        <v/>
      </c>
    </row>
    <row r="1797">
      <c r="A1797" t="n">
        <v>179.5</v>
      </c>
      <c r="B1797">
        <f>IF(A1797&gt;162.1,Parameters!$B$5,Parameters!$B$4)</f>
        <v/>
      </c>
      <c r="C1797">
        <f>C1796-0.1*B1797+0</f>
        <v/>
      </c>
      <c r="D1797">
        <f>D1796-0.1*B1797+0</f>
        <v/>
      </c>
      <c r="E1797">
        <f>Parameters!$B$25</f>
        <v/>
      </c>
    </row>
    <row r="1798">
      <c r="A1798" t="n">
        <v>179.6</v>
      </c>
      <c r="B1798">
        <f>IF(A1798&gt;162.1,Parameters!$B$5,Parameters!$B$4)</f>
        <v/>
      </c>
      <c r="C1798">
        <f>C1797-0.1*B1798+0</f>
        <v/>
      </c>
      <c r="D1798">
        <f>D1797-0.1*B1798+0</f>
        <v/>
      </c>
      <c r="E1798">
        <f>Parameters!$B$25</f>
        <v/>
      </c>
    </row>
    <row r="1799">
      <c r="A1799" t="n">
        <v>179.7</v>
      </c>
      <c r="B1799">
        <f>IF(A1799&gt;162.1,Parameters!$B$5,Parameters!$B$4)</f>
        <v/>
      </c>
      <c r="C1799">
        <f>C1798-0.1*B1799+0</f>
        <v/>
      </c>
      <c r="D1799">
        <f>D1798-0.1*B1799+0</f>
        <v/>
      </c>
      <c r="E1799">
        <f>Parameters!$B$25</f>
        <v/>
      </c>
    </row>
    <row r="1800">
      <c r="A1800" t="n">
        <v>179.8</v>
      </c>
      <c r="B1800">
        <f>IF(A1800&gt;162.1,Parameters!$B$5,Parameters!$B$4)</f>
        <v/>
      </c>
      <c r="C1800">
        <f>C1799-0.1*B1800+0</f>
        <v/>
      </c>
      <c r="D1800">
        <f>D1799-0.1*B1800+0</f>
        <v/>
      </c>
      <c r="E1800">
        <f>Parameters!$B$25</f>
        <v/>
      </c>
    </row>
    <row r="1801">
      <c r="A1801" t="n">
        <v>179.9</v>
      </c>
      <c r="B1801">
        <f>IF(A1801&gt;162.1,Parameters!$B$5,Parameters!$B$4)</f>
        <v/>
      </c>
      <c r="C1801">
        <f>C1800-0.1*B1801+0</f>
        <v/>
      </c>
      <c r="D1801">
        <f>D1800-0.1*B1801+0</f>
        <v/>
      </c>
      <c r="E1801">
        <f>Parameters!$B$25</f>
        <v/>
      </c>
    </row>
    <row r="1802">
      <c r="A1802" t="n">
        <v>180</v>
      </c>
      <c r="B1802">
        <f>IF(A1802&gt;162.1,Parameters!$B$5,Parameters!$B$4)</f>
        <v/>
      </c>
      <c r="C1802">
        <f>C1801-0.1*B1802+0</f>
        <v/>
      </c>
      <c r="D1802">
        <f>D1801-0.1*B1802+0</f>
        <v/>
      </c>
      <c r="E1802">
        <f>Parameters!$B$25</f>
        <v/>
      </c>
    </row>
    <row r="1803">
      <c r="A1803" t="n">
        <v>180.1</v>
      </c>
      <c r="B1803">
        <f>IF(A1803&gt;162.1,Parameters!$B$5,Parameters!$B$4)</f>
        <v/>
      </c>
      <c r="C1803">
        <f>C1802-0.1*B1803+0</f>
        <v/>
      </c>
      <c r="D1803">
        <f>D1802-0.1*B1803+0</f>
        <v/>
      </c>
      <c r="E1803">
        <f>Parameters!$B$25</f>
        <v/>
      </c>
    </row>
    <row r="1804">
      <c r="A1804" t="n">
        <v>180.2</v>
      </c>
      <c r="B1804">
        <f>IF(A1804&gt;162.1,Parameters!$B$5,Parameters!$B$4)</f>
        <v/>
      </c>
      <c r="C1804">
        <f>C1803-0.1*B1804+0</f>
        <v/>
      </c>
      <c r="D1804">
        <f>D1803-0.1*B1804+0</f>
        <v/>
      </c>
      <c r="E1804">
        <f>Parameters!$B$25</f>
        <v/>
      </c>
    </row>
    <row r="1805">
      <c r="A1805" t="n">
        <v>180.3</v>
      </c>
      <c r="B1805">
        <f>IF(A1805&gt;162.1,Parameters!$B$5,Parameters!$B$4)</f>
        <v/>
      </c>
      <c r="C1805">
        <f>C1804-0.1*B1805+0</f>
        <v/>
      </c>
      <c r="D1805">
        <f>D1804-0.1*B1805+0</f>
        <v/>
      </c>
      <c r="E1805">
        <f>Parameters!$B$25</f>
        <v/>
      </c>
    </row>
    <row r="1806">
      <c r="A1806" t="n">
        <v>180.4</v>
      </c>
      <c r="B1806">
        <f>IF(A1806&gt;162.1,Parameters!$B$5,Parameters!$B$4)</f>
        <v/>
      </c>
      <c r="C1806">
        <f>C1805-0.1*B1806+0</f>
        <v/>
      </c>
      <c r="D1806">
        <f>D1805-0.1*B1806+0</f>
        <v/>
      </c>
      <c r="E1806">
        <f>Parameters!$B$25</f>
        <v/>
      </c>
    </row>
    <row r="1807">
      <c r="A1807" t="n">
        <v>180.5</v>
      </c>
      <c r="B1807">
        <f>IF(A1807&gt;162.1,Parameters!$B$5,Parameters!$B$4)</f>
        <v/>
      </c>
      <c r="C1807">
        <f>C1806-0.1*B1807+0</f>
        <v/>
      </c>
      <c r="D1807">
        <f>D1806-0.1*B1807+0</f>
        <v/>
      </c>
      <c r="E1807">
        <f>Parameters!$B$25</f>
        <v/>
      </c>
    </row>
    <row r="1808">
      <c r="A1808" t="n">
        <v>180.6</v>
      </c>
      <c r="B1808">
        <f>IF(A1808&gt;162.1,Parameters!$B$5,Parameters!$B$4)</f>
        <v/>
      </c>
      <c r="C1808">
        <f>C1807-0.1*B1808+0</f>
        <v/>
      </c>
      <c r="D1808">
        <f>D1807-0.1*B1808+0</f>
        <v/>
      </c>
      <c r="E1808">
        <f>Parameters!$B$25</f>
        <v/>
      </c>
    </row>
    <row r="1809">
      <c r="A1809" t="n">
        <v>180.7</v>
      </c>
      <c r="B1809">
        <f>IF(A1809&gt;162.1,Parameters!$B$5,Parameters!$B$4)</f>
        <v/>
      </c>
      <c r="C1809">
        <f>C1808-0.1*B1809+0</f>
        <v/>
      </c>
      <c r="D1809">
        <f>D1808-0.1*B1809+0</f>
        <v/>
      </c>
      <c r="E1809">
        <f>Parameters!$B$25</f>
        <v/>
      </c>
    </row>
    <row r="1810">
      <c r="A1810" t="n">
        <v>180.8</v>
      </c>
      <c r="B1810">
        <f>IF(A1810&gt;162.1,Parameters!$B$5,Parameters!$B$4)</f>
        <v/>
      </c>
      <c r="C1810">
        <f>C1809-0.1*B1810+0</f>
        <v/>
      </c>
      <c r="D1810">
        <f>D1809-0.1*B1810+0</f>
        <v/>
      </c>
      <c r="E1810">
        <f>Parameters!$B$25</f>
        <v/>
      </c>
    </row>
    <row r="1811">
      <c r="A1811" t="n">
        <v>180.9</v>
      </c>
      <c r="B1811">
        <f>IF(A1811&gt;162.1,Parameters!$B$5,Parameters!$B$4)</f>
        <v/>
      </c>
      <c r="C1811">
        <f>C1810-0.1*B1811+0</f>
        <v/>
      </c>
      <c r="D1811">
        <f>D1810-0.1*B1811+0</f>
        <v/>
      </c>
      <c r="E1811">
        <f>Parameters!$B$25</f>
        <v/>
      </c>
    </row>
    <row r="1812">
      <c r="A1812" t="n">
        <v>181</v>
      </c>
      <c r="B1812">
        <f>IF(A1812&gt;162.1,Parameters!$B$5,Parameters!$B$4)</f>
        <v/>
      </c>
      <c r="C1812">
        <f>C1811-0.1*B1812+0</f>
        <v/>
      </c>
      <c r="D1812">
        <f>D1811-0.1*B1812+0</f>
        <v/>
      </c>
      <c r="E1812">
        <f>Parameters!$B$25</f>
        <v/>
      </c>
    </row>
    <row r="1813">
      <c r="A1813" t="n">
        <v>181.1</v>
      </c>
      <c r="B1813">
        <f>IF(A1813&gt;162.1,Parameters!$B$5,Parameters!$B$4)</f>
        <v/>
      </c>
      <c r="C1813">
        <f>C1812-0.1*B1813+0</f>
        <v/>
      </c>
      <c r="D1813">
        <f>D1812-0.1*B1813+0</f>
        <v/>
      </c>
      <c r="E1813">
        <f>Parameters!$B$25</f>
        <v/>
      </c>
    </row>
    <row r="1814">
      <c r="A1814" t="n">
        <v>181.2</v>
      </c>
      <c r="B1814">
        <f>IF(A1814&gt;162.1,Parameters!$B$5,Parameters!$B$4)</f>
        <v/>
      </c>
      <c r="C1814">
        <f>C1813-0.1*B1814+0</f>
        <v/>
      </c>
      <c r="D1814">
        <f>D1813-0.1*B1814+0</f>
        <v/>
      </c>
      <c r="E1814">
        <f>Parameters!$B$25</f>
        <v/>
      </c>
    </row>
    <row r="1815">
      <c r="A1815" t="n">
        <v>181.3</v>
      </c>
      <c r="B1815">
        <f>IF(A1815&gt;162.1,Parameters!$B$5,Parameters!$B$4)</f>
        <v/>
      </c>
      <c r="C1815">
        <f>C1814-0.1*B1815+0</f>
        <v/>
      </c>
      <c r="D1815">
        <f>D1814-0.1*B1815+0</f>
        <v/>
      </c>
      <c r="E1815">
        <f>Parameters!$B$25</f>
        <v/>
      </c>
    </row>
    <row r="1816">
      <c r="A1816" t="n">
        <v>181.4</v>
      </c>
      <c r="B1816">
        <f>IF(A1816&gt;162.1,Parameters!$B$5,Parameters!$B$4)</f>
        <v/>
      </c>
      <c r="C1816">
        <f>C1815-0.1*B1816+0</f>
        <v/>
      </c>
      <c r="D1816">
        <f>D1815-0.1*B1816+0</f>
        <v/>
      </c>
      <c r="E1816">
        <f>Parameters!$B$25</f>
        <v/>
      </c>
    </row>
    <row r="1817">
      <c r="A1817" t="n">
        <v>181.5</v>
      </c>
      <c r="B1817">
        <f>IF(A1817&gt;162.1,Parameters!$B$5,Parameters!$B$4)</f>
        <v/>
      </c>
      <c r="C1817">
        <f>C1816-0.1*B1817+0</f>
        <v/>
      </c>
      <c r="D1817">
        <f>D1816-0.1*B1817+0</f>
        <v/>
      </c>
      <c r="E1817">
        <f>Parameters!$B$25</f>
        <v/>
      </c>
    </row>
    <row r="1818">
      <c r="A1818" t="n">
        <v>181.6</v>
      </c>
      <c r="B1818">
        <f>IF(A1818&gt;162.1,Parameters!$B$5,Parameters!$B$4)</f>
        <v/>
      </c>
      <c r="C1818">
        <f>C1817-0.1*B1818+0</f>
        <v/>
      </c>
      <c r="D1818">
        <f>D1817-0.1*B1818+0</f>
        <v/>
      </c>
      <c r="E1818">
        <f>Parameters!$B$25</f>
        <v/>
      </c>
    </row>
    <row r="1819">
      <c r="A1819" t="n">
        <v>181.7</v>
      </c>
      <c r="B1819">
        <f>IF(A1819&gt;162.1,Parameters!$B$5,Parameters!$B$4)</f>
        <v/>
      </c>
      <c r="C1819">
        <f>C1818-0.1*B1819+0</f>
        <v/>
      </c>
      <c r="D1819">
        <f>D1818-0.1*B1819+0</f>
        <v/>
      </c>
      <c r="E1819">
        <f>Parameters!$B$25</f>
        <v/>
      </c>
    </row>
    <row r="1820">
      <c r="A1820" t="n">
        <v>181.8</v>
      </c>
      <c r="B1820">
        <f>IF(A1820&gt;162.1,Parameters!$B$5,Parameters!$B$4)</f>
        <v/>
      </c>
      <c r="C1820">
        <f>C1819-0.1*B1820+0</f>
        <v/>
      </c>
      <c r="D1820">
        <f>D1819-0.1*B1820+0</f>
        <v/>
      </c>
      <c r="E1820">
        <f>Parameters!$B$25</f>
        <v/>
      </c>
    </row>
    <row r="1821">
      <c r="A1821" t="n">
        <v>181.9</v>
      </c>
      <c r="B1821">
        <f>IF(A1821&gt;162.1,Parameters!$B$5,Parameters!$B$4)</f>
        <v/>
      </c>
      <c r="C1821">
        <f>C1820-0.1*B1821+0</f>
        <v/>
      </c>
      <c r="D1821">
        <f>D1820-0.1*B1821+0</f>
        <v/>
      </c>
      <c r="E1821">
        <f>Parameters!$B$25</f>
        <v/>
      </c>
    </row>
    <row r="1822">
      <c r="A1822" t="n">
        <v>182</v>
      </c>
      <c r="B1822">
        <f>IF(A1822&gt;162.1,Parameters!$B$5,Parameters!$B$4)</f>
        <v/>
      </c>
      <c r="C1822">
        <f>C1821-0.1*B1822+0</f>
        <v/>
      </c>
      <c r="D1822">
        <f>D1821-0.1*B1822+0</f>
        <v/>
      </c>
      <c r="E1822">
        <f>Parameters!$B$25</f>
        <v/>
      </c>
    </row>
    <row r="1823">
      <c r="A1823" t="n">
        <v>182.1</v>
      </c>
      <c r="B1823">
        <f>IF(A1823&gt;162.1,Parameters!$B$5,Parameters!$B$4)</f>
        <v/>
      </c>
      <c r="C1823">
        <f>C1822-0.1*B1823+0</f>
        <v/>
      </c>
      <c r="D1823">
        <f>D1822-0.1*B1823+0</f>
        <v/>
      </c>
      <c r="E1823">
        <f>Parameters!$B$25</f>
        <v/>
      </c>
    </row>
    <row r="1824">
      <c r="A1824" t="n">
        <v>182.2</v>
      </c>
      <c r="B1824">
        <f>IF(A1824&gt;162.1,Parameters!$B$5,Parameters!$B$4)</f>
        <v/>
      </c>
      <c r="C1824">
        <f>C1823-0.1*B1824+0</f>
        <v/>
      </c>
      <c r="D1824">
        <f>D1823-0.1*B1824+0</f>
        <v/>
      </c>
      <c r="E1824">
        <f>Parameters!$B$25</f>
        <v/>
      </c>
    </row>
    <row r="1825">
      <c r="A1825" t="n">
        <v>182.3</v>
      </c>
      <c r="B1825">
        <f>IF(A1825&gt;162.1,Parameters!$B$5,Parameters!$B$4)</f>
        <v/>
      </c>
      <c r="C1825">
        <f>C1824-0.1*B1825+0</f>
        <v/>
      </c>
      <c r="D1825">
        <f>D1824-0.1*B1825+0</f>
        <v/>
      </c>
      <c r="E1825">
        <f>Parameters!$B$25</f>
        <v/>
      </c>
    </row>
    <row r="1826">
      <c r="A1826" t="n">
        <v>182.4</v>
      </c>
      <c r="B1826">
        <f>IF(A1826&gt;162.1,Parameters!$B$5,Parameters!$B$4)</f>
        <v/>
      </c>
      <c r="C1826">
        <f>C1825-0.1*B1826+0</f>
        <v/>
      </c>
      <c r="D1826">
        <f>D1825-0.1*B1826+0</f>
        <v/>
      </c>
      <c r="E1826">
        <f>Parameters!$B$25</f>
        <v/>
      </c>
    </row>
    <row r="1827">
      <c r="A1827" t="n">
        <v>182.5</v>
      </c>
      <c r="B1827">
        <f>IF(A1827&gt;162.1,Parameters!$B$5,Parameters!$B$4)</f>
        <v/>
      </c>
      <c r="C1827">
        <f>C1826-0.1*B1827+0</f>
        <v/>
      </c>
      <c r="D1827">
        <f>D1826-0.1*B1827+0</f>
        <v/>
      </c>
      <c r="E1827">
        <f>Parameters!$B$25</f>
        <v/>
      </c>
    </row>
    <row r="1828">
      <c r="A1828" t="n">
        <v>182.6</v>
      </c>
      <c r="B1828">
        <f>IF(A1828&gt;162.1,Parameters!$B$5,Parameters!$B$4)</f>
        <v/>
      </c>
      <c r="C1828">
        <f>C1827-0.1*B1828+0</f>
        <v/>
      </c>
      <c r="D1828">
        <f>D1827-0.1*B1828+0</f>
        <v/>
      </c>
      <c r="E1828">
        <f>Parameters!$B$25</f>
        <v/>
      </c>
    </row>
    <row r="1829">
      <c r="A1829" t="n">
        <v>182.7</v>
      </c>
      <c r="B1829">
        <f>IF(A1829&gt;162.1,Parameters!$B$5,Parameters!$B$4)</f>
        <v/>
      </c>
      <c r="C1829">
        <f>C1828-0.1*B1829+0</f>
        <v/>
      </c>
      <c r="D1829">
        <f>D1828-0.1*B1829+0</f>
        <v/>
      </c>
      <c r="E1829">
        <f>Parameters!$B$25</f>
        <v/>
      </c>
    </row>
    <row r="1830">
      <c r="A1830" t="n">
        <v>182.8</v>
      </c>
      <c r="B1830">
        <f>IF(A1830&gt;162.1,Parameters!$B$5,Parameters!$B$4)</f>
        <v/>
      </c>
      <c r="C1830">
        <f>C1829-0.1*B1830+0</f>
        <v/>
      </c>
      <c r="D1830">
        <f>D1829-0.1*B1830+0</f>
        <v/>
      </c>
      <c r="E1830">
        <f>Parameters!$B$25</f>
        <v/>
      </c>
    </row>
    <row r="1831">
      <c r="A1831" t="n">
        <v>182.9</v>
      </c>
      <c r="B1831">
        <f>IF(A1831&gt;162.1,Parameters!$B$5,Parameters!$B$4)</f>
        <v/>
      </c>
      <c r="C1831">
        <f>C1830-0.1*B1831+0</f>
        <v/>
      </c>
      <c r="D1831">
        <f>D1830-0.1*B1831+0</f>
        <v/>
      </c>
      <c r="E1831">
        <f>Parameters!$B$25</f>
        <v/>
      </c>
    </row>
    <row r="1832">
      <c r="A1832" t="n">
        <v>183</v>
      </c>
      <c r="B1832">
        <f>IF(A1832&gt;162.1,Parameters!$B$5,Parameters!$B$4)</f>
        <v/>
      </c>
      <c r="C1832">
        <f>C1831-0.1*B1832+0</f>
        <v/>
      </c>
      <c r="D1832">
        <f>D1831-0.1*B1832+0</f>
        <v/>
      </c>
      <c r="E1832">
        <f>Parameters!$B$25</f>
        <v/>
      </c>
    </row>
    <row r="1833">
      <c r="A1833" t="n">
        <v>183.1</v>
      </c>
      <c r="B1833">
        <f>IF(A1833&gt;162.1,Parameters!$B$5,Parameters!$B$4)</f>
        <v/>
      </c>
      <c r="C1833">
        <f>C1832-0.1*B1833+0</f>
        <v/>
      </c>
      <c r="D1833">
        <f>D1832-0.1*B1833+0</f>
        <v/>
      </c>
      <c r="E1833">
        <f>Parameters!$B$25</f>
        <v/>
      </c>
    </row>
    <row r="1834">
      <c r="A1834" t="n">
        <v>183.2</v>
      </c>
      <c r="B1834">
        <f>IF(A1834&gt;162.1,Parameters!$B$5,Parameters!$B$4)</f>
        <v/>
      </c>
      <c r="C1834">
        <f>C1833-0.1*B1834+0</f>
        <v/>
      </c>
      <c r="D1834">
        <f>D1833-0.1*B1834+0</f>
        <v/>
      </c>
      <c r="E1834">
        <f>Parameters!$B$25</f>
        <v/>
      </c>
    </row>
    <row r="1835">
      <c r="A1835" t="n">
        <v>183.3</v>
      </c>
      <c r="B1835">
        <f>IF(A1835&gt;162.1,Parameters!$B$5,Parameters!$B$4)</f>
        <v/>
      </c>
      <c r="C1835">
        <f>C1834-0.1*B1835+0</f>
        <v/>
      </c>
      <c r="D1835">
        <f>D1834-0.1*B1835+0</f>
        <v/>
      </c>
      <c r="E1835">
        <f>Parameters!$B$25</f>
        <v/>
      </c>
    </row>
    <row r="1836">
      <c r="A1836" t="n">
        <v>183.4</v>
      </c>
      <c r="B1836">
        <f>IF(A1836&gt;162.1,Parameters!$B$5,Parameters!$B$4)</f>
        <v/>
      </c>
      <c r="C1836">
        <f>C1835-0.1*B1836+0</f>
        <v/>
      </c>
      <c r="D1836">
        <f>D1835-0.1*B1836+0</f>
        <v/>
      </c>
      <c r="E1836">
        <f>Parameters!$B$25</f>
        <v/>
      </c>
    </row>
    <row r="1837">
      <c r="A1837" t="n">
        <v>183.5</v>
      </c>
      <c r="B1837">
        <f>IF(A1837&gt;162.1,Parameters!$B$5,Parameters!$B$4)</f>
        <v/>
      </c>
      <c r="C1837">
        <f>C1836-0.1*B1837+0</f>
        <v/>
      </c>
      <c r="D1837">
        <f>D1836-0.1*B1837+0</f>
        <v/>
      </c>
      <c r="E1837">
        <f>Parameters!$B$25</f>
        <v/>
      </c>
    </row>
    <row r="1838">
      <c r="A1838" t="n">
        <v>183.6</v>
      </c>
      <c r="B1838">
        <f>IF(A1838&gt;162.1,Parameters!$B$5,Parameters!$B$4)</f>
        <v/>
      </c>
      <c r="C1838">
        <f>C1837-0.1*B1838+0</f>
        <v/>
      </c>
      <c r="D1838">
        <f>D1837-0.1*B1838+0</f>
        <v/>
      </c>
      <c r="E1838">
        <f>Parameters!$B$25</f>
        <v/>
      </c>
    </row>
    <row r="1839">
      <c r="A1839" t="n">
        <v>183.7</v>
      </c>
      <c r="B1839">
        <f>IF(A1839&gt;162.1,Parameters!$B$5,Parameters!$B$4)</f>
        <v/>
      </c>
      <c r="C1839">
        <f>C1838-0.1*B1839+0</f>
        <v/>
      </c>
      <c r="D1839">
        <f>D1838-0.1*B1839+0</f>
        <v/>
      </c>
      <c r="E1839">
        <f>Parameters!$B$25</f>
        <v/>
      </c>
    </row>
    <row r="1840">
      <c r="A1840" t="n">
        <v>183.8</v>
      </c>
      <c r="B1840">
        <f>IF(A1840&gt;162.1,Parameters!$B$5,Parameters!$B$4)</f>
        <v/>
      </c>
      <c r="C1840">
        <f>C1839-0.1*B1840+0</f>
        <v/>
      </c>
      <c r="D1840">
        <f>D1839-0.1*B1840+0</f>
        <v/>
      </c>
      <c r="E1840">
        <f>Parameters!$B$25</f>
        <v/>
      </c>
    </row>
    <row r="1841">
      <c r="A1841" t="n">
        <v>183.9</v>
      </c>
      <c r="B1841">
        <f>IF(A1841&gt;162.1,Parameters!$B$5,Parameters!$B$4)</f>
        <v/>
      </c>
      <c r="C1841">
        <f>C1840-0.1*B1841+0</f>
        <v/>
      </c>
      <c r="D1841">
        <f>D1840-0.1*B1841+0</f>
        <v/>
      </c>
      <c r="E1841">
        <f>Parameters!$B$25</f>
        <v/>
      </c>
    </row>
    <row r="1842">
      <c r="A1842" t="n">
        <v>184</v>
      </c>
      <c r="B1842">
        <f>IF(A1842&gt;162.1,Parameters!$B$5,Parameters!$B$4)</f>
        <v/>
      </c>
      <c r="C1842">
        <f>C1841-0.1*B1842+0</f>
        <v/>
      </c>
      <c r="D1842">
        <f>D1841-0.1*B1842+0</f>
        <v/>
      </c>
      <c r="E1842">
        <f>Parameters!$B$25</f>
        <v/>
      </c>
    </row>
    <row r="1843">
      <c r="A1843" t="n">
        <v>184.1</v>
      </c>
      <c r="B1843">
        <f>IF(A1843&gt;162.1,Parameters!$B$5,Parameters!$B$4)</f>
        <v/>
      </c>
      <c r="C1843">
        <f>C1842-0.1*B1843+0</f>
        <v/>
      </c>
      <c r="D1843">
        <f>D1842-0.1*B1843+0</f>
        <v/>
      </c>
      <c r="E1843">
        <f>Parameters!$B$25</f>
        <v/>
      </c>
    </row>
    <row r="1844">
      <c r="A1844" t="n">
        <v>184.2</v>
      </c>
      <c r="B1844">
        <f>IF(A1844&gt;162.1,Parameters!$B$5,Parameters!$B$4)</f>
        <v/>
      </c>
      <c r="C1844">
        <f>C1843-0.1*B1844+0</f>
        <v/>
      </c>
      <c r="D1844">
        <f>D1843-0.1*B1844+0</f>
        <v/>
      </c>
      <c r="E1844">
        <f>Parameters!$B$25</f>
        <v/>
      </c>
    </row>
    <row r="1845">
      <c r="A1845" t="n">
        <v>184.3</v>
      </c>
      <c r="B1845">
        <f>IF(A1845&gt;162.1,Parameters!$B$5,Parameters!$B$4)</f>
        <v/>
      </c>
      <c r="C1845">
        <f>C1844-0.1*B1845+0</f>
        <v/>
      </c>
      <c r="D1845">
        <f>D1844-0.1*B1845+0</f>
        <v/>
      </c>
      <c r="E1845">
        <f>Parameters!$B$25</f>
        <v/>
      </c>
    </row>
    <row r="1846">
      <c r="A1846" t="n">
        <v>184.4</v>
      </c>
      <c r="B1846">
        <f>IF(A1846&gt;162.1,Parameters!$B$5,Parameters!$B$4)</f>
        <v/>
      </c>
      <c r="C1846">
        <f>C1845-0.1*B1846+0</f>
        <v/>
      </c>
      <c r="D1846">
        <f>D1845-0.1*B1846+0</f>
        <v/>
      </c>
      <c r="E1846">
        <f>Parameters!$B$25</f>
        <v/>
      </c>
    </row>
    <row r="1847">
      <c r="A1847" t="n">
        <v>184.5</v>
      </c>
      <c r="B1847">
        <f>IF(A1847&gt;162.1,Parameters!$B$5,Parameters!$B$4)</f>
        <v/>
      </c>
      <c r="C1847">
        <f>C1846-0.1*B1847+0</f>
        <v/>
      </c>
      <c r="D1847">
        <f>D1846-0.1*B1847+0</f>
        <v/>
      </c>
      <c r="E1847">
        <f>Parameters!$B$25</f>
        <v/>
      </c>
    </row>
    <row r="1848">
      <c r="A1848" t="n">
        <v>184.6</v>
      </c>
      <c r="B1848">
        <f>IF(A1848&gt;162.1,Parameters!$B$5,Parameters!$B$4)</f>
        <v/>
      </c>
      <c r="C1848">
        <f>C1847-0.1*B1848+0</f>
        <v/>
      </c>
      <c r="D1848">
        <f>D1847-0.1*B1848+0</f>
        <v/>
      </c>
      <c r="E1848">
        <f>Parameters!$B$25</f>
        <v/>
      </c>
    </row>
    <row r="1849">
      <c r="A1849" t="n">
        <v>184.7</v>
      </c>
      <c r="B1849">
        <f>IF(A1849&gt;162.1,Parameters!$B$5,Parameters!$B$4)</f>
        <v/>
      </c>
      <c r="C1849">
        <f>C1848-0.1*B1849+0</f>
        <v/>
      </c>
      <c r="D1849">
        <f>D1848-0.1*B1849+0</f>
        <v/>
      </c>
      <c r="E1849">
        <f>Parameters!$B$25</f>
        <v/>
      </c>
    </row>
    <row r="1850">
      <c r="A1850" t="n">
        <v>184.8</v>
      </c>
      <c r="B1850">
        <f>IF(A1850&gt;162.1,Parameters!$B$5,Parameters!$B$4)</f>
        <v/>
      </c>
      <c r="C1850">
        <f>C1849-0.1*B1850+0</f>
        <v/>
      </c>
      <c r="D1850">
        <f>D1849-0.1*B1850+0</f>
        <v/>
      </c>
      <c r="E1850">
        <f>Parameters!$B$25</f>
        <v/>
      </c>
    </row>
    <row r="1851">
      <c r="A1851" t="n">
        <v>184.9</v>
      </c>
      <c r="B1851">
        <f>IF(A1851&gt;162.1,Parameters!$B$5,Parameters!$B$4)</f>
        <v/>
      </c>
      <c r="C1851">
        <f>C1850-0.1*B1851+0</f>
        <v/>
      </c>
      <c r="D1851">
        <f>D1850-0.1*B1851+0</f>
        <v/>
      </c>
      <c r="E1851">
        <f>Parameters!$B$25</f>
        <v/>
      </c>
    </row>
    <row r="1852">
      <c r="A1852" t="n">
        <v>185</v>
      </c>
      <c r="B1852">
        <f>IF(A1852&gt;162.1,Parameters!$B$5,Parameters!$B$4)</f>
        <v/>
      </c>
      <c r="C1852">
        <f>C1851-0.1*B1852+0</f>
        <v/>
      </c>
      <c r="D1852">
        <f>D1851-0.1*B1852+0</f>
        <v/>
      </c>
      <c r="E1852">
        <f>Parameters!$B$25</f>
        <v/>
      </c>
    </row>
    <row r="1853">
      <c r="A1853" t="n">
        <v>185.1</v>
      </c>
      <c r="B1853">
        <f>IF(A1853&gt;162.1,Parameters!$B$5,Parameters!$B$4)</f>
        <v/>
      </c>
      <c r="C1853">
        <f>C1852-0.1*B1853+0</f>
        <v/>
      </c>
      <c r="D1853">
        <f>D1852-0.1*B1853+0</f>
        <v/>
      </c>
      <c r="E1853">
        <f>Parameters!$B$25</f>
        <v/>
      </c>
    </row>
    <row r="1854">
      <c r="A1854" t="n">
        <v>185.2</v>
      </c>
      <c r="B1854">
        <f>IF(A1854&gt;162.1,Parameters!$B$5,Parameters!$B$4)</f>
        <v/>
      </c>
      <c r="C1854">
        <f>C1853-0.1*B1854+0</f>
        <v/>
      </c>
      <c r="D1854">
        <f>D1853-0.1*B1854+0</f>
        <v/>
      </c>
      <c r="E1854">
        <f>Parameters!$B$25</f>
        <v/>
      </c>
    </row>
    <row r="1855">
      <c r="A1855" t="n">
        <v>185.3</v>
      </c>
      <c r="B1855">
        <f>IF(A1855&gt;162.1,Parameters!$B$5,Parameters!$B$4)</f>
        <v/>
      </c>
      <c r="C1855">
        <f>C1854-0.1*B1855+0</f>
        <v/>
      </c>
      <c r="D1855">
        <f>D1854-0.1*B1855+0</f>
        <v/>
      </c>
      <c r="E1855">
        <f>Parameters!$B$25</f>
        <v/>
      </c>
    </row>
    <row r="1856">
      <c r="A1856" t="n">
        <v>185.4</v>
      </c>
      <c r="B1856">
        <f>IF(A1856&gt;162.1,Parameters!$B$5,Parameters!$B$4)</f>
        <v/>
      </c>
      <c r="C1856">
        <f>C1855-0.1*B1856+0</f>
        <v/>
      </c>
      <c r="D1856">
        <f>D1855-0.1*B1856+0</f>
        <v/>
      </c>
      <c r="E1856">
        <f>Parameters!$B$25</f>
        <v/>
      </c>
    </row>
    <row r="1857">
      <c r="A1857" t="n">
        <v>185.5</v>
      </c>
      <c r="B1857">
        <f>IF(A1857&gt;162.1,Parameters!$B$5,Parameters!$B$4)</f>
        <v/>
      </c>
      <c r="C1857">
        <f>C1856-0.1*B1857+0</f>
        <v/>
      </c>
      <c r="D1857">
        <f>D1856-0.1*B1857+0</f>
        <v/>
      </c>
      <c r="E1857">
        <f>Parameters!$B$25</f>
        <v/>
      </c>
    </row>
    <row r="1858">
      <c r="A1858" t="n">
        <v>185.6</v>
      </c>
      <c r="B1858">
        <f>IF(A1858&gt;162.1,Parameters!$B$5,Parameters!$B$4)</f>
        <v/>
      </c>
      <c r="C1858">
        <f>C1857-0.1*B1858+0</f>
        <v/>
      </c>
      <c r="D1858">
        <f>D1857-0.1*B1858+0</f>
        <v/>
      </c>
      <c r="E1858">
        <f>Parameters!$B$25</f>
        <v/>
      </c>
    </row>
    <row r="1859">
      <c r="A1859" t="n">
        <v>185.7</v>
      </c>
      <c r="B1859">
        <f>IF(A1859&gt;162.1,Parameters!$B$5,Parameters!$B$4)</f>
        <v/>
      </c>
      <c r="C1859">
        <f>C1858-0.1*B1859+0</f>
        <v/>
      </c>
      <c r="D1859">
        <f>D1858-0.1*B1859+0</f>
        <v/>
      </c>
      <c r="E1859">
        <f>Parameters!$B$25</f>
        <v/>
      </c>
    </row>
    <row r="1860">
      <c r="A1860" t="n">
        <v>185.8</v>
      </c>
      <c r="B1860">
        <f>IF(A1860&gt;162.1,Parameters!$B$5,Parameters!$B$4)</f>
        <v/>
      </c>
      <c r="C1860">
        <f>C1859-0.1*B1860+0</f>
        <v/>
      </c>
      <c r="D1860">
        <f>D1859-0.1*B1860+0</f>
        <v/>
      </c>
      <c r="E1860">
        <f>Parameters!$B$25</f>
        <v/>
      </c>
    </row>
    <row r="1861">
      <c r="A1861" t="n">
        <v>185.9</v>
      </c>
      <c r="B1861">
        <f>IF(A1861&gt;162.1,Parameters!$B$5,Parameters!$B$4)</f>
        <v/>
      </c>
      <c r="C1861">
        <f>C1860-0.1*B1861+0</f>
        <v/>
      </c>
      <c r="D1861">
        <f>D1860-0.1*B1861+0</f>
        <v/>
      </c>
      <c r="E1861">
        <f>Parameters!$B$25</f>
        <v/>
      </c>
    </row>
    <row r="1862">
      <c r="A1862" t="n">
        <v>186</v>
      </c>
      <c r="B1862">
        <f>IF(A1862&gt;162.1,Parameters!$B$5,Parameters!$B$4)</f>
        <v/>
      </c>
      <c r="C1862">
        <f>C1861-0.1*B1862+0</f>
        <v/>
      </c>
      <c r="D1862">
        <f>D1861-0.1*B1862+0</f>
        <v/>
      </c>
      <c r="E1862">
        <f>Parameters!$B$25</f>
        <v/>
      </c>
    </row>
    <row r="1863">
      <c r="A1863" t="n">
        <v>186.1</v>
      </c>
      <c r="B1863">
        <f>IF(A1863&gt;162.1,Parameters!$B$5,Parameters!$B$4)</f>
        <v/>
      </c>
      <c r="C1863">
        <f>C1862-0.1*B1863+0</f>
        <v/>
      </c>
      <c r="D1863">
        <f>D1862-0.1*B1863+0</f>
        <v/>
      </c>
      <c r="E1863">
        <f>Parameters!$B$25</f>
        <v/>
      </c>
    </row>
    <row r="1864">
      <c r="A1864" t="n">
        <v>186.2</v>
      </c>
      <c r="B1864">
        <f>IF(A1864&gt;162.1,Parameters!$B$5,Parameters!$B$4)</f>
        <v/>
      </c>
      <c r="C1864">
        <f>C1863-0.1*B1864+0</f>
        <v/>
      </c>
      <c r="D1864">
        <f>D1863-0.1*B1864+0</f>
        <v/>
      </c>
      <c r="E1864">
        <f>Parameters!$B$25</f>
        <v/>
      </c>
    </row>
    <row r="1865">
      <c r="A1865" t="n">
        <v>186.3</v>
      </c>
      <c r="B1865">
        <f>IF(A1865&gt;162.1,Parameters!$B$5,Parameters!$B$4)</f>
        <v/>
      </c>
      <c r="C1865">
        <f>C1864-0.1*B1865+0</f>
        <v/>
      </c>
      <c r="D1865">
        <f>D1864-0.1*B1865+0</f>
        <v/>
      </c>
      <c r="E1865">
        <f>Parameters!$B$25</f>
        <v/>
      </c>
    </row>
    <row r="1866">
      <c r="A1866" t="n">
        <v>186.4</v>
      </c>
      <c r="B1866">
        <f>IF(A1866&gt;162.1,Parameters!$B$5,Parameters!$B$4)</f>
        <v/>
      </c>
      <c r="C1866">
        <f>C1865-0.1*B1866+0</f>
        <v/>
      </c>
      <c r="D1866">
        <f>D1865-0.1*B1866+0</f>
        <v/>
      </c>
      <c r="E1866">
        <f>Parameters!$B$25</f>
        <v/>
      </c>
    </row>
    <row r="1867">
      <c r="A1867" t="n">
        <v>186.5</v>
      </c>
      <c r="B1867">
        <f>IF(A1867&gt;162.1,Parameters!$B$5,Parameters!$B$4)</f>
        <v/>
      </c>
      <c r="C1867">
        <f>C1866-0.1*B1867+0</f>
        <v/>
      </c>
      <c r="D1867">
        <f>D1866-0.1*B1867+0</f>
        <v/>
      </c>
      <c r="E1867">
        <f>Parameters!$B$25</f>
        <v/>
      </c>
    </row>
    <row r="1868">
      <c r="A1868" t="n">
        <v>186.6</v>
      </c>
      <c r="B1868">
        <f>IF(A1868&gt;162.1,Parameters!$B$5,Parameters!$B$4)</f>
        <v/>
      </c>
      <c r="C1868">
        <f>C1867-0.1*B1868+0</f>
        <v/>
      </c>
      <c r="D1868">
        <f>D1867-0.1*B1868+0</f>
        <v/>
      </c>
      <c r="E1868">
        <f>Parameters!$B$25</f>
        <v/>
      </c>
    </row>
    <row r="1869">
      <c r="A1869" t="n">
        <v>186.7</v>
      </c>
      <c r="B1869">
        <f>IF(A1869&gt;162.1,Parameters!$B$5,Parameters!$B$4)</f>
        <v/>
      </c>
      <c r="C1869">
        <f>C1868-0.1*B1869+0</f>
        <v/>
      </c>
      <c r="D1869">
        <f>D1868-0.1*B1869+0</f>
        <v/>
      </c>
      <c r="E1869">
        <f>Parameters!$B$25</f>
        <v/>
      </c>
    </row>
    <row r="1870">
      <c r="A1870" t="n">
        <v>186.8</v>
      </c>
      <c r="B1870">
        <f>IF(A1870&gt;162.1,Parameters!$B$5,Parameters!$B$4)</f>
        <v/>
      </c>
      <c r="C1870">
        <f>C1869-0.1*B1870+0</f>
        <v/>
      </c>
      <c r="D1870">
        <f>D1869-0.1*B1870+0</f>
        <v/>
      </c>
      <c r="E1870">
        <f>Parameters!$B$25</f>
        <v/>
      </c>
    </row>
    <row r="1871">
      <c r="A1871" t="n">
        <v>186.9</v>
      </c>
      <c r="B1871">
        <f>IF(A1871&gt;162.1,Parameters!$B$5,Parameters!$B$4)</f>
        <v/>
      </c>
      <c r="C1871">
        <f>C1870-0.1*B1871+0</f>
        <v/>
      </c>
      <c r="D1871">
        <f>D1870-0.1*B1871+0</f>
        <v/>
      </c>
      <c r="E1871">
        <f>Parameters!$B$25</f>
        <v/>
      </c>
    </row>
    <row r="1872">
      <c r="A1872" t="n">
        <v>187</v>
      </c>
      <c r="B1872">
        <f>IF(A1872&gt;162.1,Parameters!$B$5,Parameters!$B$4)</f>
        <v/>
      </c>
      <c r="C1872">
        <f>C1871-0.1*B1872+0</f>
        <v/>
      </c>
      <c r="D1872">
        <f>D1871-0.1*B1872+0</f>
        <v/>
      </c>
      <c r="E1872">
        <f>Parameters!$B$25</f>
        <v/>
      </c>
    </row>
    <row r="1873">
      <c r="A1873" t="n">
        <v>187.1</v>
      </c>
      <c r="B1873">
        <f>IF(A1873&gt;162.1,Parameters!$B$5,Parameters!$B$4)</f>
        <v/>
      </c>
      <c r="C1873">
        <f>C1872-0.1*B1873+0</f>
        <v/>
      </c>
      <c r="D1873">
        <f>D1872-0.1*B1873+0</f>
        <v/>
      </c>
      <c r="E1873">
        <f>Parameters!$B$25</f>
        <v/>
      </c>
    </row>
    <row r="1874">
      <c r="A1874" t="n">
        <v>187.2</v>
      </c>
      <c r="B1874">
        <f>IF(A1874&gt;162.1,Parameters!$B$5,Parameters!$B$4)</f>
        <v/>
      </c>
      <c r="C1874">
        <f>C1873-0.1*B1874+0</f>
        <v/>
      </c>
      <c r="D1874">
        <f>D1873-0.1*B1874+0</f>
        <v/>
      </c>
      <c r="E1874">
        <f>Parameters!$B$25</f>
        <v/>
      </c>
    </row>
    <row r="1875">
      <c r="A1875" t="n">
        <v>187.3</v>
      </c>
      <c r="B1875">
        <f>IF(A1875&gt;162.1,Parameters!$B$5,Parameters!$B$4)</f>
        <v/>
      </c>
      <c r="C1875">
        <f>C1874-0.1*B1875+0</f>
        <v/>
      </c>
      <c r="D1875">
        <f>D1874-0.1*B1875+0</f>
        <v/>
      </c>
      <c r="E1875">
        <f>Parameters!$B$25</f>
        <v/>
      </c>
    </row>
    <row r="1876">
      <c r="A1876" t="n">
        <v>187.4</v>
      </c>
      <c r="B1876">
        <f>IF(A1876&gt;162.1,Parameters!$B$5,Parameters!$B$4)</f>
        <v/>
      </c>
      <c r="C1876">
        <f>C1875-0.1*B1876+0</f>
        <v/>
      </c>
      <c r="D1876">
        <f>D1875-0.1*B1876+0</f>
        <v/>
      </c>
      <c r="E1876">
        <f>Parameters!$B$25</f>
        <v/>
      </c>
    </row>
    <row r="1877">
      <c r="A1877" t="n">
        <v>187.5</v>
      </c>
      <c r="B1877">
        <f>IF(A1877&gt;162.1,Parameters!$B$5,Parameters!$B$4)</f>
        <v/>
      </c>
      <c r="C1877">
        <f>C1876-0.1*B1877+0</f>
        <v/>
      </c>
      <c r="D1877">
        <f>D1876-0.1*B1877+0</f>
        <v/>
      </c>
      <c r="E1877">
        <f>Parameters!$B$25</f>
        <v/>
      </c>
    </row>
    <row r="1878">
      <c r="A1878" t="n">
        <v>187.6</v>
      </c>
      <c r="B1878">
        <f>IF(A1878&gt;162.1,Parameters!$B$5,Parameters!$B$4)</f>
        <v/>
      </c>
      <c r="C1878">
        <f>C1877-0.1*B1878+0</f>
        <v/>
      </c>
      <c r="D1878">
        <f>D1877-0.1*B1878+0</f>
        <v/>
      </c>
      <c r="E1878">
        <f>Parameters!$B$25</f>
        <v/>
      </c>
    </row>
    <row r="1879">
      <c r="A1879" t="n">
        <v>187.7</v>
      </c>
      <c r="B1879">
        <f>IF(A1879&gt;162.1,Parameters!$B$5,Parameters!$B$4)</f>
        <v/>
      </c>
      <c r="C1879">
        <f>C1878-0.1*B1879+0</f>
        <v/>
      </c>
      <c r="D1879">
        <f>D1878-0.1*B1879+0</f>
        <v/>
      </c>
      <c r="E1879">
        <f>Parameters!$B$25</f>
        <v/>
      </c>
    </row>
    <row r="1880">
      <c r="A1880" t="n">
        <v>187.8</v>
      </c>
      <c r="B1880">
        <f>IF(A1880&gt;162.1,Parameters!$B$5,Parameters!$B$4)</f>
        <v/>
      </c>
      <c r="C1880">
        <f>C1879-0.1*B1880+0</f>
        <v/>
      </c>
      <c r="D1880">
        <f>D1879-0.1*B1880+0</f>
        <v/>
      </c>
      <c r="E1880">
        <f>Parameters!$B$25</f>
        <v/>
      </c>
    </row>
    <row r="1881">
      <c r="A1881" t="n">
        <v>187.9</v>
      </c>
      <c r="B1881">
        <f>IF(A1881&gt;162.1,Parameters!$B$5,Parameters!$B$4)</f>
        <v/>
      </c>
      <c r="C1881">
        <f>C1880-0.1*B1881+0</f>
        <v/>
      </c>
      <c r="D1881">
        <f>D1880-0.1*B1881+0</f>
        <v/>
      </c>
      <c r="E1881">
        <f>Parameters!$B$25</f>
        <v/>
      </c>
    </row>
    <row r="1882">
      <c r="A1882" t="n">
        <v>188</v>
      </c>
      <c r="B1882">
        <f>IF(A1882&gt;162.1,Parameters!$B$5,Parameters!$B$4)</f>
        <v/>
      </c>
      <c r="C1882">
        <f>C1881-0.1*B1882+0</f>
        <v/>
      </c>
      <c r="D1882">
        <f>D1881-0.1*B1882+0</f>
        <v/>
      </c>
      <c r="E1882">
        <f>Parameters!$B$25</f>
        <v/>
      </c>
    </row>
    <row r="1883">
      <c r="A1883" t="n">
        <v>188.1</v>
      </c>
      <c r="B1883">
        <f>IF(A1883&gt;162.1,Parameters!$B$5,Parameters!$B$4)</f>
        <v/>
      </c>
      <c r="C1883">
        <f>C1882-0.1*B1883+0</f>
        <v/>
      </c>
      <c r="D1883">
        <f>D1882-0.1*B1883+0</f>
        <v/>
      </c>
      <c r="E1883">
        <f>Parameters!$B$25</f>
        <v/>
      </c>
    </row>
    <row r="1884">
      <c r="A1884" t="n">
        <v>188.2</v>
      </c>
      <c r="B1884">
        <f>IF(A1884&gt;162.1,Parameters!$B$5,Parameters!$B$4)</f>
        <v/>
      </c>
      <c r="C1884">
        <f>C1883-0.1*B1884+0</f>
        <v/>
      </c>
      <c r="D1884">
        <f>D1883-0.1*B1884+0</f>
        <v/>
      </c>
      <c r="E1884">
        <f>Parameters!$B$25</f>
        <v/>
      </c>
    </row>
    <row r="1885">
      <c r="A1885" t="n">
        <v>188.3</v>
      </c>
      <c r="B1885">
        <f>IF(A1885&gt;162.1,Parameters!$B$5,Parameters!$B$4)</f>
        <v/>
      </c>
      <c r="C1885">
        <f>C1884-0.1*B1885+0</f>
        <v/>
      </c>
      <c r="D1885">
        <f>D1884-0.1*B1885+0</f>
        <v/>
      </c>
      <c r="E1885">
        <f>Parameters!$B$25</f>
        <v/>
      </c>
    </row>
    <row r="1886">
      <c r="A1886" t="n">
        <v>188.4</v>
      </c>
      <c r="B1886">
        <f>IF(A1886&gt;162.1,Parameters!$B$5,Parameters!$B$4)</f>
        <v/>
      </c>
      <c r="C1886">
        <f>C1885-0.1*B1886+0</f>
        <v/>
      </c>
      <c r="D1886">
        <f>D1885-0.1*B1886+0</f>
        <v/>
      </c>
      <c r="E1886">
        <f>Parameters!$B$25</f>
        <v/>
      </c>
    </row>
    <row r="1887">
      <c r="A1887" t="n">
        <v>188.5</v>
      </c>
      <c r="B1887">
        <f>IF(A1887&gt;162.1,Parameters!$B$5,Parameters!$B$4)</f>
        <v/>
      </c>
      <c r="C1887">
        <f>C1886-0.1*B1887+0</f>
        <v/>
      </c>
      <c r="D1887">
        <f>D1886-0.1*B1887+0</f>
        <v/>
      </c>
      <c r="E1887">
        <f>Parameters!$B$25</f>
        <v/>
      </c>
    </row>
    <row r="1888">
      <c r="A1888" t="n">
        <v>188.6</v>
      </c>
      <c r="B1888">
        <f>IF(A1888&gt;162.1,Parameters!$B$5,Parameters!$B$4)</f>
        <v/>
      </c>
      <c r="C1888">
        <f>C1887-0.1*B1888+0</f>
        <v/>
      </c>
      <c r="D1888">
        <f>D1887-0.1*B1888+0</f>
        <v/>
      </c>
      <c r="E1888">
        <f>Parameters!$B$25</f>
        <v/>
      </c>
    </row>
    <row r="1889">
      <c r="A1889" t="n">
        <v>188.7</v>
      </c>
      <c r="B1889">
        <f>IF(A1889&gt;162.1,Parameters!$B$5,Parameters!$B$4)</f>
        <v/>
      </c>
      <c r="C1889">
        <f>C1888-0.1*B1889+0</f>
        <v/>
      </c>
      <c r="D1889">
        <f>D1888-0.1*B1889+0</f>
        <v/>
      </c>
      <c r="E1889">
        <f>Parameters!$B$25</f>
        <v/>
      </c>
    </row>
    <row r="1890">
      <c r="A1890" t="n">
        <v>188.8</v>
      </c>
      <c r="B1890">
        <f>IF(A1890&gt;162.1,Parameters!$B$5,Parameters!$B$4)</f>
        <v/>
      </c>
      <c r="C1890">
        <f>C1889-0.1*B1890+0</f>
        <v/>
      </c>
      <c r="D1890">
        <f>D1889-0.1*B1890+0</f>
        <v/>
      </c>
      <c r="E1890">
        <f>Parameters!$B$25</f>
        <v/>
      </c>
    </row>
    <row r="1891">
      <c r="A1891" t="n">
        <v>188.9</v>
      </c>
      <c r="B1891">
        <f>IF(A1891&gt;162.1,Parameters!$B$5,Parameters!$B$4)</f>
        <v/>
      </c>
      <c r="C1891">
        <f>C1890-0.1*B1891+0</f>
        <v/>
      </c>
      <c r="D1891">
        <f>D1890-0.1*B1891+0</f>
        <v/>
      </c>
      <c r="E1891">
        <f>Parameters!$B$25</f>
        <v/>
      </c>
    </row>
    <row r="1892">
      <c r="A1892" t="n">
        <v>189</v>
      </c>
      <c r="B1892">
        <f>IF(A1892&gt;162.1,Parameters!$B$5,Parameters!$B$4)</f>
        <v/>
      </c>
      <c r="C1892">
        <f>C1891-0.1*B1892+0</f>
        <v/>
      </c>
      <c r="D1892">
        <f>D1891-0.1*B1892+0</f>
        <v/>
      </c>
      <c r="E1892">
        <f>Parameters!$B$25</f>
        <v/>
      </c>
    </row>
    <row r="1893">
      <c r="A1893" t="n">
        <v>189.1</v>
      </c>
      <c r="B1893">
        <f>IF(A1893&gt;162.1,Parameters!$B$5,Parameters!$B$4)</f>
        <v/>
      </c>
      <c r="C1893">
        <f>C1892-0.1*B1893+0</f>
        <v/>
      </c>
      <c r="D1893">
        <f>D1892-0.1*B1893+0</f>
        <v/>
      </c>
      <c r="E1893">
        <f>Parameters!$B$25</f>
        <v/>
      </c>
    </row>
    <row r="1894">
      <c r="A1894" t="n">
        <v>189.2</v>
      </c>
      <c r="B1894">
        <f>IF(A1894&gt;162.1,Parameters!$B$5,Parameters!$B$4)</f>
        <v/>
      </c>
      <c r="C1894">
        <f>C1893-0.1*B1894+0</f>
        <v/>
      </c>
      <c r="D1894">
        <f>D1893-0.1*B1894+0</f>
        <v/>
      </c>
      <c r="E1894">
        <f>Parameters!$B$25</f>
        <v/>
      </c>
    </row>
    <row r="1895">
      <c r="A1895" t="n">
        <v>189.3</v>
      </c>
      <c r="B1895">
        <f>IF(A1895&gt;162.1,Parameters!$B$5,Parameters!$B$4)</f>
        <v/>
      </c>
      <c r="C1895">
        <f>C1894-0.1*B1895+0</f>
        <v/>
      </c>
      <c r="D1895">
        <f>D1894-0.1*B1895+0</f>
        <v/>
      </c>
      <c r="E1895">
        <f>Parameters!$B$25</f>
        <v/>
      </c>
    </row>
    <row r="1896">
      <c r="A1896" t="n">
        <v>189.4</v>
      </c>
      <c r="B1896">
        <f>IF(A1896&gt;162.1,Parameters!$B$5,Parameters!$B$4)</f>
        <v/>
      </c>
      <c r="C1896">
        <f>C1895-0.1*B1896+0</f>
        <v/>
      </c>
      <c r="D1896">
        <f>D1895-0.1*B1896+0</f>
        <v/>
      </c>
      <c r="E1896">
        <f>Parameters!$B$25</f>
        <v/>
      </c>
    </row>
    <row r="1897">
      <c r="A1897" t="n">
        <v>189.5</v>
      </c>
      <c r="B1897">
        <f>IF(A1897&gt;162.1,Parameters!$B$5,Parameters!$B$4)</f>
        <v/>
      </c>
      <c r="C1897">
        <f>C1896-0.1*B1897+0</f>
        <v/>
      </c>
      <c r="D1897">
        <f>D1896-0.1*B1897+0</f>
        <v/>
      </c>
      <c r="E1897">
        <f>Parameters!$B$25</f>
        <v/>
      </c>
    </row>
    <row r="1898">
      <c r="A1898" t="n">
        <v>189.6</v>
      </c>
      <c r="B1898">
        <f>IF(A1898&gt;162.1,Parameters!$B$5,Parameters!$B$4)</f>
        <v/>
      </c>
      <c r="C1898">
        <f>C1897-0.1*B1898+0</f>
        <v/>
      </c>
      <c r="D1898">
        <f>D1897-0.1*B1898+0</f>
        <v/>
      </c>
      <c r="E1898">
        <f>Parameters!$B$25</f>
        <v/>
      </c>
    </row>
    <row r="1899">
      <c r="A1899" t="n">
        <v>189.7</v>
      </c>
      <c r="B1899">
        <f>IF(A1899&gt;162.1,Parameters!$B$5,Parameters!$B$4)</f>
        <v/>
      </c>
      <c r="C1899">
        <f>C1898-0.1*B1899+0</f>
        <v/>
      </c>
      <c r="D1899">
        <f>D1898-0.1*B1899+0</f>
        <v/>
      </c>
      <c r="E1899">
        <f>Parameters!$B$25</f>
        <v/>
      </c>
    </row>
    <row r="1900">
      <c r="A1900" t="n">
        <v>189.8</v>
      </c>
      <c r="B1900">
        <f>IF(A1900&gt;162.1,Parameters!$B$5,Parameters!$B$4)</f>
        <v/>
      </c>
      <c r="C1900">
        <f>C1899-0.1*B1900+0</f>
        <v/>
      </c>
      <c r="D1900">
        <f>D1899-0.1*B1900+0</f>
        <v/>
      </c>
      <c r="E1900">
        <f>Parameters!$B$25</f>
        <v/>
      </c>
    </row>
    <row r="1901">
      <c r="A1901" t="n">
        <v>189.9</v>
      </c>
      <c r="B1901">
        <f>IF(A1901&gt;162.1,Parameters!$B$5,Parameters!$B$4)</f>
        <v/>
      </c>
      <c r="C1901">
        <f>C1900-0.1*B1901+0</f>
        <v/>
      </c>
      <c r="D1901">
        <f>D1900-0.1*B1901+0</f>
        <v/>
      </c>
      <c r="E1901">
        <f>Parameters!$B$25</f>
        <v/>
      </c>
    </row>
    <row r="1902">
      <c r="A1902" t="n">
        <v>190</v>
      </c>
      <c r="B1902">
        <f>IF(A1902&gt;162.1,Parameters!$B$5,Parameters!$B$4)</f>
        <v/>
      </c>
      <c r="C1902">
        <f>C1901-0.1*B1902+0</f>
        <v/>
      </c>
      <c r="D1902">
        <f>D1901-0.1*B1902+0</f>
        <v/>
      </c>
      <c r="E1902">
        <f>Parameters!$B$25</f>
        <v/>
      </c>
    </row>
    <row r="1903">
      <c r="A1903" t="n">
        <v>190.1</v>
      </c>
      <c r="B1903">
        <f>IF(A1903&gt;162.1,Parameters!$B$5,Parameters!$B$4)</f>
        <v/>
      </c>
      <c r="C1903">
        <f>C1902-0.1*B1903+0</f>
        <v/>
      </c>
      <c r="D1903">
        <f>D1902-0.1*B1903+0</f>
        <v/>
      </c>
      <c r="E1903">
        <f>Parameters!$B$25</f>
        <v/>
      </c>
    </row>
    <row r="1904">
      <c r="A1904" t="n">
        <v>190.2</v>
      </c>
      <c r="B1904">
        <f>IF(A1904&gt;162.1,Parameters!$B$5,Parameters!$B$4)</f>
        <v/>
      </c>
      <c r="C1904">
        <f>C1903-0.1*B1904+0</f>
        <v/>
      </c>
      <c r="D1904">
        <f>D1903-0.1*B1904+0</f>
        <v/>
      </c>
      <c r="E1904">
        <f>Parameters!$B$25</f>
        <v/>
      </c>
    </row>
    <row r="1905">
      <c r="A1905" t="n">
        <v>190.3</v>
      </c>
      <c r="B1905">
        <f>IF(A1905&gt;162.1,Parameters!$B$5,Parameters!$B$4)</f>
        <v/>
      </c>
      <c r="C1905">
        <f>C1904-0.1*B1905+0</f>
        <v/>
      </c>
      <c r="D1905">
        <f>D1904-0.1*B1905+0</f>
        <v/>
      </c>
      <c r="E1905">
        <f>Parameters!$B$25</f>
        <v/>
      </c>
    </row>
    <row r="1906">
      <c r="A1906" t="n">
        <v>190.4</v>
      </c>
      <c r="B1906">
        <f>IF(A1906&gt;162.1,Parameters!$B$5,Parameters!$B$4)</f>
        <v/>
      </c>
      <c r="C1906">
        <f>C1905-0.1*B1906+0</f>
        <v/>
      </c>
      <c r="D1906">
        <f>D1905-0.1*B1906+0</f>
        <v/>
      </c>
      <c r="E1906">
        <f>Parameters!$B$25</f>
        <v/>
      </c>
    </row>
    <row r="1907">
      <c r="A1907" t="n">
        <v>190.5</v>
      </c>
      <c r="B1907">
        <f>IF(A1907&gt;162.1,Parameters!$B$5,Parameters!$B$4)</f>
        <v/>
      </c>
      <c r="C1907">
        <f>C1906-0.1*B1907+0</f>
        <v/>
      </c>
      <c r="D1907">
        <f>D1906-0.1*B1907+0</f>
        <v/>
      </c>
      <c r="E1907">
        <f>Parameters!$B$25</f>
        <v/>
      </c>
    </row>
    <row r="1908">
      <c r="A1908" t="n">
        <v>190.6</v>
      </c>
      <c r="B1908">
        <f>IF(A1908&gt;162.1,Parameters!$B$5,Parameters!$B$4)</f>
        <v/>
      </c>
      <c r="C1908">
        <f>C1907-0.1*B1908+0</f>
        <v/>
      </c>
      <c r="D1908">
        <f>D1907-0.1*B1908+0</f>
        <v/>
      </c>
      <c r="E1908">
        <f>Parameters!$B$25</f>
        <v/>
      </c>
    </row>
    <row r="1909">
      <c r="A1909" t="n">
        <v>190.7</v>
      </c>
      <c r="B1909">
        <f>IF(A1909&gt;162.1,Parameters!$B$5,Parameters!$B$4)</f>
        <v/>
      </c>
      <c r="C1909">
        <f>C1908-0.1*B1909+0</f>
        <v/>
      </c>
      <c r="D1909">
        <f>D1908-0.1*B1909+0</f>
        <v/>
      </c>
      <c r="E1909">
        <f>Parameters!$B$25</f>
        <v/>
      </c>
    </row>
    <row r="1910">
      <c r="A1910" t="n">
        <v>190.8</v>
      </c>
      <c r="B1910">
        <f>IF(A1910&gt;162.1,Parameters!$B$5,Parameters!$B$4)</f>
        <v/>
      </c>
      <c r="C1910">
        <f>C1909-0.1*B1910+0</f>
        <v/>
      </c>
      <c r="D1910">
        <f>D1909-0.1*B1910+0</f>
        <v/>
      </c>
      <c r="E1910">
        <f>Parameters!$B$25</f>
        <v/>
      </c>
    </row>
    <row r="1911">
      <c r="A1911" t="n">
        <v>190.9</v>
      </c>
      <c r="B1911">
        <f>IF(A1911&gt;162.1,Parameters!$B$5,Parameters!$B$4)</f>
        <v/>
      </c>
      <c r="C1911">
        <f>C1910-0.1*B1911+0</f>
        <v/>
      </c>
      <c r="D1911">
        <f>D1910-0.1*B1911+0</f>
        <v/>
      </c>
      <c r="E1911">
        <f>Parameters!$B$25</f>
        <v/>
      </c>
    </row>
    <row r="1912">
      <c r="A1912" t="n">
        <v>191</v>
      </c>
      <c r="B1912">
        <f>IF(A1912&gt;162.1,Parameters!$B$5,Parameters!$B$4)</f>
        <v/>
      </c>
      <c r="C1912">
        <f>C1911-0.1*B1912+0</f>
        <v/>
      </c>
      <c r="D1912">
        <f>D1911-0.1*B1912+0</f>
        <v/>
      </c>
      <c r="E1912">
        <f>Parameters!$B$25</f>
        <v/>
      </c>
    </row>
    <row r="1913">
      <c r="A1913" t="n">
        <v>191.1</v>
      </c>
      <c r="B1913">
        <f>IF(A1913&gt;162.1,Parameters!$B$5,Parameters!$B$4)</f>
        <v/>
      </c>
      <c r="C1913">
        <f>C1912-0.1*B1913+0</f>
        <v/>
      </c>
      <c r="D1913">
        <f>D1912-0.1*B1913+0</f>
        <v/>
      </c>
      <c r="E1913">
        <f>Parameters!$B$25</f>
        <v/>
      </c>
    </row>
    <row r="1914">
      <c r="A1914" t="n">
        <v>191.2</v>
      </c>
      <c r="B1914">
        <f>IF(A1914&gt;162.1,Parameters!$B$5,Parameters!$B$4)</f>
        <v/>
      </c>
      <c r="C1914">
        <f>C1913-0.1*B1914+0</f>
        <v/>
      </c>
      <c r="D1914">
        <f>D1913-0.1*B1914+0</f>
        <v/>
      </c>
      <c r="E1914">
        <f>Parameters!$B$25</f>
        <v/>
      </c>
    </row>
    <row r="1915">
      <c r="A1915" t="n">
        <v>191.3</v>
      </c>
      <c r="B1915">
        <f>IF(A1915&gt;162.1,Parameters!$B$5,Parameters!$B$4)</f>
        <v/>
      </c>
      <c r="C1915">
        <f>C1914-0.1*B1915+0</f>
        <v/>
      </c>
      <c r="D1915">
        <f>D1914-0.1*B1915+0</f>
        <v/>
      </c>
      <c r="E1915">
        <f>Parameters!$B$25</f>
        <v/>
      </c>
    </row>
    <row r="1916">
      <c r="A1916" t="n">
        <v>191.4</v>
      </c>
      <c r="B1916">
        <f>IF(A1916&gt;162.1,Parameters!$B$5,Parameters!$B$4)</f>
        <v/>
      </c>
      <c r="C1916">
        <f>C1915-0.1*B1916+0</f>
        <v/>
      </c>
      <c r="D1916">
        <f>D1915-0.1*B1916+0</f>
        <v/>
      </c>
      <c r="E1916">
        <f>Parameters!$B$25</f>
        <v/>
      </c>
    </row>
    <row r="1917">
      <c r="A1917" t="n">
        <v>191.5</v>
      </c>
      <c r="B1917">
        <f>IF(A1917&gt;162.1,Parameters!$B$5,Parameters!$B$4)</f>
        <v/>
      </c>
      <c r="C1917">
        <f>C1916-0.1*B1917+0</f>
        <v/>
      </c>
      <c r="D1917">
        <f>D1916-0.1*B1917+0</f>
        <v/>
      </c>
      <c r="E1917">
        <f>Parameters!$B$25</f>
        <v/>
      </c>
    </row>
    <row r="1918">
      <c r="A1918" t="n">
        <v>191.6</v>
      </c>
      <c r="B1918">
        <f>IF(A1918&gt;162.1,Parameters!$B$5,Parameters!$B$4)</f>
        <v/>
      </c>
      <c r="C1918">
        <f>C1917-0.1*B1918+0</f>
        <v/>
      </c>
      <c r="D1918">
        <f>D1917-0.1*B1918+0</f>
        <v/>
      </c>
      <c r="E1918">
        <f>Parameters!$B$25</f>
        <v/>
      </c>
    </row>
    <row r="1919">
      <c r="A1919" t="n">
        <v>191.7</v>
      </c>
      <c r="B1919">
        <f>IF(A1919&gt;162.1,Parameters!$B$5,Parameters!$B$4)</f>
        <v/>
      </c>
      <c r="C1919">
        <f>C1918-0.1*B1919+0</f>
        <v/>
      </c>
      <c r="D1919">
        <f>D1918-0.1*B1919+0</f>
        <v/>
      </c>
      <c r="E1919">
        <f>Parameters!$B$25</f>
        <v/>
      </c>
    </row>
    <row r="1920">
      <c r="A1920" t="n">
        <v>191.8</v>
      </c>
      <c r="B1920">
        <f>IF(A1920&gt;162.1,Parameters!$B$5,Parameters!$B$4)</f>
        <v/>
      </c>
      <c r="C1920">
        <f>C1919-0.1*B1920+0</f>
        <v/>
      </c>
      <c r="D1920">
        <f>D1919-0.1*B1920+0</f>
        <v/>
      </c>
      <c r="E1920">
        <f>Parameters!$B$25</f>
        <v/>
      </c>
    </row>
    <row r="1921">
      <c r="A1921" t="n">
        <v>191.9</v>
      </c>
      <c r="B1921">
        <f>IF(A1921&gt;162.1,Parameters!$B$5,Parameters!$B$4)</f>
        <v/>
      </c>
      <c r="C1921">
        <f>C1920-0.1*B1921+0</f>
        <v/>
      </c>
      <c r="D1921">
        <f>D1920-0.1*B1921+0</f>
        <v/>
      </c>
      <c r="E1921">
        <f>Parameters!$B$25</f>
        <v/>
      </c>
    </row>
    <row r="1922">
      <c r="A1922" t="n">
        <v>192</v>
      </c>
      <c r="B1922">
        <f>IF(A1922&gt;162.1,Parameters!$B$5,Parameters!$B$4)</f>
        <v/>
      </c>
      <c r="C1922">
        <f>C1921-0.1*B1922+0</f>
        <v/>
      </c>
      <c r="D1922">
        <f>D1921-0.1*B1922+0</f>
        <v/>
      </c>
      <c r="E1922">
        <f>Parameters!$B$25</f>
        <v/>
      </c>
    </row>
    <row r="1923">
      <c r="A1923" t="n">
        <v>192.1</v>
      </c>
      <c r="B1923">
        <f>IF(A1923&gt;162.1,Parameters!$B$5,Parameters!$B$4)</f>
        <v/>
      </c>
      <c r="C1923">
        <f>C1922-0.1*B1923+0</f>
        <v/>
      </c>
      <c r="D1923">
        <f>D1922-0.1*B1923+0</f>
        <v/>
      </c>
      <c r="E1923">
        <f>Parameters!$B$25</f>
        <v/>
      </c>
    </row>
    <row r="1924">
      <c r="A1924" t="n">
        <v>192.2</v>
      </c>
      <c r="B1924">
        <f>IF(A1924&gt;162.1,Parameters!$B$5,Parameters!$B$4)</f>
        <v/>
      </c>
      <c r="C1924">
        <f>C1923-0.1*B1924+0</f>
        <v/>
      </c>
      <c r="D1924">
        <f>D1923-0.1*B1924+0</f>
        <v/>
      </c>
      <c r="E1924">
        <f>Parameters!$B$25</f>
        <v/>
      </c>
    </row>
    <row r="1925">
      <c r="A1925" t="n">
        <v>192.3</v>
      </c>
      <c r="B1925">
        <f>IF(A1925&gt;162.1,Parameters!$B$5,Parameters!$B$4)</f>
        <v/>
      </c>
      <c r="C1925">
        <f>C1924-0.1*B1925+0</f>
        <v/>
      </c>
      <c r="D1925">
        <f>D1924-0.1*B1925+0</f>
        <v/>
      </c>
      <c r="E1925">
        <f>Parameters!$B$25</f>
        <v/>
      </c>
    </row>
    <row r="1926">
      <c r="A1926" t="n">
        <v>192.4</v>
      </c>
      <c r="B1926">
        <f>IF(A1926&gt;162.1,Parameters!$B$5,Parameters!$B$4)</f>
        <v/>
      </c>
      <c r="C1926">
        <f>C1925-0.1*B1926+0</f>
        <v/>
      </c>
      <c r="D1926">
        <f>D1925-0.1*B1926+0</f>
        <v/>
      </c>
      <c r="E1926">
        <f>Parameters!$B$25</f>
        <v/>
      </c>
    </row>
    <row r="1927">
      <c r="A1927" t="n">
        <v>192.5</v>
      </c>
      <c r="B1927">
        <f>IF(A1927&gt;162.1,Parameters!$B$5,Parameters!$B$4)</f>
        <v/>
      </c>
      <c r="C1927">
        <f>C1926-0.1*B1927+0</f>
        <v/>
      </c>
      <c r="D1927">
        <f>D1926-0.1*B1927+0</f>
        <v/>
      </c>
      <c r="E1927">
        <f>Parameters!$B$25</f>
        <v/>
      </c>
    </row>
    <row r="1928">
      <c r="A1928" t="n">
        <v>192.6</v>
      </c>
      <c r="B1928">
        <f>IF(A1928&gt;162.1,Parameters!$B$5,Parameters!$B$4)</f>
        <v/>
      </c>
      <c r="C1928">
        <f>C1927-0.1*B1928+0</f>
        <v/>
      </c>
      <c r="D1928">
        <f>D1927-0.1*B1928+0</f>
        <v/>
      </c>
      <c r="E1928">
        <f>Parameters!$B$25</f>
        <v/>
      </c>
    </row>
    <row r="1929">
      <c r="A1929" t="n">
        <v>192.7</v>
      </c>
      <c r="B1929">
        <f>IF(A1929&gt;162.1,Parameters!$B$5,Parameters!$B$4)</f>
        <v/>
      </c>
      <c r="C1929">
        <f>C1928-0.1*B1929+0</f>
        <v/>
      </c>
      <c r="D1929">
        <f>D1928-0.1*B1929+0</f>
        <v/>
      </c>
      <c r="E1929">
        <f>Parameters!$B$25</f>
        <v/>
      </c>
    </row>
    <row r="1930">
      <c r="A1930" t="n">
        <v>192.8</v>
      </c>
      <c r="B1930">
        <f>IF(A1930&gt;162.1,Parameters!$B$5,Parameters!$B$4)</f>
        <v/>
      </c>
      <c r="C1930">
        <f>C1929-0.1*B1930+0</f>
        <v/>
      </c>
      <c r="D1930">
        <f>D1929-0.1*B1930+0</f>
        <v/>
      </c>
      <c r="E1930">
        <f>Parameters!$B$25</f>
        <v/>
      </c>
    </row>
    <row r="1931">
      <c r="A1931" t="n">
        <v>192.9</v>
      </c>
      <c r="B1931">
        <f>IF(A1931&gt;162.1,Parameters!$B$5,Parameters!$B$4)</f>
        <v/>
      </c>
      <c r="C1931">
        <f>C1930-0.1*B1931+0</f>
        <v/>
      </c>
      <c r="D1931">
        <f>D1930-0.1*B1931+0</f>
        <v/>
      </c>
      <c r="E1931">
        <f>Parameters!$B$25</f>
        <v/>
      </c>
    </row>
    <row r="1932">
      <c r="A1932" t="n">
        <v>193</v>
      </c>
      <c r="B1932">
        <f>IF(A1932&gt;162.1,Parameters!$B$5,Parameters!$B$4)</f>
        <v/>
      </c>
      <c r="C1932">
        <f>C1931-0.1*B1932+0</f>
        <v/>
      </c>
      <c r="D1932">
        <f>D1931-0.1*B1932+0</f>
        <v/>
      </c>
      <c r="E1932">
        <f>Parameters!$B$25</f>
        <v/>
      </c>
    </row>
    <row r="1933">
      <c r="A1933" t="n">
        <v>193.1</v>
      </c>
      <c r="B1933">
        <f>IF(A1933&gt;162.1,Parameters!$B$5,Parameters!$B$4)</f>
        <v/>
      </c>
      <c r="C1933">
        <f>C1932-0.1*B1933+0</f>
        <v/>
      </c>
      <c r="D1933">
        <f>D1932-0.1*B1933+0</f>
        <v/>
      </c>
      <c r="E1933">
        <f>Parameters!$B$25</f>
        <v/>
      </c>
    </row>
    <row r="1934">
      <c r="A1934" t="n">
        <v>193.2</v>
      </c>
      <c r="B1934">
        <f>IF(A1934&gt;162.1,Parameters!$B$5,Parameters!$B$4)</f>
        <v/>
      </c>
      <c r="C1934">
        <f>C1933-0.1*B1934+0</f>
        <v/>
      </c>
      <c r="D1934">
        <f>D1933-0.1*B1934+0</f>
        <v/>
      </c>
      <c r="E1934">
        <f>Parameters!$B$25</f>
        <v/>
      </c>
    </row>
    <row r="1935">
      <c r="A1935" t="n">
        <v>193.3</v>
      </c>
      <c r="B1935">
        <f>IF(A1935&gt;162.1,Parameters!$B$5,Parameters!$B$4)</f>
        <v/>
      </c>
      <c r="C1935">
        <f>C1934-0.1*B1935+0</f>
        <v/>
      </c>
      <c r="D1935">
        <f>D1934-0.1*B1935+0</f>
        <v/>
      </c>
      <c r="E1935">
        <f>Parameters!$B$25</f>
        <v/>
      </c>
    </row>
    <row r="1936">
      <c r="A1936" t="n">
        <v>193.4</v>
      </c>
      <c r="B1936">
        <f>IF(A1936&gt;162.1,Parameters!$B$5,Parameters!$B$4)</f>
        <v/>
      </c>
      <c r="C1936">
        <f>C1935-0.1*B1936+0</f>
        <v/>
      </c>
      <c r="D1936">
        <f>D1935-0.1*B1936+0</f>
        <v/>
      </c>
      <c r="E1936">
        <f>Parameters!$B$25</f>
        <v/>
      </c>
    </row>
    <row r="1937">
      <c r="A1937" t="n">
        <v>193.5</v>
      </c>
      <c r="B1937">
        <f>IF(A1937&gt;162.1,Parameters!$B$5,Parameters!$B$4)</f>
        <v/>
      </c>
      <c r="C1937">
        <f>C1936-0.1*B1937+0</f>
        <v/>
      </c>
      <c r="D1937">
        <f>D1936-0.1*B1937+0</f>
        <v/>
      </c>
      <c r="E1937">
        <f>Parameters!$B$25</f>
        <v/>
      </c>
    </row>
    <row r="1938">
      <c r="A1938" t="n">
        <v>193.6</v>
      </c>
      <c r="B1938">
        <f>IF(A1938&gt;162.1,Parameters!$B$5,Parameters!$B$4)</f>
        <v/>
      </c>
      <c r="C1938">
        <f>C1937-0.1*B1938+0</f>
        <v/>
      </c>
      <c r="D1938">
        <f>D1937-0.1*B1938+0</f>
        <v/>
      </c>
      <c r="E1938">
        <f>Parameters!$B$25</f>
        <v/>
      </c>
    </row>
    <row r="1939">
      <c r="A1939" t="n">
        <v>193.7</v>
      </c>
      <c r="B1939">
        <f>IF(A1939&gt;162.1,Parameters!$B$5,Parameters!$B$4)</f>
        <v/>
      </c>
      <c r="C1939">
        <f>C1938-0.1*B1939+0</f>
        <v/>
      </c>
      <c r="D1939">
        <f>D1938-0.1*B1939+0</f>
        <v/>
      </c>
      <c r="E1939">
        <f>Parameters!$B$25</f>
        <v/>
      </c>
    </row>
    <row r="1940">
      <c r="A1940" t="n">
        <v>193.8</v>
      </c>
      <c r="B1940">
        <f>IF(A1940&gt;162.1,Parameters!$B$5,Parameters!$B$4)</f>
        <v/>
      </c>
      <c r="C1940">
        <f>C1939-0.1*B1940+0</f>
        <v/>
      </c>
      <c r="D1940">
        <f>D1939-0.1*B1940+0</f>
        <v/>
      </c>
      <c r="E1940">
        <f>Parameters!$B$25</f>
        <v/>
      </c>
    </row>
    <row r="1941">
      <c r="A1941" t="n">
        <v>193.9</v>
      </c>
      <c r="B1941">
        <f>IF(A1941&gt;162.1,Parameters!$B$5,Parameters!$B$4)</f>
        <v/>
      </c>
      <c r="C1941">
        <f>C1940-0.1*B1941+0</f>
        <v/>
      </c>
      <c r="D1941">
        <f>D1940-0.1*B1941+0</f>
        <v/>
      </c>
      <c r="E1941">
        <f>Parameters!$B$25</f>
        <v/>
      </c>
    </row>
    <row r="1942">
      <c r="A1942" t="n">
        <v>194</v>
      </c>
      <c r="B1942">
        <f>IF(A1942&gt;162.1,Parameters!$B$5,Parameters!$B$4)</f>
        <v/>
      </c>
      <c r="C1942">
        <f>C1941-0.1*B1942+0</f>
        <v/>
      </c>
      <c r="D1942">
        <f>D1941-0.1*B1942+0</f>
        <v/>
      </c>
      <c r="E1942">
        <f>Parameters!$B$25</f>
        <v/>
      </c>
    </row>
    <row r="1943">
      <c r="A1943" t="n">
        <v>194.1</v>
      </c>
      <c r="B1943">
        <f>IF(A1943&gt;162.1,Parameters!$B$5,Parameters!$B$4)</f>
        <v/>
      </c>
      <c r="C1943">
        <f>C1942-0.1*B1943+0</f>
        <v/>
      </c>
      <c r="D1943">
        <f>D1942-0.1*B1943+0</f>
        <v/>
      </c>
      <c r="E1943">
        <f>Parameters!$B$25</f>
        <v/>
      </c>
    </row>
    <row r="1944">
      <c r="A1944" t="n">
        <v>194.2</v>
      </c>
      <c r="B1944">
        <f>IF(A1944&gt;162.1,Parameters!$B$5,Parameters!$B$4)</f>
        <v/>
      </c>
      <c r="C1944">
        <f>C1943-0.1*B1944+0</f>
        <v/>
      </c>
      <c r="D1944">
        <f>D1943-0.1*B1944+0</f>
        <v/>
      </c>
      <c r="E1944">
        <f>Parameters!$B$25</f>
        <v/>
      </c>
    </row>
    <row r="1945">
      <c r="A1945" t="n">
        <v>194.3</v>
      </c>
      <c r="B1945">
        <f>IF(A1945&gt;162.1,Parameters!$B$5,Parameters!$B$4)</f>
        <v/>
      </c>
      <c r="C1945">
        <f>C1944-0.1*B1945+0</f>
        <v/>
      </c>
      <c r="D1945">
        <f>D1944-0.1*B1945+0</f>
        <v/>
      </c>
      <c r="E1945">
        <f>Parameters!$B$25</f>
        <v/>
      </c>
    </row>
    <row r="1946">
      <c r="A1946" t="n">
        <v>194.4</v>
      </c>
      <c r="B1946">
        <f>IF(A1946&gt;162.1,Parameters!$B$5,Parameters!$B$4)</f>
        <v/>
      </c>
      <c r="C1946">
        <f>C1945-0.1*B1946+0</f>
        <v/>
      </c>
      <c r="D1946">
        <f>D1945-0.1*B1946+0</f>
        <v/>
      </c>
      <c r="E1946">
        <f>Parameters!$B$25</f>
        <v/>
      </c>
    </row>
    <row r="1947">
      <c r="A1947" t="n">
        <v>194.5</v>
      </c>
      <c r="B1947">
        <f>IF(A1947&gt;162.1,Parameters!$B$5,Parameters!$B$4)</f>
        <v/>
      </c>
      <c r="C1947">
        <f>C1946-0.1*B1947+0</f>
        <v/>
      </c>
      <c r="D1947">
        <f>D1946-0.1*B1947+0</f>
        <v/>
      </c>
      <c r="E1947">
        <f>Parameters!$B$25</f>
        <v/>
      </c>
    </row>
    <row r="1948">
      <c r="A1948" t="n">
        <v>194.6</v>
      </c>
      <c r="B1948">
        <f>IF(A1948&gt;162.1,Parameters!$B$5,Parameters!$B$4)</f>
        <v/>
      </c>
      <c r="C1948">
        <f>C1947-0.1*B1948+0</f>
        <v/>
      </c>
      <c r="D1948">
        <f>D1947-0.1*B1948+0</f>
        <v/>
      </c>
      <c r="E1948">
        <f>Parameters!$B$25</f>
        <v/>
      </c>
    </row>
    <row r="1949">
      <c r="A1949" t="n">
        <v>194.7</v>
      </c>
      <c r="B1949">
        <f>IF(A1949&gt;162.1,Parameters!$B$5,Parameters!$B$4)</f>
        <v/>
      </c>
      <c r="C1949">
        <f>C1948-0.1*B1949+0</f>
        <v/>
      </c>
      <c r="D1949">
        <f>D1948-0.1*B1949+0</f>
        <v/>
      </c>
      <c r="E1949">
        <f>Parameters!$B$25</f>
        <v/>
      </c>
    </row>
    <row r="1950">
      <c r="A1950" t="n">
        <v>194.8</v>
      </c>
      <c r="B1950">
        <f>IF(A1950&gt;162.1,Parameters!$B$5,Parameters!$B$4)</f>
        <v/>
      </c>
      <c r="C1950">
        <f>C1949-0.1*B1950+0</f>
        <v/>
      </c>
      <c r="D1950">
        <f>D1949-0.1*B1950+0</f>
        <v/>
      </c>
      <c r="E1950">
        <f>Parameters!$B$25</f>
        <v/>
      </c>
    </row>
    <row r="1951">
      <c r="A1951" t="n">
        <v>194.9</v>
      </c>
      <c r="B1951">
        <f>IF(A1951&gt;162.1,Parameters!$B$5,Parameters!$B$4)</f>
        <v/>
      </c>
      <c r="C1951">
        <f>C1950-0.1*B1951+0</f>
        <v/>
      </c>
      <c r="D1951">
        <f>D1950-0.1*B1951+0</f>
        <v/>
      </c>
      <c r="E1951">
        <f>Parameters!$B$25</f>
        <v/>
      </c>
    </row>
    <row r="1952">
      <c r="A1952" t="n">
        <v>195</v>
      </c>
      <c r="B1952">
        <f>IF(A1952&gt;162.1,Parameters!$B$5,Parameters!$B$4)</f>
        <v/>
      </c>
      <c r="C1952">
        <f>C1951-0.1*B1952+0</f>
        <v/>
      </c>
      <c r="D1952">
        <f>D1951-0.1*B1952+0</f>
        <v/>
      </c>
      <c r="E1952">
        <f>Parameters!$B$25</f>
        <v/>
      </c>
    </row>
    <row r="1953">
      <c r="A1953" t="n">
        <v>195.1</v>
      </c>
      <c r="B1953">
        <f>IF(A1953&gt;162.1,Parameters!$B$5,Parameters!$B$4)</f>
        <v/>
      </c>
      <c r="C1953">
        <f>C1952-0.1*B1953+0</f>
        <v/>
      </c>
      <c r="D1953">
        <f>D1952-0.1*B1953+0</f>
        <v/>
      </c>
      <c r="E1953">
        <f>Parameters!$B$25</f>
        <v/>
      </c>
    </row>
    <row r="1954">
      <c r="A1954" t="n">
        <v>195.2</v>
      </c>
      <c r="B1954">
        <f>IF(A1954&gt;162.1,Parameters!$B$5,Parameters!$B$4)</f>
        <v/>
      </c>
      <c r="C1954">
        <f>C1953-0.1*B1954+0</f>
        <v/>
      </c>
      <c r="D1954">
        <f>D1953-0.1*B1954+0</f>
        <v/>
      </c>
      <c r="E1954">
        <f>Parameters!$B$25</f>
        <v/>
      </c>
    </row>
    <row r="1955">
      <c r="A1955" t="n">
        <v>195.3</v>
      </c>
      <c r="B1955">
        <f>IF(A1955&gt;162.1,Parameters!$B$5,Parameters!$B$4)</f>
        <v/>
      </c>
      <c r="C1955">
        <f>C1954-0.1*B1955+0</f>
        <v/>
      </c>
      <c r="D1955">
        <f>D1954-0.1*B1955+0</f>
        <v/>
      </c>
      <c r="E1955">
        <f>Parameters!$B$25</f>
        <v/>
      </c>
    </row>
    <row r="1956">
      <c r="A1956" t="n">
        <v>195.4</v>
      </c>
      <c r="B1956">
        <f>IF(A1956&gt;162.1,Parameters!$B$5,Parameters!$B$4)</f>
        <v/>
      </c>
      <c r="C1956">
        <f>C1955-0.1*B1956+0</f>
        <v/>
      </c>
      <c r="D1956">
        <f>D1955-0.1*B1956+0</f>
        <v/>
      </c>
      <c r="E1956">
        <f>Parameters!$B$25</f>
        <v/>
      </c>
    </row>
    <row r="1957">
      <c r="A1957" t="n">
        <v>195.5</v>
      </c>
      <c r="B1957">
        <f>IF(A1957&gt;162.1,Parameters!$B$5,Parameters!$B$4)</f>
        <v/>
      </c>
      <c r="C1957">
        <f>C1956-0.1*B1957+0</f>
        <v/>
      </c>
      <c r="D1957">
        <f>D1956-0.1*B1957+0</f>
        <v/>
      </c>
      <c r="E1957">
        <f>Parameters!$B$25</f>
        <v/>
      </c>
    </row>
    <row r="1958">
      <c r="A1958" t="n">
        <v>195.6</v>
      </c>
      <c r="B1958">
        <f>IF(A1958&gt;162.1,Parameters!$B$5,Parameters!$B$4)</f>
        <v/>
      </c>
      <c r="C1958">
        <f>C1957-0.1*B1958+0</f>
        <v/>
      </c>
      <c r="D1958">
        <f>D1957-0.1*B1958+0</f>
        <v/>
      </c>
      <c r="E1958">
        <f>Parameters!$B$25</f>
        <v/>
      </c>
    </row>
    <row r="1959">
      <c r="A1959" t="n">
        <v>195.7</v>
      </c>
      <c r="B1959">
        <f>IF(A1959&gt;162.1,Parameters!$B$5,Parameters!$B$4)</f>
        <v/>
      </c>
      <c r="C1959">
        <f>C1958-0.1*B1959+0</f>
        <v/>
      </c>
      <c r="D1959">
        <f>D1958-0.1*B1959+0</f>
        <v/>
      </c>
      <c r="E1959">
        <f>Parameters!$B$25</f>
        <v/>
      </c>
    </row>
    <row r="1960">
      <c r="A1960" t="n">
        <v>195.8</v>
      </c>
      <c r="B1960">
        <f>IF(A1960&gt;162.1,Parameters!$B$5,Parameters!$B$4)</f>
        <v/>
      </c>
      <c r="C1960">
        <f>C1959-0.1*B1960+0</f>
        <v/>
      </c>
      <c r="D1960">
        <f>D1959-0.1*B1960+0</f>
        <v/>
      </c>
      <c r="E1960">
        <f>Parameters!$B$25</f>
        <v/>
      </c>
    </row>
    <row r="1961">
      <c r="A1961" t="n">
        <v>195.9</v>
      </c>
      <c r="B1961">
        <f>IF(A1961&gt;162.1,Parameters!$B$5,Parameters!$B$4)</f>
        <v/>
      </c>
      <c r="C1961">
        <f>C1960-0.1*B1961+0</f>
        <v/>
      </c>
      <c r="D1961">
        <f>D1960-0.1*B1961+0</f>
        <v/>
      </c>
      <c r="E1961">
        <f>Parameters!$B$25</f>
        <v/>
      </c>
    </row>
    <row r="1962">
      <c r="A1962" t="n">
        <v>196</v>
      </c>
      <c r="B1962">
        <f>IF(A1962&gt;162.1,Parameters!$B$5,Parameters!$B$4)</f>
        <v/>
      </c>
      <c r="C1962">
        <f>C1961-0.1*B1962+0</f>
        <v/>
      </c>
      <c r="D1962">
        <f>D1961-0.1*B1962+0</f>
        <v/>
      </c>
      <c r="E1962">
        <f>Parameters!$B$25</f>
        <v/>
      </c>
    </row>
    <row r="1963">
      <c r="A1963" t="n">
        <v>196.1</v>
      </c>
      <c r="B1963">
        <f>IF(A1963&gt;162.1,Parameters!$B$5,Parameters!$B$4)</f>
        <v/>
      </c>
      <c r="C1963">
        <f>C1962-0.1*B1963+0</f>
        <v/>
      </c>
      <c r="D1963">
        <f>D1962-0.1*B1963+0</f>
        <v/>
      </c>
      <c r="E1963">
        <f>Parameters!$B$25</f>
        <v/>
      </c>
    </row>
    <row r="1964">
      <c r="A1964" t="n">
        <v>196.2</v>
      </c>
      <c r="B1964">
        <f>IF(A1964&gt;162.1,Parameters!$B$5,Parameters!$B$4)</f>
        <v/>
      </c>
      <c r="C1964">
        <f>C1963-0.1*B1964+0</f>
        <v/>
      </c>
      <c r="D1964">
        <f>D1963-0.1*B1964+0</f>
        <v/>
      </c>
      <c r="E1964">
        <f>Parameters!$B$25</f>
        <v/>
      </c>
    </row>
    <row r="1965">
      <c r="A1965" t="n">
        <v>196.3</v>
      </c>
      <c r="B1965">
        <f>IF(A1965&gt;162.1,Parameters!$B$5,Parameters!$B$4)</f>
        <v/>
      </c>
      <c r="C1965">
        <f>C1964-0.1*B1965+0</f>
        <v/>
      </c>
      <c r="D1965">
        <f>D1964-0.1*B1965+0</f>
        <v/>
      </c>
      <c r="E1965">
        <f>Parameters!$B$25</f>
        <v/>
      </c>
    </row>
    <row r="1966">
      <c r="A1966" t="n">
        <v>196.4</v>
      </c>
      <c r="B1966">
        <f>IF(A1966&gt;162.1,Parameters!$B$5,Parameters!$B$4)</f>
        <v/>
      </c>
      <c r="C1966">
        <f>C1965-0.1*B1966+0</f>
        <v/>
      </c>
      <c r="D1966">
        <f>D1965-0.1*B1966+0</f>
        <v/>
      </c>
      <c r="E1966">
        <f>Parameters!$B$25</f>
        <v/>
      </c>
    </row>
    <row r="1967">
      <c r="A1967" t="n">
        <v>196.5</v>
      </c>
      <c r="B1967">
        <f>IF(A1967&gt;162.1,Parameters!$B$5,Parameters!$B$4)</f>
        <v/>
      </c>
      <c r="C1967">
        <f>C1966-0.1*B1967+0</f>
        <v/>
      </c>
      <c r="D1967">
        <f>D1966-0.1*B1967+0</f>
        <v/>
      </c>
      <c r="E1967">
        <f>Parameters!$B$25</f>
        <v/>
      </c>
    </row>
    <row r="1968">
      <c r="A1968" t="n">
        <v>196.6</v>
      </c>
      <c r="B1968">
        <f>IF(A1968&gt;162.1,Parameters!$B$5,Parameters!$B$4)</f>
        <v/>
      </c>
      <c r="C1968">
        <f>C1967-0.1*B1968+0</f>
        <v/>
      </c>
      <c r="D1968">
        <f>D1967-0.1*B1968+0</f>
        <v/>
      </c>
      <c r="E1968">
        <f>Parameters!$B$25</f>
        <v/>
      </c>
    </row>
    <row r="1969">
      <c r="A1969" t="n">
        <v>196.7</v>
      </c>
      <c r="B1969">
        <f>IF(A1969&gt;162.1,Parameters!$B$5,Parameters!$B$4)</f>
        <v/>
      </c>
      <c r="C1969">
        <f>C1968-0.1*B1969+0</f>
        <v/>
      </c>
      <c r="D1969">
        <f>D1968-0.1*B1969+0</f>
        <v/>
      </c>
      <c r="E1969">
        <f>Parameters!$B$25</f>
        <v/>
      </c>
    </row>
    <row r="1970">
      <c r="A1970" t="n">
        <v>196.8</v>
      </c>
      <c r="B1970">
        <f>IF(A1970&gt;162.1,Parameters!$B$5,Parameters!$B$4)</f>
        <v/>
      </c>
      <c r="C1970">
        <f>C1969-0.1*B1970+0</f>
        <v/>
      </c>
      <c r="D1970">
        <f>D1969-0.1*B1970+0</f>
        <v/>
      </c>
      <c r="E1970">
        <f>Parameters!$B$25</f>
        <v/>
      </c>
    </row>
    <row r="1971">
      <c r="A1971" t="n">
        <v>196.9</v>
      </c>
      <c r="B1971">
        <f>IF(A1971&gt;162.1,Parameters!$B$5,Parameters!$B$4)</f>
        <v/>
      </c>
      <c r="C1971">
        <f>C1970-0.1*B1971+0</f>
        <v/>
      </c>
      <c r="D1971">
        <f>D1970-0.1*B1971+0</f>
        <v/>
      </c>
      <c r="E1971">
        <f>Parameters!$B$25</f>
        <v/>
      </c>
    </row>
    <row r="1972">
      <c r="A1972" t="n">
        <v>197</v>
      </c>
      <c r="B1972">
        <f>IF(A1972&gt;162.1,Parameters!$B$5,Parameters!$B$4)</f>
        <v/>
      </c>
      <c r="C1972">
        <f>C1971-0.1*B1972+0</f>
        <v/>
      </c>
      <c r="D1972">
        <f>D1971-0.1*B1972+0</f>
        <v/>
      </c>
      <c r="E1972">
        <f>Parameters!$B$25</f>
        <v/>
      </c>
    </row>
    <row r="1973">
      <c r="A1973" t="n">
        <v>197.1</v>
      </c>
      <c r="B1973">
        <f>IF(A1973&gt;162.1,Parameters!$B$5,Parameters!$B$4)</f>
        <v/>
      </c>
      <c r="C1973">
        <f>C1972-0.1*B1973+0</f>
        <v/>
      </c>
      <c r="D1973">
        <f>D1972-0.1*B1973+0</f>
        <v/>
      </c>
      <c r="E1973">
        <f>Parameters!$B$25</f>
        <v/>
      </c>
    </row>
    <row r="1974">
      <c r="A1974" t="n">
        <v>197.2</v>
      </c>
      <c r="B1974">
        <f>IF(A1974&gt;162.1,Parameters!$B$5,Parameters!$B$4)</f>
        <v/>
      </c>
      <c r="C1974">
        <f>C1973-0.1*B1974+0</f>
        <v/>
      </c>
      <c r="D1974">
        <f>D1973-0.1*B1974+0</f>
        <v/>
      </c>
      <c r="E1974">
        <f>Parameters!$B$25</f>
        <v/>
      </c>
    </row>
    <row r="1975">
      <c r="A1975" t="n">
        <v>197.3</v>
      </c>
      <c r="B1975">
        <f>IF(A1975&gt;162.1,Parameters!$B$5,Parameters!$B$4)</f>
        <v/>
      </c>
      <c r="C1975">
        <f>C1974-0.1*B1975+0</f>
        <v/>
      </c>
      <c r="D1975">
        <f>D1974-0.1*B1975+0</f>
        <v/>
      </c>
      <c r="E1975">
        <f>Parameters!$B$25</f>
        <v/>
      </c>
    </row>
    <row r="1976">
      <c r="A1976" t="n">
        <v>197.4</v>
      </c>
      <c r="B1976">
        <f>IF(A1976&gt;162.1,Parameters!$B$5,Parameters!$B$4)</f>
        <v/>
      </c>
      <c r="C1976">
        <f>C1975-0.1*B1976+0</f>
        <v/>
      </c>
      <c r="D1976">
        <f>D1975-0.1*B1976+0</f>
        <v/>
      </c>
      <c r="E1976">
        <f>Parameters!$B$25</f>
        <v/>
      </c>
    </row>
    <row r="1977">
      <c r="A1977" t="n">
        <v>197.5</v>
      </c>
      <c r="B1977">
        <f>IF(A1977&gt;162.1,Parameters!$B$5,Parameters!$B$4)</f>
        <v/>
      </c>
      <c r="C1977">
        <f>C1976-0.1*B1977+0</f>
        <v/>
      </c>
      <c r="D1977">
        <f>D1976-0.1*B1977+0</f>
        <v/>
      </c>
      <c r="E1977">
        <f>Parameters!$B$25</f>
        <v/>
      </c>
    </row>
    <row r="1978">
      <c r="A1978" t="n">
        <v>197.6</v>
      </c>
      <c r="B1978">
        <f>IF(A1978&gt;162.1,Parameters!$B$5,Parameters!$B$4)</f>
        <v/>
      </c>
      <c r="C1978">
        <f>C1977-0.1*B1978+0</f>
        <v/>
      </c>
      <c r="D1978">
        <f>D1977-0.1*B1978+0</f>
        <v/>
      </c>
      <c r="E1978">
        <f>Parameters!$B$25</f>
        <v/>
      </c>
    </row>
    <row r="1979">
      <c r="A1979" t="n">
        <v>197.7</v>
      </c>
      <c r="B1979">
        <f>IF(A1979&gt;162.1,Parameters!$B$5,Parameters!$B$4)</f>
        <v/>
      </c>
      <c r="C1979">
        <f>C1978-0.1*B1979+0</f>
        <v/>
      </c>
      <c r="D1979">
        <f>D1978-0.1*B1979+0</f>
        <v/>
      </c>
      <c r="E1979">
        <f>Parameters!$B$25</f>
        <v/>
      </c>
    </row>
    <row r="1980">
      <c r="A1980" t="n">
        <v>197.8</v>
      </c>
      <c r="B1980">
        <f>IF(A1980&gt;162.1,Parameters!$B$5,Parameters!$B$4)</f>
        <v/>
      </c>
      <c r="C1980">
        <f>C1979-0.1*B1980+0</f>
        <v/>
      </c>
      <c r="D1980">
        <f>D1979-0.1*B1980+0</f>
        <v/>
      </c>
      <c r="E1980">
        <f>Parameters!$B$25</f>
        <v/>
      </c>
    </row>
    <row r="1981">
      <c r="A1981" t="n">
        <v>197.9</v>
      </c>
      <c r="B1981">
        <f>IF(A1981&gt;162.1,Parameters!$B$5,Parameters!$B$4)</f>
        <v/>
      </c>
      <c r="C1981">
        <f>C1980-0.1*B1981+0</f>
        <v/>
      </c>
      <c r="D1981">
        <f>D1980-0.1*B1981+0</f>
        <v/>
      </c>
      <c r="E1981">
        <f>Parameters!$B$25</f>
        <v/>
      </c>
    </row>
    <row r="1982">
      <c r="A1982" t="n">
        <v>198</v>
      </c>
      <c r="B1982">
        <f>IF(A1982&gt;162.1,Parameters!$B$5,Parameters!$B$4)</f>
        <v/>
      </c>
      <c r="C1982">
        <f>C1981-0.1*B1982+0</f>
        <v/>
      </c>
      <c r="D1982">
        <f>D1981-0.1*B1982+0</f>
        <v/>
      </c>
      <c r="E1982">
        <f>Parameters!$B$25</f>
        <v/>
      </c>
    </row>
    <row r="1983">
      <c r="A1983" t="n">
        <v>198.1</v>
      </c>
      <c r="B1983">
        <f>IF(A1983&gt;162.1,Parameters!$B$5,Parameters!$B$4)</f>
        <v/>
      </c>
      <c r="C1983">
        <f>C1982-0.1*B1983+0</f>
        <v/>
      </c>
      <c r="D1983">
        <f>D1982-0.1*B1983+0</f>
        <v/>
      </c>
      <c r="E1983">
        <f>Parameters!$B$25</f>
        <v/>
      </c>
    </row>
    <row r="1984">
      <c r="A1984" t="n">
        <v>198.2</v>
      </c>
      <c r="B1984">
        <f>IF(A1984&gt;162.1,Parameters!$B$5,Parameters!$B$4)</f>
        <v/>
      </c>
      <c r="C1984">
        <f>C1983-0.1*B1984+0</f>
        <v/>
      </c>
      <c r="D1984">
        <f>D1983-0.1*B1984+0</f>
        <v/>
      </c>
      <c r="E1984">
        <f>Parameters!$B$25</f>
        <v/>
      </c>
    </row>
    <row r="1985">
      <c r="A1985" t="n">
        <v>198.3</v>
      </c>
      <c r="B1985">
        <f>IF(A1985&gt;162.1,Parameters!$B$5,Parameters!$B$4)</f>
        <v/>
      </c>
      <c r="C1985">
        <f>C1984-0.1*B1985+0</f>
        <v/>
      </c>
      <c r="D1985">
        <f>D1984-0.1*B1985+0</f>
        <v/>
      </c>
      <c r="E1985">
        <f>Parameters!$B$25</f>
        <v/>
      </c>
    </row>
    <row r="1986">
      <c r="A1986" t="n">
        <v>198.4</v>
      </c>
      <c r="B1986">
        <f>IF(A1986&gt;162.1,Parameters!$B$5,Parameters!$B$4)</f>
        <v/>
      </c>
      <c r="C1986">
        <f>C1985-0.1*B1986+0</f>
        <v/>
      </c>
      <c r="D1986">
        <f>D1985-0.1*B1986+0</f>
        <v/>
      </c>
      <c r="E1986">
        <f>Parameters!$B$25</f>
        <v/>
      </c>
    </row>
    <row r="1987">
      <c r="A1987" t="n">
        <v>198.5</v>
      </c>
      <c r="B1987">
        <f>IF(A1987&gt;162.1,Parameters!$B$5,Parameters!$B$4)</f>
        <v/>
      </c>
      <c r="C1987">
        <f>C1986-0.1*B1987+0</f>
        <v/>
      </c>
      <c r="D1987">
        <f>D1986-0.1*B1987+0</f>
        <v/>
      </c>
      <c r="E1987">
        <f>Parameters!$B$25</f>
        <v/>
      </c>
    </row>
    <row r="1988">
      <c r="A1988" t="n">
        <v>198.6</v>
      </c>
      <c r="B1988">
        <f>IF(A1988&gt;162.1,Parameters!$B$5,Parameters!$B$4)</f>
        <v/>
      </c>
      <c r="C1988">
        <f>C1987-0.1*B1988+0</f>
        <v/>
      </c>
      <c r="D1988">
        <f>D1987-0.1*B1988+0</f>
        <v/>
      </c>
      <c r="E1988">
        <f>Parameters!$B$25</f>
        <v/>
      </c>
    </row>
    <row r="1989">
      <c r="A1989" t="n">
        <v>198.7</v>
      </c>
      <c r="B1989">
        <f>IF(A1989&gt;162.1,Parameters!$B$5,Parameters!$B$4)</f>
        <v/>
      </c>
      <c r="C1989">
        <f>C1988-0.1*B1989+0</f>
        <v/>
      </c>
      <c r="D1989">
        <f>D1988-0.1*B1989+0</f>
        <v/>
      </c>
      <c r="E1989">
        <f>Parameters!$B$25</f>
        <v/>
      </c>
    </row>
    <row r="1990">
      <c r="A1990" t="n">
        <v>198.8</v>
      </c>
      <c r="B1990">
        <f>IF(A1990&gt;162.1,Parameters!$B$5,Parameters!$B$4)</f>
        <v/>
      </c>
      <c r="C1990">
        <f>C1989-0.1*B1990+0</f>
        <v/>
      </c>
      <c r="D1990">
        <f>D1989-0.1*B1990+0</f>
        <v/>
      </c>
      <c r="E1990">
        <f>Parameters!$B$25</f>
        <v/>
      </c>
    </row>
    <row r="1991">
      <c r="A1991" t="n">
        <v>198.9</v>
      </c>
      <c r="B1991">
        <f>IF(A1991&gt;162.1,Parameters!$B$5,Parameters!$B$4)</f>
        <v/>
      </c>
      <c r="C1991">
        <f>C1990-0.1*B1991+0</f>
        <v/>
      </c>
      <c r="D1991">
        <f>D1990-0.1*B1991+0</f>
        <v/>
      </c>
      <c r="E1991">
        <f>Parameters!$B$25</f>
        <v/>
      </c>
    </row>
    <row r="1992">
      <c r="A1992" t="n">
        <v>199</v>
      </c>
      <c r="B1992">
        <f>IF(A1992&gt;162.1,Parameters!$B$5,Parameters!$B$4)</f>
        <v/>
      </c>
      <c r="C1992">
        <f>C1991-0.1*B1992+0</f>
        <v/>
      </c>
      <c r="D1992">
        <f>D1991-0.1*B1992+0</f>
        <v/>
      </c>
      <c r="E1992">
        <f>Parameters!$B$25</f>
        <v/>
      </c>
    </row>
    <row r="1993">
      <c r="A1993" t="n">
        <v>199.1</v>
      </c>
      <c r="B1993">
        <f>IF(A1993&gt;162.1,Parameters!$B$5,Parameters!$B$4)</f>
        <v/>
      </c>
      <c r="C1993">
        <f>C1992-0.1*B1993+0</f>
        <v/>
      </c>
      <c r="D1993">
        <f>D1992-0.1*B1993+0</f>
        <v/>
      </c>
      <c r="E1993">
        <f>Parameters!$B$25</f>
        <v/>
      </c>
    </row>
    <row r="1994">
      <c r="A1994" t="n">
        <v>199.2</v>
      </c>
      <c r="B1994">
        <f>IF(A1994&gt;162.1,Parameters!$B$5,Parameters!$B$4)</f>
        <v/>
      </c>
      <c r="C1994">
        <f>C1993-0.1*B1994+0</f>
        <v/>
      </c>
      <c r="D1994">
        <f>D1993-0.1*B1994+0</f>
        <v/>
      </c>
      <c r="E1994">
        <f>Parameters!$B$25</f>
        <v/>
      </c>
    </row>
    <row r="1995">
      <c r="A1995" t="n">
        <v>199.3</v>
      </c>
      <c r="B1995">
        <f>IF(A1995&gt;162.1,Parameters!$B$5,Parameters!$B$4)</f>
        <v/>
      </c>
      <c r="C1995">
        <f>C1994-0.1*B1995+0</f>
        <v/>
      </c>
      <c r="D1995">
        <f>D1994-0.1*B1995+0</f>
        <v/>
      </c>
      <c r="E1995">
        <f>Parameters!$B$25</f>
        <v/>
      </c>
    </row>
    <row r="1996">
      <c r="A1996" t="n">
        <v>199.4</v>
      </c>
      <c r="B1996">
        <f>IF(A1996&gt;162.1,Parameters!$B$5,Parameters!$B$4)</f>
        <v/>
      </c>
      <c r="C1996">
        <f>C1995-0.1*B1996+0</f>
        <v/>
      </c>
      <c r="D1996">
        <f>D1995-0.1*B1996+0</f>
        <v/>
      </c>
      <c r="E1996">
        <f>Parameters!$B$25</f>
        <v/>
      </c>
    </row>
    <row r="1997">
      <c r="A1997" t="n">
        <v>199.5</v>
      </c>
      <c r="B1997">
        <f>IF(A1997&gt;162.1,Parameters!$B$5,Parameters!$B$4)</f>
        <v/>
      </c>
      <c r="C1997">
        <f>C1996-0.1*B1997+0</f>
        <v/>
      </c>
      <c r="D1997">
        <f>D1996-0.1*B1997+0</f>
        <v/>
      </c>
      <c r="E1997">
        <f>Parameters!$B$25</f>
        <v/>
      </c>
    </row>
    <row r="1998">
      <c r="A1998" t="n">
        <v>199.6</v>
      </c>
      <c r="B1998">
        <f>IF(A1998&gt;162.1,Parameters!$B$5,Parameters!$B$4)</f>
        <v/>
      </c>
      <c r="C1998">
        <f>C1997-0.1*B1998+0</f>
        <v/>
      </c>
      <c r="D1998">
        <f>D1997-0.1*B1998+0</f>
        <v/>
      </c>
      <c r="E1998">
        <f>Parameters!$B$25</f>
        <v/>
      </c>
    </row>
    <row r="1999">
      <c r="A1999" t="n">
        <v>199.7</v>
      </c>
      <c r="B1999">
        <f>IF(A1999&gt;162.1,Parameters!$B$5,Parameters!$B$4)</f>
        <v/>
      </c>
      <c r="C1999">
        <f>C1998-0.1*B1999+0</f>
        <v/>
      </c>
      <c r="D1999">
        <f>D1998-0.1*B1999+0</f>
        <v/>
      </c>
      <c r="E1999">
        <f>Parameters!$B$25</f>
        <v/>
      </c>
    </row>
    <row r="2000">
      <c r="A2000" t="n">
        <v>199.8</v>
      </c>
      <c r="B2000">
        <f>IF(A2000&gt;162.1,Parameters!$B$5,Parameters!$B$4)</f>
        <v/>
      </c>
      <c r="C2000">
        <f>C1999-0.1*B2000+0</f>
        <v/>
      </c>
      <c r="D2000">
        <f>D1999-0.1*B2000+0</f>
        <v/>
      </c>
      <c r="E2000">
        <f>Parameters!$B$25</f>
        <v/>
      </c>
    </row>
    <row r="2001">
      <c r="A2001" t="n">
        <v>199.9</v>
      </c>
      <c r="B2001">
        <f>IF(A2001&gt;162.1,Parameters!$B$5,Parameters!$B$4)</f>
        <v/>
      </c>
      <c r="C2001">
        <f>C2000-0.1*B2001+0</f>
        <v/>
      </c>
      <c r="D2001">
        <f>D2000-0.1*B2001+0</f>
        <v/>
      </c>
      <c r="E2001">
        <f>Parameters!$B$25</f>
        <v/>
      </c>
    </row>
    <row r="2002">
      <c r="A2002" t="n">
        <v>200</v>
      </c>
      <c r="B2002">
        <f>IF(A2002&gt;162.1,Parameters!$B$5,Parameters!$B$4)</f>
        <v/>
      </c>
      <c r="C2002">
        <f>C2001-0.1*B2002+0</f>
        <v/>
      </c>
      <c r="D2002">
        <f>D2001-0.1*B2002+0</f>
        <v/>
      </c>
      <c r="E2002">
        <f>Parameters!$B$25</f>
        <v/>
      </c>
    </row>
    <row r="2003">
      <c r="A2003" t="n">
        <v>200.1</v>
      </c>
      <c r="B2003">
        <f>IF(A2003&gt;162.1,Parameters!$B$5,Parameters!$B$4)</f>
        <v/>
      </c>
      <c r="C2003">
        <f>C2002-0.1*B2003+0</f>
        <v/>
      </c>
      <c r="D2003">
        <f>D2002-0.1*B2003+0</f>
        <v/>
      </c>
      <c r="E2003">
        <f>Parameters!$B$25</f>
        <v/>
      </c>
    </row>
    <row r="2004">
      <c r="A2004" t="n">
        <v>200.2</v>
      </c>
      <c r="B2004">
        <f>IF(A2004&gt;162.1,Parameters!$B$5,Parameters!$B$4)</f>
        <v/>
      </c>
      <c r="C2004">
        <f>C2003-0.1*B2004+0</f>
        <v/>
      </c>
      <c r="D2004">
        <f>D2003-0.1*B2004+0</f>
        <v/>
      </c>
      <c r="E2004">
        <f>Parameters!$B$25</f>
        <v/>
      </c>
    </row>
    <row r="2005">
      <c r="A2005" t="n">
        <v>200.3</v>
      </c>
      <c r="B2005">
        <f>IF(A2005&gt;162.1,Parameters!$B$5,Parameters!$B$4)</f>
        <v/>
      </c>
      <c r="C2005">
        <f>C2004-0.1*B2005+0</f>
        <v/>
      </c>
      <c r="D2005">
        <f>D2004-0.1*B2005+0</f>
        <v/>
      </c>
      <c r="E2005">
        <f>Parameters!$B$25</f>
        <v/>
      </c>
    </row>
    <row r="2006">
      <c r="A2006" t="n">
        <v>200.4</v>
      </c>
      <c r="B2006">
        <f>IF(A2006&gt;162.1,Parameters!$B$5,Parameters!$B$4)</f>
        <v/>
      </c>
      <c r="C2006">
        <f>C2005-0.1*B2006+0</f>
        <v/>
      </c>
      <c r="D2006">
        <f>D2005-0.1*B2006+0</f>
        <v/>
      </c>
      <c r="E2006">
        <f>Parameters!$B$25</f>
        <v/>
      </c>
    </row>
    <row r="2007">
      <c r="A2007" t="n">
        <v>200.5</v>
      </c>
      <c r="B2007">
        <f>IF(A2007&gt;162.1,Parameters!$B$5,Parameters!$B$4)</f>
        <v/>
      </c>
      <c r="C2007">
        <f>C2006-0.1*B2007+0</f>
        <v/>
      </c>
      <c r="D2007">
        <f>D2006-0.1*B2007+0</f>
        <v/>
      </c>
      <c r="E2007">
        <f>Parameters!$B$25</f>
        <v/>
      </c>
    </row>
    <row r="2008">
      <c r="A2008" t="n">
        <v>200.6</v>
      </c>
      <c r="B2008">
        <f>IF(A2008&gt;162.1,Parameters!$B$5,Parameters!$B$4)</f>
        <v/>
      </c>
      <c r="C2008">
        <f>C2007-0.1*B2008+0</f>
        <v/>
      </c>
      <c r="D2008">
        <f>D2007-0.1*B2008+0</f>
        <v/>
      </c>
      <c r="E2008">
        <f>Parameters!$B$25</f>
        <v/>
      </c>
    </row>
    <row r="2009">
      <c r="A2009" t="n">
        <v>200.7</v>
      </c>
      <c r="B2009">
        <f>IF(A2009&gt;162.1,Parameters!$B$5,Parameters!$B$4)</f>
        <v/>
      </c>
      <c r="C2009">
        <f>C2008-0.1*B2009+0</f>
        <v/>
      </c>
      <c r="D2009">
        <f>D2008-0.1*B2009+0</f>
        <v/>
      </c>
      <c r="E2009">
        <f>Parameters!$B$25</f>
        <v/>
      </c>
    </row>
    <row r="2010">
      <c r="A2010" t="n">
        <v>200.8</v>
      </c>
      <c r="B2010">
        <f>IF(A2010&gt;162.1,Parameters!$B$5,Parameters!$B$4)</f>
        <v/>
      </c>
      <c r="C2010">
        <f>C2009-0.1*B2010+0</f>
        <v/>
      </c>
      <c r="D2010">
        <f>D2009-0.1*B2010+0</f>
        <v/>
      </c>
      <c r="E2010">
        <f>Parameters!$B$25</f>
        <v/>
      </c>
    </row>
    <row r="2011">
      <c r="A2011" t="n">
        <v>200.9</v>
      </c>
      <c r="B2011">
        <f>IF(A2011&gt;162.1,Parameters!$B$5,Parameters!$B$4)</f>
        <v/>
      </c>
      <c r="C2011">
        <f>C2010-0.1*B2011+0</f>
        <v/>
      </c>
      <c r="D2011">
        <f>D2010-0.1*B2011+0</f>
        <v/>
      </c>
      <c r="E2011">
        <f>Parameters!$B$25</f>
        <v/>
      </c>
    </row>
    <row r="2012">
      <c r="A2012" t="n">
        <v>201</v>
      </c>
      <c r="B2012">
        <f>IF(A2012&gt;162.1,Parameters!$B$5,Parameters!$B$4)</f>
        <v/>
      </c>
      <c r="C2012">
        <f>C2011-0.1*B2012+0</f>
        <v/>
      </c>
      <c r="D2012">
        <f>D2011-0.1*B2012+0</f>
        <v/>
      </c>
      <c r="E2012">
        <f>Parameters!$B$25</f>
        <v/>
      </c>
    </row>
    <row r="2013">
      <c r="A2013" t="n">
        <v>201.1</v>
      </c>
      <c r="B2013">
        <f>IF(A2013&gt;162.1,Parameters!$B$5,Parameters!$B$4)</f>
        <v/>
      </c>
      <c r="C2013">
        <f>C2012-0.1*B2013+0</f>
        <v/>
      </c>
      <c r="D2013">
        <f>D2012-0.1*B2013+0</f>
        <v/>
      </c>
      <c r="E2013">
        <f>Parameters!$B$25</f>
        <v/>
      </c>
    </row>
    <row r="2014">
      <c r="A2014" t="n">
        <v>201.2</v>
      </c>
      <c r="B2014">
        <f>IF(A2014&gt;162.1,Parameters!$B$5,Parameters!$B$4)</f>
        <v/>
      </c>
      <c r="C2014">
        <f>C2013-0.1*B2014+0</f>
        <v/>
      </c>
      <c r="D2014">
        <f>D2013-0.1*B2014+0</f>
        <v/>
      </c>
      <c r="E2014">
        <f>Parameters!$B$25</f>
        <v/>
      </c>
    </row>
    <row r="2015">
      <c r="A2015" t="n">
        <v>201.3</v>
      </c>
      <c r="B2015">
        <f>IF(A2015&gt;162.1,Parameters!$B$5,Parameters!$B$4)</f>
        <v/>
      </c>
      <c r="C2015">
        <f>C2014-0.1*B2015+0</f>
        <v/>
      </c>
      <c r="D2015">
        <f>D2014-0.1*B2015+0</f>
        <v/>
      </c>
      <c r="E2015">
        <f>Parameters!$B$25</f>
        <v/>
      </c>
    </row>
    <row r="2016">
      <c r="A2016" t="n">
        <v>201.4</v>
      </c>
      <c r="B2016">
        <f>IF(A2016&gt;162.1,Parameters!$B$5,Parameters!$B$4)</f>
        <v/>
      </c>
      <c r="C2016">
        <f>C2015-0.1*B2016+0</f>
        <v/>
      </c>
      <c r="D2016">
        <f>D2015-0.1*B2016+0</f>
        <v/>
      </c>
      <c r="E2016">
        <f>Parameters!$B$25</f>
        <v/>
      </c>
    </row>
    <row r="2017">
      <c r="A2017" t="n">
        <v>201.5</v>
      </c>
      <c r="B2017">
        <f>IF(A2017&gt;162.1,Parameters!$B$5,Parameters!$B$4)</f>
        <v/>
      </c>
      <c r="C2017">
        <f>C2016-0.1*B2017+0</f>
        <v/>
      </c>
      <c r="D2017">
        <f>D2016-0.1*B2017+0</f>
        <v/>
      </c>
      <c r="E2017">
        <f>Parameters!$B$25</f>
        <v/>
      </c>
    </row>
    <row r="2018">
      <c r="A2018" t="n">
        <v>201.6</v>
      </c>
      <c r="B2018">
        <f>IF(A2018&gt;162.1,Parameters!$B$5,Parameters!$B$4)</f>
        <v/>
      </c>
      <c r="C2018">
        <f>C2017-0.1*B2018+0</f>
        <v/>
      </c>
      <c r="D2018">
        <f>D2017-0.1*B2018+0</f>
        <v/>
      </c>
      <c r="E2018">
        <f>Parameters!$B$25</f>
        <v/>
      </c>
    </row>
    <row r="2019">
      <c r="A2019" t="n">
        <v>201.7</v>
      </c>
      <c r="B2019">
        <f>IF(A2019&gt;162.1,Parameters!$B$5,Parameters!$B$4)</f>
        <v/>
      </c>
      <c r="C2019">
        <f>C2018-0.1*B2019+0</f>
        <v/>
      </c>
      <c r="D2019">
        <f>D2018-0.1*B2019+0</f>
        <v/>
      </c>
      <c r="E2019">
        <f>Parameters!$B$25</f>
        <v/>
      </c>
    </row>
    <row r="2020">
      <c r="A2020" t="n">
        <v>201.8</v>
      </c>
      <c r="B2020">
        <f>IF(A2020&gt;162.1,Parameters!$B$5,Parameters!$B$4)</f>
        <v/>
      </c>
      <c r="C2020">
        <f>C2019-0.1*B2020+0</f>
        <v/>
      </c>
      <c r="D2020">
        <f>D2019-0.1*B2020+0</f>
        <v/>
      </c>
      <c r="E2020">
        <f>Parameters!$B$25</f>
        <v/>
      </c>
    </row>
    <row r="2021">
      <c r="A2021" t="n">
        <v>201.9</v>
      </c>
      <c r="B2021">
        <f>IF(A2021&gt;162.1,Parameters!$B$5,Parameters!$B$4)</f>
        <v/>
      </c>
      <c r="C2021">
        <f>C2020-0.1*B2021+0</f>
        <v/>
      </c>
      <c r="D2021">
        <f>D2020-0.1*B2021+0</f>
        <v/>
      </c>
      <c r="E2021">
        <f>Parameters!$B$25</f>
        <v/>
      </c>
    </row>
    <row r="2022">
      <c r="A2022" t="n">
        <v>202</v>
      </c>
      <c r="B2022">
        <f>IF(A2022&gt;162.1,Parameters!$B$5,Parameters!$B$4)</f>
        <v/>
      </c>
      <c r="C2022">
        <f>C2021-0.1*B2022+0</f>
        <v/>
      </c>
      <c r="D2022">
        <f>D2021-0.1*B2022+0</f>
        <v/>
      </c>
      <c r="E2022">
        <f>Parameters!$B$25</f>
        <v/>
      </c>
    </row>
    <row r="2023">
      <c r="A2023" t="n">
        <v>202.1</v>
      </c>
      <c r="B2023">
        <f>IF(A2023&gt;162.1,Parameters!$B$5,Parameters!$B$4)</f>
        <v/>
      </c>
      <c r="C2023">
        <f>C2022-0.1*B2023+0</f>
        <v/>
      </c>
      <c r="D2023">
        <f>D2022-0.1*B2023+0</f>
        <v/>
      </c>
      <c r="E2023">
        <f>Parameters!$B$25</f>
        <v/>
      </c>
    </row>
    <row r="2024">
      <c r="A2024" t="n">
        <v>202.2</v>
      </c>
      <c r="B2024">
        <f>IF(A2024&gt;162.1,Parameters!$B$5,Parameters!$B$4)</f>
        <v/>
      </c>
      <c r="C2024">
        <f>C2023-0.1*B2024+0</f>
        <v/>
      </c>
      <c r="D2024">
        <f>D2023-0.1*B2024+0</f>
        <v/>
      </c>
      <c r="E2024">
        <f>Parameters!$B$25</f>
        <v/>
      </c>
    </row>
    <row r="2025">
      <c r="A2025" t="n">
        <v>202.3</v>
      </c>
      <c r="B2025">
        <f>IF(A2025&gt;162.1,Parameters!$B$5,Parameters!$B$4)</f>
        <v/>
      </c>
      <c r="C2025">
        <f>C2024-0.1*B2025+0</f>
        <v/>
      </c>
      <c r="D2025">
        <f>D2024-0.1*B2025+0</f>
        <v/>
      </c>
      <c r="E2025">
        <f>Parameters!$B$25</f>
        <v/>
      </c>
    </row>
    <row r="2026">
      <c r="A2026" t="n">
        <v>202.4</v>
      </c>
      <c r="B2026">
        <f>IF(A2026&gt;162.1,Parameters!$B$5,Parameters!$B$4)</f>
        <v/>
      </c>
      <c r="C2026">
        <f>C2025-0.1*B2026+0</f>
        <v/>
      </c>
      <c r="D2026">
        <f>D2025-0.1*B2026+0</f>
        <v/>
      </c>
      <c r="E2026">
        <f>Parameters!$B$25</f>
        <v/>
      </c>
    </row>
    <row r="2027">
      <c r="A2027" t="n">
        <v>202.5</v>
      </c>
      <c r="B2027">
        <f>IF(A2027&gt;162.1,Parameters!$B$5,Parameters!$B$4)</f>
        <v/>
      </c>
      <c r="C2027">
        <f>C2026-0.1*B2027+0</f>
        <v/>
      </c>
      <c r="D2027">
        <f>D2026-0.1*B2027+0</f>
        <v/>
      </c>
      <c r="E2027">
        <f>Parameters!$B$25</f>
        <v/>
      </c>
    </row>
    <row r="2028">
      <c r="A2028" t="n">
        <v>202.6</v>
      </c>
      <c r="B2028">
        <f>IF(A2028&gt;162.1,Parameters!$B$5,Parameters!$B$4)</f>
        <v/>
      </c>
      <c r="C2028">
        <f>C2027-0.1*B2028+0</f>
        <v/>
      </c>
      <c r="D2028">
        <f>D2027-0.1*B2028+0</f>
        <v/>
      </c>
      <c r="E2028">
        <f>Parameters!$B$25</f>
        <v/>
      </c>
    </row>
    <row r="2029">
      <c r="A2029" t="n">
        <v>202.7</v>
      </c>
      <c r="B2029">
        <f>IF(A2029&gt;162.1,Parameters!$B$5,Parameters!$B$4)</f>
        <v/>
      </c>
      <c r="C2029">
        <f>C2028-0.1*B2029+0</f>
        <v/>
      </c>
      <c r="D2029">
        <f>D2028-0.1*B2029+0</f>
        <v/>
      </c>
      <c r="E2029">
        <f>Parameters!$B$25</f>
        <v/>
      </c>
    </row>
    <row r="2030">
      <c r="A2030" t="n">
        <v>202.8</v>
      </c>
      <c r="B2030">
        <f>IF(A2030&gt;162.1,Parameters!$B$5,Parameters!$B$4)</f>
        <v/>
      </c>
      <c r="C2030">
        <f>C2029-0.1*B2030+0</f>
        <v/>
      </c>
      <c r="D2030">
        <f>D2029-0.1*B2030+0</f>
        <v/>
      </c>
      <c r="E2030">
        <f>Parameters!$B$25</f>
        <v/>
      </c>
    </row>
    <row r="2031">
      <c r="A2031" t="n">
        <v>202.9</v>
      </c>
      <c r="B2031">
        <f>IF(A2031&gt;162.1,Parameters!$B$5,Parameters!$B$4)</f>
        <v/>
      </c>
      <c r="C2031">
        <f>C2030-0.1*B2031+0</f>
        <v/>
      </c>
      <c r="D2031">
        <f>D2030-0.1*B2031+0</f>
        <v/>
      </c>
      <c r="E2031">
        <f>Parameters!$B$25</f>
        <v/>
      </c>
    </row>
    <row r="2032">
      <c r="A2032" t="n">
        <v>203</v>
      </c>
      <c r="B2032">
        <f>IF(A2032&gt;162.1,Parameters!$B$5,Parameters!$B$4)</f>
        <v/>
      </c>
      <c r="C2032">
        <f>C2031-0.1*B2032+0</f>
        <v/>
      </c>
      <c r="D2032">
        <f>D2031-0.1*B2032+0</f>
        <v/>
      </c>
      <c r="E2032">
        <f>Parameters!$B$25</f>
        <v/>
      </c>
    </row>
    <row r="2033">
      <c r="A2033" t="n">
        <v>203.1</v>
      </c>
      <c r="B2033">
        <f>IF(A2033&gt;162.1,Parameters!$B$5,Parameters!$B$4)</f>
        <v/>
      </c>
      <c r="C2033">
        <f>C2032-0.1*B2033+0</f>
        <v/>
      </c>
      <c r="D2033">
        <f>D2032-0.1*B2033+0</f>
        <v/>
      </c>
      <c r="E2033">
        <f>Parameters!$B$25</f>
        <v/>
      </c>
    </row>
    <row r="2034">
      <c r="A2034" t="n">
        <v>203.2</v>
      </c>
      <c r="B2034">
        <f>IF(A2034&gt;162.1,Parameters!$B$5,Parameters!$B$4)</f>
        <v/>
      </c>
      <c r="C2034">
        <f>C2033-0.1*B2034+0</f>
        <v/>
      </c>
      <c r="D2034">
        <f>D2033-0.1*B2034+0</f>
        <v/>
      </c>
      <c r="E2034">
        <f>Parameters!$B$25</f>
        <v/>
      </c>
    </row>
    <row r="2035">
      <c r="A2035" t="n">
        <v>203.3</v>
      </c>
      <c r="B2035">
        <f>IF(A2035&gt;162.1,Parameters!$B$5,Parameters!$B$4)</f>
        <v/>
      </c>
      <c r="C2035">
        <f>C2034-0.1*B2035+0</f>
        <v/>
      </c>
      <c r="D2035">
        <f>D2034-0.1*B2035+0</f>
        <v/>
      </c>
      <c r="E2035">
        <f>Parameters!$B$25</f>
        <v/>
      </c>
    </row>
    <row r="2036">
      <c r="A2036" t="n">
        <v>203.4</v>
      </c>
      <c r="B2036">
        <f>IF(A2036&gt;162.1,Parameters!$B$5,Parameters!$B$4)</f>
        <v/>
      </c>
      <c r="C2036">
        <f>C2035-0.1*B2036+0</f>
        <v/>
      </c>
      <c r="D2036">
        <f>D2035-0.1*B2036+0</f>
        <v/>
      </c>
      <c r="E2036">
        <f>Parameters!$B$25</f>
        <v/>
      </c>
    </row>
    <row r="2037">
      <c r="A2037" t="n">
        <v>203.5</v>
      </c>
      <c r="B2037">
        <f>IF(A2037&gt;162.1,Parameters!$B$5,Parameters!$B$4)</f>
        <v/>
      </c>
      <c r="C2037">
        <f>C2036-0.1*B2037+0</f>
        <v/>
      </c>
      <c r="D2037">
        <f>D2036-0.1*B2037+0</f>
        <v/>
      </c>
      <c r="E2037">
        <f>Parameters!$B$25</f>
        <v/>
      </c>
    </row>
    <row r="2038">
      <c r="A2038" t="n">
        <v>203.6</v>
      </c>
      <c r="B2038">
        <f>IF(A2038&gt;162.1,Parameters!$B$5,Parameters!$B$4)</f>
        <v/>
      </c>
      <c r="C2038">
        <f>C2037-0.1*B2038+0</f>
        <v/>
      </c>
      <c r="D2038">
        <f>D2037-0.1*B2038+0</f>
        <v/>
      </c>
      <c r="E2038">
        <f>Parameters!$B$25</f>
        <v/>
      </c>
    </row>
    <row r="2039">
      <c r="A2039" t="n">
        <v>203.7</v>
      </c>
      <c r="B2039">
        <f>IF(A2039&gt;162.1,Parameters!$B$5,Parameters!$B$4)</f>
        <v/>
      </c>
      <c r="C2039">
        <f>C2038-0.1*B2039+0</f>
        <v/>
      </c>
      <c r="D2039">
        <f>D2038-0.1*B2039+0</f>
        <v/>
      </c>
      <c r="E2039">
        <f>Parameters!$B$25</f>
        <v/>
      </c>
    </row>
    <row r="2040">
      <c r="A2040" t="n">
        <v>203.8</v>
      </c>
      <c r="B2040">
        <f>IF(A2040&gt;162.1,Parameters!$B$5,Parameters!$B$4)</f>
        <v/>
      </c>
      <c r="C2040">
        <f>C2039-0.1*B2040+0</f>
        <v/>
      </c>
      <c r="D2040">
        <f>D2039-0.1*B2040+0</f>
        <v/>
      </c>
      <c r="E2040">
        <f>Parameters!$B$25</f>
        <v/>
      </c>
    </row>
    <row r="2041">
      <c r="A2041" t="n">
        <v>203.9</v>
      </c>
      <c r="B2041">
        <f>IF(A2041&gt;162.1,Parameters!$B$5,Parameters!$B$4)</f>
        <v/>
      </c>
      <c r="C2041">
        <f>C2040-0.1*B2041+0</f>
        <v/>
      </c>
      <c r="D2041">
        <f>D2040-0.1*B2041+0</f>
        <v/>
      </c>
      <c r="E2041">
        <f>Parameters!$B$25</f>
        <v/>
      </c>
    </row>
    <row r="2042">
      <c r="A2042" t="n">
        <v>204</v>
      </c>
      <c r="B2042">
        <f>IF(A2042&gt;162.1,Parameters!$B$5,Parameters!$B$4)</f>
        <v/>
      </c>
      <c r="C2042">
        <f>C2041-0.1*B2042+0</f>
        <v/>
      </c>
      <c r="D2042">
        <f>D2041-0.1*B2042+0</f>
        <v/>
      </c>
      <c r="E2042">
        <f>Parameters!$B$25</f>
        <v/>
      </c>
    </row>
    <row r="2043">
      <c r="A2043" t="n">
        <v>204.1</v>
      </c>
      <c r="B2043">
        <f>IF(A2043&gt;162.1,Parameters!$B$5,Parameters!$B$4)</f>
        <v/>
      </c>
      <c r="C2043">
        <f>C2042-0.1*B2043+0</f>
        <v/>
      </c>
      <c r="D2043">
        <f>D2042-0.1*B2043+0</f>
        <v/>
      </c>
      <c r="E2043">
        <f>Parameters!$B$25</f>
        <v/>
      </c>
    </row>
    <row r="2044">
      <c r="A2044" t="n">
        <v>204.2</v>
      </c>
      <c r="B2044">
        <f>IF(A2044&gt;162.1,Parameters!$B$5,Parameters!$B$4)</f>
        <v/>
      </c>
      <c r="C2044">
        <f>C2043-0.1*B2044+0</f>
        <v/>
      </c>
      <c r="D2044">
        <f>D2043-0.1*B2044+0</f>
        <v/>
      </c>
      <c r="E2044">
        <f>Parameters!$B$25</f>
        <v/>
      </c>
    </row>
    <row r="2045">
      <c r="A2045" t="n">
        <v>204.3</v>
      </c>
      <c r="B2045">
        <f>IF(A2045&gt;162.1,Parameters!$B$5,Parameters!$B$4)</f>
        <v/>
      </c>
      <c r="C2045">
        <f>C2044-0.1*B2045+0</f>
        <v/>
      </c>
      <c r="D2045">
        <f>D2044-0.1*B2045+0</f>
        <v/>
      </c>
      <c r="E2045">
        <f>Parameters!$B$25</f>
        <v/>
      </c>
    </row>
    <row r="2046">
      <c r="A2046" t="n">
        <v>204.4</v>
      </c>
      <c r="B2046">
        <f>IF(A2046&gt;162.1,Parameters!$B$5,Parameters!$B$4)</f>
        <v/>
      </c>
      <c r="C2046">
        <f>C2045-0.1*B2046+0</f>
        <v/>
      </c>
      <c r="D2046">
        <f>D2045-0.1*B2046+0</f>
        <v/>
      </c>
      <c r="E2046">
        <f>Parameters!$B$25</f>
        <v/>
      </c>
    </row>
    <row r="2047">
      <c r="A2047" t="n">
        <v>204.5</v>
      </c>
      <c r="B2047">
        <f>IF(A2047&gt;162.1,Parameters!$B$5,Parameters!$B$4)</f>
        <v/>
      </c>
      <c r="C2047">
        <f>C2046-0.1*B2047+0</f>
        <v/>
      </c>
      <c r="D2047">
        <f>D2046-0.1*B2047+0</f>
        <v/>
      </c>
      <c r="E2047">
        <f>Parameters!$B$25</f>
        <v/>
      </c>
    </row>
    <row r="2048">
      <c r="A2048" t="n">
        <v>204.6</v>
      </c>
      <c r="B2048">
        <f>IF(A2048&gt;162.1,Parameters!$B$5,Parameters!$B$4)</f>
        <v/>
      </c>
      <c r="C2048">
        <f>C2047-0.1*B2048+0</f>
        <v/>
      </c>
      <c r="D2048">
        <f>D2047-0.1*B2048+0</f>
        <v/>
      </c>
      <c r="E2048">
        <f>Parameters!$B$25</f>
        <v/>
      </c>
    </row>
    <row r="2049">
      <c r="A2049" t="n">
        <v>204.7</v>
      </c>
      <c r="B2049">
        <f>IF(A2049&gt;162.1,Parameters!$B$5,Parameters!$B$4)</f>
        <v/>
      </c>
      <c r="C2049">
        <f>C2048-0.1*B2049+0</f>
        <v/>
      </c>
      <c r="D2049">
        <f>D2048-0.1*B2049+0</f>
        <v/>
      </c>
      <c r="E2049">
        <f>Parameters!$B$25</f>
        <v/>
      </c>
    </row>
    <row r="2050">
      <c r="A2050" t="n">
        <v>204.8</v>
      </c>
      <c r="B2050">
        <f>IF(A2050&gt;162.1,Parameters!$B$5,Parameters!$B$4)</f>
        <v/>
      </c>
      <c r="C2050">
        <f>C2049-0.1*B2050+0</f>
        <v/>
      </c>
      <c r="D2050">
        <f>D2049-0.1*B2050+0</f>
        <v/>
      </c>
      <c r="E2050">
        <f>Parameters!$B$25</f>
        <v/>
      </c>
    </row>
    <row r="2051">
      <c r="A2051" t="n">
        <v>204.9</v>
      </c>
      <c r="B2051">
        <f>IF(A2051&gt;162.1,Parameters!$B$5,Parameters!$B$4)</f>
        <v/>
      </c>
      <c r="C2051">
        <f>C2050-0.1*B2051+0</f>
        <v/>
      </c>
      <c r="D2051">
        <f>D2050-0.1*B2051+0</f>
        <v/>
      </c>
      <c r="E2051">
        <f>Parameters!$B$25</f>
        <v/>
      </c>
    </row>
    <row r="2052">
      <c r="A2052" t="n">
        <v>205</v>
      </c>
      <c r="B2052">
        <f>IF(A2052&gt;162.1,Parameters!$B$5,Parameters!$B$4)</f>
        <v/>
      </c>
      <c r="C2052">
        <f>C2051-0.1*B2052+0</f>
        <v/>
      </c>
      <c r="D2052">
        <f>D2051-0.1*B2052+0</f>
        <v/>
      </c>
      <c r="E2052">
        <f>Parameters!$B$25</f>
        <v/>
      </c>
    </row>
    <row r="2053">
      <c r="A2053" t="n">
        <v>205.1</v>
      </c>
      <c r="B2053">
        <f>IF(A2053&gt;162.1,Parameters!$B$5,Parameters!$B$4)</f>
        <v/>
      </c>
      <c r="C2053">
        <f>C2052-0.1*B2053+0</f>
        <v/>
      </c>
      <c r="D2053">
        <f>D2052-0.1*B2053+0</f>
        <v/>
      </c>
      <c r="E2053">
        <f>Parameters!$B$25</f>
        <v/>
      </c>
    </row>
    <row r="2054">
      <c r="A2054" t="n">
        <v>205.2</v>
      </c>
      <c r="B2054">
        <f>IF(A2054&gt;162.1,Parameters!$B$5,Parameters!$B$4)</f>
        <v/>
      </c>
      <c r="C2054">
        <f>C2053-0.1*B2054+0</f>
        <v/>
      </c>
      <c r="D2054">
        <f>D2053-0.1*B2054+0</f>
        <v/>
      </c>
      <c r="E2054">
        <f>Parameters!$B$25</f>
        <v/>
      </c>
    </row>
    <row r="2055">
      <c r="A2055" t="n">
        <v>205.3</v>
      </c>
      <c r="B2055">
        <f>IF(A2055&gt;162.1,Parameters!$B$5,Parameters!$B$4)</f>
        <v/>
      </c>
      <c r="C2055">
        <f>C2054-0.1*B2055+0</f>
        <v/>
      </c>
      <c r="D2055">
        <f>D2054-0.1*B2055+0</f>
        <v/>
      </c>
      <c r="E2055">
        <f>Parameters!$B$25</f>
        <v/>
      </c>
    </row>
    <row r="2056">
      <c r="A2056" t="n">
        <v>205.4</v>
      </c>
      <c r="B2056">
        <f>IF(A2056&gt;162.1,Parameters!$B$5,Parameters!$B$4)</f>
        <v/>
      </c>
      <c r="C2056">
        <f>C2055-0.1*B2056+0</f>
        <v/>
      </c>
      <c r="D2056">
        <f>D2055-0.1*B2056+0</f>
        <v/>
      </c>
      <c r="E2056">
        <f>Parameters!$B$25</f>
        <v/>
      </c>
    </row>
    <row r="2057">
      <c r="A2057" t="n">
        <v>205.5</v>
      </c>
      <c r="B2057">
        <f>IF(A2057&gt;162.1,Parameters!$B$5,Parameters!$B$4)</f>
        <v/>
      </c>
      <c r="C2057">
        <f>C2056-0.1*B2057+0</f>
        <v/>
      </c>
      <c r="D2057">
        <f>D2056-0.1*B2057+0</f>
        <v/>
      </c>
      <c r="E2057">
        <f>Parameters!$B$25</f>
        <v/>
      </c>
    </row>
    <row r="2058">
      <c r="A2058" t="n">
        <v>205.6</v>
      </c>
      <c r="B2058">
        <f>IF(A2058&gt;162.1,Parameters!$B$5,Parameters!$B$4)</f>
        <v/>
      </c>
      <c r="C2058">
        <f>C2057-0.1*B2058+0</f>
        <v/>
      </c>
      <c r="D2058">
        <f>D2057-0.1*B2058+0</f>
        <v/>
      </c>
      <c r="E2058">
        <f>Parameters!$B$25</f>
        <v/>
      </c>
    </row>
    <row r="2059">
      <c r="A2059" t="n">
        <v>205.7</v>
      </c>
      <c r="B2059">
        <f>IF(A2059&gt;162.1,Parameters!$B$5,Parameters!$B$4)</f>
        <v/>
      </c>
      <c r="C2059">
        <f>C2058-0.1*B2059+0</f>
        <v/>
      </c>
      <c r="D2059">
        <f>D2058-0.1*B2059+0</f>
        <v/>
      </c>
      <c r="E2059">
        <f>Parameters!$B$25</f>
        <v/>
      </c>
    </row>
    <row r="2060">
      <c r="A2060" t="n">
        <v>205.8</v>
      </c>
      <c r="B2060">
        <f>IF(A2060&gt;162.1,Parameters!$B$5,Parameters!$B$4)</f>
        <v/>
      </c>
      <c r="C2060">
        <f>C2059-0.1*B2060+0</f>
        <v/>
      </c>
      <c r="D2060">
        <f>D2059-0.1*B2060+0</f>
        <v/>
      </c>
      <c r="E2060">
        <f>Parameters!$B$25</f>
        <v/>
      </c>
    </row>
    <row r="2061">
      <c r="A2061" t="n">
        <v>205.9</v>
      </c>
      <c r="B2061">
        <f>IF(A2061&gt;162.1,Parameters!$B$5,Parameters!$B$4)</f>
        <v/>
      </c>
      <c r="C2061">
        <f>C2060-0.1*B2061+0</f>
        <v/>
      </c>
      <c r="D2061">
        <f>D2060-0.1*B2061+0</f>
        <v/>
      </c>
      <c r="E2061">
        <f>Parameters!$B$25</f>
        <v/>
      </c>
    </row>
    <row r="2062">
      <c r="A2062" t="n">
        <v>206</v>
      </c>
      <c r="B2062">
        <f>IF(A2062&gt;162.1,Parameters!$B$5,Parameters!$B$4)</f>
        <v/>
      </c>
      <c r="C2062">
        <f>C2061-0.1*B2062+0</f>
        <v/>
      </c>
      <c r="D2062">
        <f>D2061-0.1*B2062+0</f>
        <v/>
      </c>
      <c r="E2062">
        <f>Parameters!$B$25</f>
        <v/>
      </c>
    </row>
    <row r="2063">
      <c r="A2063" t="n">
        <v>206.1</v>
      </c>
      <c r="B2063">
        <f>IF(A2063&gt;162.1,Parameters!$B$5,Parameters!$B$4)</f>
        <v/>
      </c>
      <c r="C2063">
        <f>C2062-0.1*B2063+0</f>
        <v/>
      </c>
      <c r="D2063">
        <f>D2062-0.1*B2063+0</f>
        <v/>
      </c>
      <c r="E2063">
        <f>Parameters!$B$25</f>
        <v/>
      </c>
    </row>
    <row r="2064">
      <c r="A2064" t="n">
        <v>206.2</v>
      </c>
      <c r="B2064">
        <f>IF(A2064&gt;162.1,Parameters!$B$5,Parameters!$B$4)</f>
        <v/>
      </c>
      <c r="C2064">
        <f>C2063-0.1*B2064+0</f>
        <v/>
      </c>
      <c r="D2064">
        <f>D2063-0.1*B2064+0</f>
        <v/>
      </c>
      <c r="E2064">
        <f>Parameters!$B$25</f>
        <v/>
      </c>
    </row>
    <row r="2065">
      <c r="A2065" t="n">
        <v>206.3</v>
      </c>
      <c r="B2065">
        <f>IF(A2065&gt;162.1,Parameters!$B$5,Parameters!$B$4)</f>
        <v/>
      </c>
      <c r="C2065">
        <f>C2064-0.1*B2065+0</f>
        <v/>
      </c>
      <c r="D2065">
        <f>D2064-0.1*B2065+0</f>
        <v/>
      </c>
      <c r="E2065">
        <f>Parameters!$B$25</f>
        <v/>
      </c>
    </row>
    <row r="2066">
      <c r="A2066" t="n">
        <v>206.4</v>
      </c>
      <c r="B2066">
        <f>IF(A2066&gt;162.1,Parameters!$B$5,Parameters!$B$4)</f>
        <v/>
      </c>
      <c r="C2066">
        <f>C2065-0.1*B2066+0</f>
        <v/>
      </c>
      <c r="D2066">
        <f>D2065-0.1*B2066+0</f>
        <v/>
      </c>
      <c r="E2066">
        <f>Parameters!$B$25</f>
        <v/>
      </c>
    </row>
    <row r="2067">
      <c r="A2067" t="n">
        <v>206.5</v>
      </c>
      <c r="B2067">
        <f>IF(A2067&gt;162.1,Parameters!$B$5,Parameters!$B$4)</f>
        <v/>
      </c>
      <c r="C2067">
        <f>C2066-0.1*B2067+0</f>
        <v/>
      </c>
      <c r="D2067">
        <f>D2066-0.1*B2067+0</f>
        <v/>
      </c>
      <c r="E2067">
        <f>Parameters!$B$25</f>
        <v/>
      </c>
    </row>
    <row r="2068">
      <c r="A2068" t="n">
        <v>206.6</v>
      </c>
      <c r="B2068">
        <f>IF(A2068&gt;162.1,Parameters!$B$5,Parameters!$B$4)</f>
        <v/>
      </c>
      <c r="C2068">
        <f>C2067-0.1*B2068+0</f>
        <v/>
      </c>
      <c r="D2068">
        <f>D2067-0.1*B2068+0</f>
        <v/>
      </c>
      <c r="E2068">
        <f>Parameters!$B$25</f>
        <v/>
      </c>
    </row>
    <row r="2069">
      <c r="A2069" t="n">
        <v>206.7</v>
      </c>
      <c r="B2069">
        <f>IF(A2069&gt;162.1,Parameters!$B$5,Parameters!$B$4)</f>
        <v/>
      </c>
      <c r="C2069">
        <f>C2068-0.1*B2069+0</f>
        <v/>
      </c>
      <c r="D2069">
        <f>D2068-0.1*B2069+0</f>
        <v/>
      </c>
      <c r="E2069">
        <f>Parameters!$B$25</f>
        <v/>
      </c>
    </row>
    <row r="2070">
      <c r="A2070" t="n">
        <v>206.8</v>
      </c>
      <c r="B2070">
        <f>IF(A2070&gt;162.1,Parameters!$B$5,Parameters!$B$4)</f>
        <v/>
      </c>
      <c r="C2070">
        <f>C2069-0.1*B2070+0</f>
        <v/>
      </c>
      <c r="D2070">
        <f>D2069-0.1*B2070+0</f>
        <v/>
      </c>
      <c r="E2070">
        <f>Parameters!$B$25</f>
        <v/>
      </c>
    </row>
    <row r="2071">
      <c r="A2071" t="n">
        <v>206.9</v>
      </c>
      <c r="B2071">
        <f>IF(A2071&gt;162.1,Parameters!$B$5,Parameters!$B$4)</f>
        <v/>
      </c>
      <c r="C2071">
        <f>C2070-0.1*B2071+0</f>
        <v/>
      </c>
      <c r="D2071">
        <f>D2070-0.1*B2071+0</f>
        <v/>
      </c>
      <c r="E2071">
        <f>Parameters!$B$25</f>
        <v/>
      </c>
    </row>
    <row r="2072">
      <c r="A2072" t="n">
        <v>207</v>
      </c>
      <c r="B2072">
        <f>IF(A2072&gt;162.1,Parameters!$B$5,Parameters!$B$4)</f>
        <v/>
      </c>
      <c r="C2072">
        <f>C2071-0.1*B2072+0</f>
        <v/>
      </c>
      <c r="D2072">
        <f>D2071-0.1*B2072+0</f>
        <v/>
      </c>
      <c r="E2072">
        <f>Parameters!$B$25</f>
        <v/>
      </c>
    </row>
    <row r="2073">
      <c r="A2073" t="n">
        <v>207.1</v>
      </c>
      <c r="B2073">
        <f>IF(A2073&gt;162.1,Parameters!$B$5,Parameters!$B$4)</f>
        <v/>
      </c>
      <c r="C2073">
        <f>C2072-0.1*B2073+0</f>
        <v/>
      </c>
      <c r="D2073">
        <f>D2072-0.1*B2073+0</f>
        <v/>
      </c>
      <c r="E2073">
        <f>Parameters!$B$25</f>
        <v/>
      </c>
    </row>
    <row r="2074">
      <c r="A2074" t="n">
        <v>207.2</v>
      </c>
      <c r="B2074">
        <f>IF(A2074&gt;162.1,Parameters!$B$5,Parameters!$B$4)</f>
        <v/>
      </c>
      <c r="C2074">
        <f>C2073-0.1*B2074+0</f>
        <v/>
      </c>
      <c r="D2074">
        <f>D2073-0.1*B2074+0</f>
        <v/>
      </c>
      <c r="E2074">
        <f>Parameters!$B$25</f>
        <v/>
      </c>
    </row>
    <row r="2075">
      <c r="A2075" t="n">
        <v>207.3</v>
      </c>
      <c r="B2075">
        <f>IF(A2075&gt;162.1,Parameters!$B$5,Parameters!$B$4)</f>
        <v/>
      </c>
      <c r="C2075">
        <f>C2074-0.1*B2075+0</f>
        <v/>
      </c>
      <c r="D2075">
        <f>D2074-0.1*B2075+0</f>
        <v/>
      </c>
      <c r="E2075">
        <f>Parameters!$B$25</f>
        <v/>
      </c>
    </row>
    <row r="2076">
      <c r="A2076" t="n">
        <v>207.4</v>
      </c>
      <c r="B2076">
        <f>IF(A2076&gt;162.1,Parameters!$B$5,Parameters!$B$4)</f>
        <v/>
      </c>
      <c r="C2076">
        <f>C2075-0.1*B2076+0</f>
        <v/>
      </c>
      <c r="D2076">
        <f>D2075-0.1*B2076+0</f>
        <v/>
      </c>
      <c r="E2076">
        <f>Parameters!$B$25</f>
        <v/>
      </c>
    </row>
    <row r="2077">
      <c r="A2077" t="n">
        <v>207.5</v>
      </c>
      <c r="B2077">
        <f>IF(A2077&gt;162.1,Parameters!$B$5,Parameters!$B$4)</f>
        <v/>
      </c>
      <c r="C2077">
        <f>C2076-0.1*B2077+0</f>
        <v/>
      </c>
      <c r="D2077">
        <f>D2076-0.1*B2077+0</f>
        <v/>
      </c>
      <c r="E2077">
        <f>Parameters!$B$25</f>
        <v/>
      </c>
    </row>
    <row r="2078">
      <c r="A2078" t="n">
        <v>207.6</v>
      </c>
      <c r="B2078">
        <f>IF(A2078&gt;162.1,Parameters!$B$5,Parameters!$B$4)</f>
        <v/>
      </c>
      <c r="C2078">
        <f>C2077-0.1*B2078+0</f>
        <v/>
      </c>
      <c r="D2078">
        <f>D2077-0.1*B2078+0</f>
        <v/>
      </c>
      <c r="E2078">
        <f>Parameters!$B$25</f>
        <v/>
      </c>
    </row>
    <row r="2079">
      <c r="A2079" t="n">
        <v>207.7</v>
      </c>
      <c r="B2079">
        <f>IF(A2079&gt;162.1,Parameters!$B$5,Parameters!$B$4)</f>
        <v/>
      </c>
      <c r="C2079">
        <f>C2078-0.1*B2079+0</f>
        <v/>
      </c>
      <c r="D2079">
        <f>D2078-0.1*B2079+0</f>
        <v/>
      </c>
      <c r="E2079">
        <f>Parameters!$B$25</f>
        <v/>
      </c>
    </row>
    <row r="2080">
      <c r="A2080" t="n">
        <v>207.8</v>
      </c>
      <c r="B2080">
        <f>IF(A2080&gt;162.1,Parameters!$B$5,Parameters!$B$4)</f>
        <v/>
      </c>
      <c r="C2080">
        <f>C2079-0.1*B2080+0</f>
        <v/>
      </c>
      <c r="D2080">
        <f>D2079-0.1*B2080+0</f>
        <v/>
      </c>
      <c r="E2080">
        <f>Parameters!$B$25</f>
        <v/>
      </c>
    </row>
    <row r="2081">
      <c r="A2081" t="n">
        <v>207.9</v>
      </c>
      <c r="B2081">
        <f>IF(A2081&gt;162.1,Parameters!$B$5,Parameters!$B$4)</f>
        <v/>
      </c>
      <c r="C2081">
        <f>C2080-0.1*B2081+0</f>
        <v/>
      </c>
      <c r="D2081">
        <f>D2080-0.1*B2081+0</f>
        <v/>
      </c>
      <c r="E2081">
        <f>Parameters!$B$25</f>
        <v/>
      </c>
    </row>
    <row r="2082">
      <c r="A2082" t="n">
        <v>208</v>
      </c>
      <c r="B2082">
        <f>IF(A2082&gt;162.1,Parameters!$B$5,Parameters!$B$4)</f>
        <v/>
      </c>
      <c r="C2082">
        <f>C2081-0.1*B2082+0</f>
        <v/>
      </c>
      <c r="D2082">
        <f>D2081-0.1*B2082+0</f>
        <v/>
      </c>
      <c r="E2082">
        <f>Parameters!$B$25</f>
        <v/>
      </c>
    </row>
    <row r="2083">
      <c r="A2083" t="n">
        <v>208.1</v>
      </c>
      <c r="B2083">
        <f>IF(A2083&gt;162.1,Parameters!$B$5,Parameters!$B$4)</f>
        <v/>
      </c>
      <c r="C2083">
        <f>C2082-0.1*B2083+0</f>
        <v/>
      </c>
      <c r="D2083">
        <f>D2082-0.1*B2083+0</f>
        <v/>
      </c>
      <c r="E2083">
        <f>Parameters!$B$25</f>
        <v/>
      </c>
    </row>
    <row r="2084">
      <c r="A2084" t="n">
        <v>208.2</v>
      </c>
      <c r="B2084">
        <f>IF(A2084&gt;162.1,Parameters!$B$5,Parameters!$B$4)</f>
        <v/>
      </c>
      <c r="C2084">
        <f>C2083-0.1*B2084+0</f>
        <v/>
      </c>
      <c r="D2084">
        <f>D2083-0.1*B2084+0</f>
        <v/>
      </c>
      <c r="E2084">
        <f>Parameters!$B$25</f>
        <v/>
      </c>
    </row>
    <row r="2085">
      <c r="A2085" t="n">
        <v>208.3</v>
      </c>
      <c r="B2085">
        <f>IF(A2085&gt;162.1,Parameters!$B$5,Parameters!$B$4)</f>
        <v/>
      </c>
      <c r="C2085">
        <f>C2084-0.1*B2085+0</f>
        <v/>
      </c>
      <c r="D2085">
        <f>D2084-0.1*B2085+0</f>
        <v/>
      </c>
      <c r="E2085">
        <f>Parameters!$B$25</f>
        <v/>
      </c>
    </row>
    <row r="2086">
      <c r="A2086" t="n">
        <v>208.4</v>
      </c>
      <c r="B2086">
        <f>IF(A2086&gt;162.1,Parameters!$B$5,Parameters!$B$4)</f>
        <v/>
      </c>
      <c r="C2086">
        <f>C2085-0.1*B2086+0</f>
        <v/>
      </c>
      <c r="D2086">
        <f>D2085-0.1*B2086+0</f>
        <v/>
      </c>
      <c r="E2086">
        <f>Parameters!$B$25</f>
        <v/>
      </c>
    </row>
    <row r="2087">
      <c r="A2087" t="n">
        <v>208.5</v>
      </c>
      <c r="B2087">
        <f>IF(A2087&gt;162.1,Parameters!$B$5,Parameters!$B$4)</f>
        <v/>
      </c>
      <c r="C2087">
        <f>C2086-0.1*B2087+0</f>
        <v/>
      </c>
      <c r="D2087">
        <f>D2086-0.1*B2087+0</f>
        <v/>
      </c>
      <c r="E2087">
        <f>Parameters!$B$25</f>
        <v/>
      </c>
    </row>
    <row r="2088">
      <c r="A2088" t="n">
        <v>208.6</v>
      </c>
      <c r="B2088">
        <f>IF(A2088&gt;162.1,Parameters!$B$5,Parameters!$B$4)</f>
        <v/>
      </c>
      <c r="C2088">
        <f>C2087-0.1*B2088+0</f>
        <v/>
      </c>
      <c r="D2088">
        <f>D2087-0.1*B2088+0</f>
        <v/>
      </c>
      <c r="E2088">
        <f>Parameters!$B$25</f>
        <v/>
      </c>
    </row>
    <row r="2089">
      <c r="A2089" t="n">
        <v>208.7</v>
      </c>
      <c r="B2089">
        <f>IF(A2089&gt;162.1,Parameters!$B$5,Parameters!$B$4)</f>
        <v/>
      </c>
      <c r="C2089">
        <f>C2088-0.1*B2089+0</f>
        <v/>
      </c>
      <c r="D2089">
        <f>D2088-0.1*B2089+0</f>
        <v/>
      </c>
      <c r="E2089">
        <f>Parameters!$B$25</f>
        <v/>
      </c>
    </row>
    <row r="2090">
      <c r="A2090" t="n">
        <v>208.8</v>
      </c>
      <c r="B2090">
        <f>IF(A2090&gt;162.1,Parameters!$B$5,Parameters!$B$4)</f>
        <v/>
      </c>
      <c r="C2090">
        <f>C2089-0.1*B2090+0</f>
        <v/>
      </c>
      <c r="D2090">
        <f>D2089-0.1*B2090+0</f>
        <v/>
      </c>
      <c r="E2090">
        <f>Parameters!$B$25</f>
        <v/>
      </c>
    </row>
    <row r="2091">
      <c r="A2091" t="n">
        <v>208.9</v>
      </c>
      <c r="B2091">
        <f>IF(A2091&gt;162.1,Parameters!$B$5,Parameters!$B$4)</f>
        <v/>
      </c>
      <c r="C2091">
        <f>C2090-0.1*B2091+0</f>
        <v/>
      </c>
      <c r="D2091">
        <f>D2090-0.1*B2091+0</f>
        <v/>
      </c>
      <c r="E2091">
        <f>Parameters!$B$25</f>
        <v/>
      </c>
    </row>
    <row r="2092">
      <c r="A2092" t="n">
        <v>209</v>
      </c>
      <c r="B2092">
        <f>IF(A2092&gt;162.1,Parameters!$B$5,Parameters!$B$4)</f>
        <v/>
      </c>
      <c r="C2092">
        <f>C2091-0.1*B2092+0</f>
        <v/>
      </c>
      <c r="D2092">
        <f>D2091-0.1*B2092+0</f>
        <v/>
      </c>
      <c r="E2092">
        <f>Parameters!$B$25</f>
        <v/>
      </c>
    </row>
    <row r="2093">
      <c r="A2093" t="n">
        <v>209.1</v>
      </c>
      <c r="B2093">
        <f>IF(A2093&gt;162.1,Parameters!$B$5,Parameters!$B$4)</f>
        <v/>
      </c>
      <c r="C2093">
        <f>C2092-0.1*B2093+0</f>
        <v/>
      </c>
      <c r="D2093">
        <f>D2092-0.1*B2093+0</f>
        <v/>
      </c>
      <c r="E2093">
        <f>Parameters!$B$25</f>
        <v/>
      </c>
    </row>
    <row r="2094">
      <c r="A2094" t="n">
        <v>209.2</v>
      </c>
      <c r="B2094">
        <f>IF(A2094&gt;162.1,Parameters!$B$5,Parameters!$B$4)</f>
        <v/>
      </c>
      <c r="C2094">
        <f>C2093-0.1*B2094+0</f>
        <v/>
      </c>
      <c r="D2094">
        <f>D2093-0.1*B2094+0</f>
        <v/>
      </c>
      <c r="E2094">
        <f>Parameters!$B$25</f>
        <v/>
      </c>
    </row>
    <row r="2095">
      <c r="A2095" t="n">
        <v>209.3</v>
      </c>
      <c r="B2095">
        <f>IF(A2095&gt;162.1,Parameters!$B$5,Parameters!$B$4)</f>
        <v/>
      </c>
      <c r="C2095">
        <f>C2094-0.1*B2095+0</f>
        <v/>
      </c>
      <c r="D2095">
        <f>D2094-0.1*B2095+0</f>
        <v/>
      </c>
      <c r="E2095">
        <f>Parameters!$B$25</f>
        <v/>
      </c>
    </row>
    <row r="2096">
      <c r="A2096" t="n">
        <v>209.4</v>
      </c>
      <c r="B2096">
        <f>IF(A2096&gt;162.1,Parameters!$B$5,Parameters!$B$4)</f>
        <v/>
      </c>
      <c r="C2096">
        <f>C2095-0.1*B2096+0</f>
        <v/>
      </c>
      <c r="D2096">
        <f>D2095-0.1*B2096+0</f>
        <v/>
      </c>
      <c r="E2096">
        <f>Parameters!$B$25</f>
        <v/>
      </c>
    </row>
    <row r="2097">
      <c r="A2097" t="n">
        <v>209.5</v>
      </c>
      <c r="B2097">
        <f>IF(A2097&gt;162.1,Parameters!$B$5,Parameters!$B$4)</f>
        <v/>
      </c>
      <c r="C2097">
        <f>C2096-0.1*B2097+0</f>
        <v/>
      </c>
      <c r="D2097">
        <f>D2096-0.1*B2097+0</f>
        <v/>
      </c>
      <c r="E2097">
        <f>Parameters!$B$25</f>
        <v/>
      </c>
    </row>
    <row r="2098">
      <c r="A2098" t="n">
        <v>209.6</v>
      </c>
      <c r="B2098">
        <f>IF(A2098&gt;162.1,Parameters!$B$5,Parameters!$B$4)</f>
        <v/>
      </c>
      <c r="C2098">
        <f>C2097-0.1*B2098+0</f>
        <v/>
      </c>
      <c r="D2098">
        <f>D2097-0.1*B2098+0</f>
        <v/>
      </c>
      <c r="E2098">
        <f>Parameters!$B$25</f>
        <v/>
      </c>
    </row>
    <row r="2099">
      <c r="A2099" t="n">
        <v>209.7</v>
      </c>
      <c r="B2099">
        <f>IF(A2099&gt;162.1,Parameters!$B$5,Parameters!$B$4)</f>
        <v/>
      </c>
      <c r="C2099">
        <f>C2098-0.1*B2099+0</f>
        <v/>
      </c>
      <c r="D2099">
        <f>D2098-0.1*B2099+0</f>
        <v/>
      </c>
      <c r="E2099">
        <f>Parameters!$B$25</f>
        <v/>
      </c>
    </row>
    <row r="2100">
      <c r="A2100" t="n">
        <v>209.8</v>
      </c>
      <c r="B2100">
        <f>IF(A2100&gt;162.1,Parameters!$B$5,Parameters!$B$4)</f>
        <v/>
      </c>
      <c r="C2100">
        <f>C2099-0.1*B2100+0</f>
        <v/>
      </c>
      <c r="D2100">
        <f>D2099-0.1*B2100+0</f>
        <v/>
      </c>
      <c r="E2100">
        <f>Parameters!$B$25</f>
        <v/>
      </c>
    </row>
    <row r="2101">
      <c r="A2101" t="n">
        <v>209.9</v>
      </c>
      <c r="B2101">
        <f>IF(A2101&gt;162.1,Parameters!$B$5,Parameters!$B$4)</f>
        <v/>
      </c>
      <c r="C2101">
        <f>C2100-0.1*B2101+0</f>
        <v/>
      </c>
      <c r="D2101">
        <f>D2100-0.1*B2101+0</f>
        <v/>
      </c>
      <c r="E2101">
        <f>Parameters!$B$25</f>
        <v/>
      </c>
    </row>
    <row r="2102">
      <c r="A2102" t="n">
        <v>210</v>
      </c>
      <c r="B2102">
        <f>IF(A2102&gt;162.1,Parameters!$B$5,Parameters!$B$4)</f>
        <v/>
      </c>
      <c r="C2102">
        <f>C2101-0.1*B2102+0</f>
        <v/>
      </c>
      <c r="D2102">
        <f>D2101-0.1*B2102+0</f>
        <v/>
      </c>
      <c r="E2102">
        <f>Parameters!$B$25</f>
        <v/>
      </c>
    </row>
    <row r="2103">
      <c r="A2103" t="n">
        <v>210.1</v>
      </c>
      <c r="B2103">
        <f>IF(A2103&gt;162.1,Parameters!$B$5,Parameters!$B$4)</f>
        <v/>
      </c>
      <c r="C2103">
        <f>C2102-0.1*B2103+0</f>
        <v/>
      </c>
      <c r="D2103">
        <f>D2102-0.1*B2103+0</f>
        <v/>
      </c>
      <c r="E2103">
        <f>Parameters!$B$25</f>
        <v/>
      </c>
    </row>
    <row r="2104">
      <c r="A2104" t="n">
        <v>210.2</v>
      </c>
      <c r="B2104">
        <f>IF(A2104&gt;162.1,Parameters!$B$5,Parameters!$B$4)</f>
        <v/>
      </c>
      <c r="C2104">
        <f>C2103-0.1*B2104+0</f>
        <v/>
      </c>
      <c r="D2104">
        <f>D2103-0.1*B2104+0</f>
        <v/>
      </c>
      <c r="E2104">
        <f>Parameters!$B$25</f>
        <v/>
      </c>
    </row>
    <row r="2105">
      <c r="A2105" t="n">
        <v>210.3</v>
      </c>
      <c r="B2105">
        <f>IF(A2105&gt;162.1,Parameters!$B$5,Parameters!$B$4)</f>
        <v/>
      </c>
      <c r="C2105">
        <f>C2104-0.1*B2105+0</f>
        <v/>
      </c>
      <c r="D2105">
        <f>D2104-0.1*B2105+0</f>
        <v/>
      </c>
      <c r="E2105">
        <f>Parameters!$B$25</f>
        <v/>
      </c>
    </row>
    <row r="2106">
      <c r="A2106" t="n">
        <v>210.4</v>
      </c>
      <c r="B2106">
        <f>IF(A2106&gt;162.1,Parameters!$B$5,Parameters!$B$4)</f>
        <v/>
      </c>
      <c r="C2106">
        <f>C2105-0.1*B2106+0</f>
        <v/>
      </c>
      <c r="D2106">
        <f>D2105-0.1*B2106+0</f>
        <v/>
      </c>
      <c r="E2106">
        <f>Parameters!$B$25</f>
        <v/>
      </c>
    </row>
    <row r="2107">
      <c r="A2107" t="n">
        <v>210.5</v>
      </c>
      <c r="B2107">
        <f>IF(A2107&gt;162.1,Parameters!$B$5,Parameters!$B$4)</f>
        <v/>
      </c>
      <c r="C2107">
        <f>C2106-0.1*B2107+0</f>
        <v/>
      </c>
      <c r="D2107">
        <f>D2106-0.1*B2107+0</f>
        <v/>
      </c>
      <c r="E2107">
        <f>Parameters!$B$25</f>
        <v/>
      </c>
    </row>
    <row r="2108">
      <c r="A2108" t="n">
        <v>210.6</v>
      </c>
      <c r="B2108">
        <f>IF(A2108&gt;162.1,Parameters!$B$5,Parameters!$B$4)</f>
        <v/>
      </c>
      <c r="C2108">
        <f>C2107-0.1*B2108+0</f>
        <v/>
      </c>
      <c r="D2108">
        <f>D2107-0.1*B2108+0</f>
        <v/>
      </c>
      <c r="E2108">
        <f>Parameters!$B$25</f>
        <v/>
      </c>
    </row>
    <row r="2109">
      <c r="A2109" t="n">
        <v>210.7</v>
      </c>
      <c r="B2109">
        <f>IF(A2109&gt;162.1,Parameters!$B$5,Parameters!$B$4)</f>
        <v/>
      </c>
      <c r="C2109">
        <f>C2108-0.1*B2109+0</f>
        <v/>
      </c>
      <c r="D2109">
        <f>D2108-0.1*B2109+0</f>
        <v/>
      </c>
      <c r="E2109">
        <f>Parameters!$B$25</f>
        <v/>
      </c>
    </row>
    <row r="2110">
      <c r="A2110" t="n">
        <v>210.8</v>
      </c>
      <c r="B2110">
        <f>IF(A2110&gt;162.1,Parameters!$B$5,Parameters!$B$4)</f>
        <v/>
      </c>
      <c r="C2110">
        <f>C2109-0.1*B2110+0</f>
        <v/>
      </c>
      <c r="D2110">
        <f>D2109-0.1*B2110+0</f>
        <v/>
      </c>
      <c r="E2110">
        <f>Parameters!$B$25</f>
        <v/>
      </c>
    </row>
    <row r="2111">
      <c r="A2111" t="n">
        <v>210.9</v>
      </c>
      <c r="B2111">
        <f>IF(A2111&gt;162.1,Parameters!$B$5,Parameters!$B$4)</f>
        <v/>
      </c>
      <c r="C2111">
        <f>C2110-0.1*B2111+0</f>
        <v/>
      </c>
      <c r="D2111">
        <f>D2110-0.1*B2111+0</f>
        <v/>
      </c>
      <c r="E2111">
        <f>Parameters!$B$25</f>
        <v/>
      </c>
    </row>
    <row r="2112">
      <c r="A2112" t="n">
        <v>211</v>
      </c>
      <c r="B2112">
        <f>IF(A2112&gt;162.1,Parameters!$B$5,Parameters!$B$4)</f>
        <v/>
      </c>
      <c r="C2112">
        <f>C2111-0.1*B2112+0</f>
        <v/>
      </c>
      <c r="D2112">
        <f>D2111-0.1*B2112+0</f>
        <v/>
      </c>
      <c r="E2112">
        <f>Parameters!$B$25</f>
        <v/>
      </c>
    </row>
    <row r="2113">
      <c r="A2113" t="n">
        <v>211.1</v>
      </c>
      <c r="B2113">
        <f>IF(A2113&gt;162.1,Parameters!$B$5,Parameters!$B$4)</f>
        <v/>
      </c>
      <c r="C2113">
        <f>C2112-0.1*B2113+0</f>
        <v/>
      </c>
      <c r="D2113">
        <f>D2112-0.1*B2113+0</f>
        <v/>
      </c>
      <c r="E2113">
        <f>Parameters!$B$25</f>
        <v/>
      </c>
    </row>
    <row r="2114">
      <c r="A2114" t="n">
        <v>211.2</v>
      </c>
      <c r="B2114">
        <f>IF(A2114&gt;162.1,Parameters!$B$5,Parameters!$B$4)</f>
        <v/>
      </c>
      <c r="C2114">
        <f>C2113-0.1*B2114+0</f>
        <v/>
      </c>
      <c r="D2114">
        <f>D2113-0.1*B2114+0</f>
        <v/>
      </c>
      <c r="E2114">
        <f>Parameters!$B$25</f>
        <v/>
      </c>
    </row>
    <row r="2115">
      <c r="A2115" t="n">
        <v>211.3</v>
      </c>
      <c r="B2115">
        <f>IF(A2115&gt;162.1,Parameters!$B$5,Parameters!$B$4)</f>
        <v/>
      </c>
      <c r="C2115">
        <f>C2114-0.1*B2115+0</f>
        <v/>
      </c>
      <c r="D2115">
        <f>D2114-0.1*B2115+0</f>
        <v/>
      </c>
      <c r="E2115">
        <f>Parameters!$B$25</f>
        <v/>
      </c>
    </row>
    <row r="2116">
      <c r="A2116" t="n">
        <v>211.4</v>
      </c>
      <c r="B2116">
        <f>IF(A2116&gt;162.1,Parameters!$B$5,Parameters!$B$4)</f>
        <v/>
      </c>
      <c r="C2116">
        <f>C2115-0.1*B2116+0</f>
        <v/>
      </c>
      <c r="D2116">
        <f>D2115-0.1*B2116+0</f>
        <v/>
      </c>
      <c r="E2116">
        <f>Parameters!$B$25</f>
        <v/>
      </c>
    </row>
    <row r="2117">
      <c r="A2117" t="n">
        <v>211.5</v>
      </c>
      <c r="B2117">
        <f>IF(A2117&gt;162.1,Parameters!$B$5,Parameters!$B$4)</f>
        <v/>
      </c>
      <c r="C2117">
        <f>C2116-0.1*B2117+0</f>
        <v/>
      </c>
      <c r="D2117">
        <f>D2116-0.1*B2117+0</f>
        <v/>
      </c>
      <c r="E2117">
        <f>Parameters!$B$25</f>
        <v/>
      </c>
    </row>
    <row r="2118">
      <c r="A2118" t="n">
        <v>211.6</v>
      </c>
      <c r="B2118">
        <f>IF(A2118&gt;162.1,Parameters!$B$5,Parameters!$B$4)</f>
        <v/>
      </c>
      <c r="C2118">
        <f>C2117-0.1*B2118+0</f>
        <v/>
      </c>
      <c r="D2118">
        <f>D2117-0.1*B2118+0</f>
        <v/>
      </c>
      <c r="E2118">
        <f>Parameters!$B$25</f>
        <v/>
      </c>
    </row>
    <row r="2119">
      <c r="A2119" t="n">
        <v>211.7</v>
      </c>
      <c r="B2119">
        <f>IF(A2119&gt;162.1,Parameters!$B$5,Parameters!$B$4)</f>
        <v/>
      </c>
      <c r="C2119">
        <f>C2118-0.1*B2119+0</f>
        <v/>
      </c>
      <c r="D2119">
        <f>D2118-0.1*B2119+0</f>
        <v/>
      </c>
      <c r="E2119">
        <f>Parameters!$B$25</f>
        <v/>
      </c>
    </row>
    <row r="2120">
      <c r="A2120" t="n">
        <v>211.8</v>
      </c>
      <c r="B2120">
        <f>IF(A2120&gt;162.1,Parameters!$B$5,Parameters!$B$4)</f>
        <v/>
      </c>
      <c r="C2120">
        <f>C2119-0.1*B2120+0</f>
        <v/>
      </c>
      <c r="D2120">
        <f>D2119-0.1*B2120+0</f>
        <v/>
      </c>
      <c r="E2120">
        <f>Parameters!$B$25</f>
        <v/>
      </c>
    </row>
    <row r="2121">
      <c r="A2121" t="n">
        <v>211.9</v>
      </c>
      <c r="B2121">
        <f>IF(A2121&gt;162.1,Parameters!$B$5,Parameters!$B$4)</f>
        <v/>
      </c>
      <c r="C2121">
        <f>C2120-0.1*B2121+0</f>
        <v/>
      </c>
      <c r="D2121">
        <f>D2120-0.1*B2121+0</f>
        <v/>
      </c>
      <c r="E2121">
        <f>Parameters!$B$25</f>
        <v/>
      </c>
    </row>
    <row r="2122">
      <c r="A2122" t="n">
        <v>212</v>
      </c>
      <c r="B2122">
        <f>IF(A2122&gt;162.1,Parameters!$B$5,Parameters!$B$4)</f>
        <v/>
      </c>
      <c r="C2122">
        <f>C2121-0.1*B2122+0</f>
        <v/>
      </c>
      <c r="D2122">
        <f>D2121-0.1*B2122+0</f>
        <v/>
      </c>
      <c r="E2122">
        <f>Parameters!$B$25</f>
        <v/>
      </c>
    </row>
    <row r="2123">
      <c r="A2123" t="n">
        <v>212.1</v>
      </c>
      <c r="B2123">
        <f>IF(A2123&gt;162.1,Parameters!$B$5,Parameters!$B$4)</f>
        <v/>
      </c>
      <c r="C2123">
        <f>C2122-0.1*B2123+0</f>
        <v/>
      </c>
      <c r="D2123">
        <f>D2122-0.1*B2123+0</f>
        <v/>
      </c>
      <c r="E2123">
        <f>Parameters!$B$25</f>
        <v/>
      </c>
    </row>
    <row r="2124">
      <c r="A2124" t="n">
        <v>212.2</v>
      </c>
      <c r="B2124">
        <f>IF(A2124&gt;162.1,Parameters!$B$5,Parameters!$B$4)</f>
        <v/>
      </c>
      <c r="C2124">
        <f>C2123-0.1*B2124+0</f>
        <v/>
      </c>
      <c r="D2124">
        <f>D2123-0.1*B2124+0</f>
        <v/>
      </c>
      <c r="E2124">
        <f>Parameters!$B$25</f>
        <v/>
      </c>
    </row>
    <row r="2125">
      <c r="A2125" t="n">
        <v>212.3</v>
      </c>
      <c r="B2125">
        <f>IF(A2125&gt;162.1,Parameters!$B$5,Parameters!$B$4)</f>
        <v/>
      </c>
      <c r="C2125">
        <f>C2124-0.1*B2125+0</f>
        <v/>
      </c>
      <c r="D2125">
        <f>D2124-0.1*B2125+0</f>
        <v/>
      </c>
      <c r="E2125">
        <f>Parameters!$B$25</f>
        <v/>
      </c>
    </row>
    <row r="2126">
      <c r="A2126" t="n">
        <v>212.4</v>
      </c>
      <c r="B2126">
        <f>IF(A2126&gt;162.1,Parameters!$B$5,Parameters!$B$4)</f>
        <v/>
      </c>
      <c r="C2126">
        <f>C2125-0.1*B2126+0</f>
        <v/>
      </c>
      <c r="D2126">
        <f>D2125-0.1*B2126+0</f>
        <v/>
      </c>
      <c r="E2126">
        <f>Parameters!$B$25</f>
        <v/>
      </c>
    </row>
    <row r="2127">
      <c r="A2127" t="n">
        <v>212.5</v>
      </c>
      <c r="B2127">
        <f>IF(A2127&gt;162.1,Parameters!$B$5,Parameters!$B$4)</f>
        <v/>
      </c>
      <c r="C2127">
        <f>C2126-0.1*B2127+0</f>
        <v/>
      </c>
      <c r="D2127">
        <f>D2126-0.1*B2127+0</f>
        <v/>
      </c>
      <c r="E2127">
        <f>Parameters!$B$25</f>
        <v/>
      </c>
    </row>
    <row r="2128">
      <c r="A2128" t="n">
        <v>212.6</v>
      </c>
      <c r="B2128">
        <f>IF(A2128&gt;162.1,Parameters!$B$5,Parameters!$B$4)</f>
        <v/>
      </c>
      <c r="C2128">
        <f>C2127-0.1*B2128+0</f>
        <v/>
      </c>
      <c r="D2128">
        <f>D2127-0.1*B2128+0</f>
        <v/>
      </c>
      <c r="E2128">
        <f>Parameters!$B$25</f>
        <v/>
      </c>
    </row>
    <row r="2129">
      <c r="A2129" t="n">
        <v>212.7</v>
      </c>
      <c r="B2129">
        <f>IF(A2129&gt;162.1,Parameters!$B$5,Parameters!$B$4)</f>
        <v/>
      </c>
      <c r="C2129">
        <f>C2128-0.1*B2129+0</f>
        <v/>
      </c>
      <c r="D2129">
        <f>D2128-0.1*B2129+0</f>
        <v/>
      </c>
      <c r="E2129">
        <f>Parameters!$B$25</f>
        <v/>
      </c>
    </row>
    <row r="2130">
      <c r="A2130" t="n">
        <v>212.8</v>
      </c>
      <c r="B2130">
        <f>IF(A2130&gt;162.1,Parameters!$B$5,Parameters!$B$4)</f>
        <v/>
      </c>
      <c r="C2130">
        <f>C2129-0.1*B2130+0</f>
        <v/>
      </c>
      <c r="D2130">
        <f>D2129-0.1*B2130+0</f>
        <v/>
      </c>
      <c r="E2130">
        <f>Parameters!$B$25</f>
        <v/>
      </c>
    </row>
    <row r="2131">
      <c r="A2131" t="n">
        <v>212.9</v>
      </c>
      <c r="B2131">
        <f>IF(A2131&gt;162.1,Parameters!$B$5,Parameters!$B$4)</f>
        <v/>
      </c>
      <c r="C2131">
        <f>C2130-0.1*B2131+0</f>
        <v/>
      </c>
      <c r="D2131">
        <f>D2130-0.1*B2131+0</f>
        <v/>
      </c>
      <c r="E2131">
        <f>Parameters!$B$25</f>
        <v/>
      </c>
    </row>
    <row r="2132">
      <c r="A2132" t="n">
        <v>213</v>
      </c>
      <c r="B2132">
        <f>IF(A2132&gt;162.1,Parameters!$B$5,Parameters!$B$4)</f>
        <v/>
      </c>
      <c r="C2132">
        <f>C2131-0.1*B2132+0</f>
        <v/>
      </c>
      <c r="D2132">
        <f>D2131-0.1*B2132+0</f>
        <v/>
      </c>
      <c r="E2132">
        <f>Parameters!$B$25</f>
        <v/>
      </c>
    </row>
    <row r="2133">
      <c r="A2133" t="n">
        <v>213.1</v>
      </c>
      <c r="B2133">
        <f>IF(A2133&gt;162.1,Parameters!$B$5,Parameters!$B$4)</f>
        <v/>
      </c>
      <c r="C2133">
        <f>C2132-0.1*B2133+0</f>
        <v/>
      </c>
      <c r="D2133">
        <f>D2132-0.1*B2133+0</f>
        <v/>
      </c>
      <c r="E2133">
        <f>Parameters!$B$25</f>
        <v/>
      </c>
    </row>
    <row r="2134">
      <c r="A2134" t="n">
        <v>213.2</v>
      </c>
      <c r="B2134">
        <f>IF(A2134&gt;162.1,Parameters!$B$5,Parameters!$B$4)</f>
        <v/>
      </c>
      <c r="C2134">
        <f>C2133-0.1*B2134+0</f>
        <v/>
      </c>
      <c r="D2134">
        <f>D2133-0.1*B2134+0</f>
        <v/>
      </c>
      <c r="E2134">
        <f>Parameters!$B$25</f>
        <v/>
      </c>
    </row>
    <row r="2135">
      <c r="A2135" t="n">
        <v>213.3</v>
      </c>
      <c r="B2135">
        <f>IF(A2135&gt;162.1,Parameters!$B$5,Parameters!$B$4)</f>
        <v/>
      </c>
      <c r="C2135">
        <f>C2134-0.1*B2135+0</f>
        <v/>
      </c>
      <c r="D2135">
        <f>D2134-0.1*B2135+0</f>
        <v/>
      </c>
      <c r="E2135">
        <f>Parameters!$B$25</f>
        <v/>
      </c>
    </row>
    <row r="2136">
      <c r="A2136" t="n">
        <v>213.4</v>
      </c>
      <c r="B2136">
        <f>IF(A2136&gt;162.1,Parameters!$B$5,Parameters!$B$4)</f>
        <v/>
      </c>
      <c r="C2136">
        <f>C2135-0.1*B2136+0</f>
        <v/>
      </c>
      <c r="D2136">
        <f>D2135-0.1*B2136+0</f>
        <v/>
      </c>
      <c r="E2136">
        <f>Parameters!$B$25</f>
        <v/>
      </c>
    </row>
    <row r="2137">
      <c r="A2137" t="n">
        <v>213.5</v>
      </c>
      <c r="B2137">
        <f>IF(A2137&gt;162.1,Parameters!$B$5,Parameters!$B$4)</f>
        <v/>
      </c>
      <c r="C2137">
        <f>C2136-0.1*B2137+0</f>
        <v/>
      </c>
      <c r="D2137">
        <f>D2136-0.1*B2137+0</f>
        <v/>
      </c>
      <c r="E2137">
        <f>Parameters!$B$25</f>
        <v/>
      </c>
    </row>
    <row r="2138">
      <c r="A2138" t="n">
        <v>213.6</v>
      </c>
      <c r="B2138">
        <f>IF(A2138&gt;162.1,Parameters!$B$5,Parameters!$B$4)</f>
        <v/>
      </c>
      <c r="C2138">
        <f>C2137-0.1*B2138+0</f>
        <v/>
      </c>
      <c r="D2138">
        <f>D2137-0.1*B2138+0</f>
        <v/>
      </c>
      <c r="E2138">
        <f>Parameters!$B$25</f>
        <v/>
      </c>
    </row>
    <row r="2139">
      <c r="A2139" t="n">
        <v>213.7</v>
      </c>
      <c r="B2139">
        <f>IF(A2139&gt;162.1,Parameters!$B$5,Parameters!$B$4)</f>
        <v/>
      </c>
      <c r="C2139">
        <f>C2138-0.1*B2139+0</f>
        <v/>
      </c>
      <c r="D2139">
        <f>D2138-0.1*B2139+0</f>
        <v/>
      </c>
      <c r="E2139">
        <f>Parameters!$B$25</f>
        <v/>
      </c>
    </row>
    <row r="2140">
      <c r="A2140" t="n">
        <v>213.8</v>
      </c>
      <c r="B2140">
        <f>IF(A2140&gt;162.1,Parameters!$B$5,Parameters!$B$4)</f>
        <v/>
      </c>
      <c r="C2140">
        <f>C2139-0.1*B2140+0</f>
        <v/>
      </c>
      <c r="D2140">
        <f>D2139-0.1*B2140+0</f>
        <v/>
      </c>
      <c r="E2140">
        <f>Parameters!$B$25</f>
        <v/>
      </c>
    </row>
    <row r="2141">
      <c r="A2141" t="n">
        <v>213.9</v>
      </c>
      <c r="B2141">
        <f>IF(A2141&gt;162.1,Parameters!$B$5,Parameters!$B$4)</f>
        <v/>
      </c>
      <c r="C2141">
        <f>C2140-0.1*B2141+0</f>
        <v/>
      </c>
      <c r="D2141">
        <f>D2140-0.1*B2141+0</f>
        <v/>
      </c>
      <c r="E2141">
        <f>Parameters!$B$25</f>
        <v/>
      </c>
    </row>
    <row r="2142">
      <c r="A2142" t="n">
        <v>214</v>
      </c>
      <c r="B2142">
        <f>IF(A2142&gt;162.1,Parameters!$B$5,Parameters!$B$4)</f>
        <v/>
      </c>
      <c r="C2142">
        <f>C2141-0.1*B2142+0</f>
        <v/>
      </c>
      <c r="D2142">
        <f>D2141-0.1*B2142+0</f>
        <v/>
      </c>
      <c r="E2142">
        <f>Parameters!$B$25</f>
        <v/>
      </c>
    </row>
    <row r="2143">
      <c r="A2143" t="n">
        <v>214.1</v>
      </c>
      <c r="B2143">
        <f>IF(A2143&gt;162.1,Parameters!$B$5,Parameters!$B$4)</f>
        <v/>
      </c>
      <c r="C2143">
        <f>C2142-0.1*B2143+0</f>
        <v/>
      </c>
      <c r="D2143">
        <f>D2142-0.1*B2143+0</f>
        <v/>
      </c>
      <c r="E2143">
        <f>Parameters!$B$25</f>
        <v/>
      </c>
    </row>
    <row r="2144">
      <c r="A2144" t="n">
        <v>214.2</v>
      </c>
      <c r="B2144">
        <f>IF(A2144&gt;162.1,Parameters!$B$5,Parameters!$B$4)</f>
        <v/>
      </c>
      <c r="C2144">
        <f>C2143-0.1*B2144+0</f>
        <v/>
      </c>
      <c r="D2144">
        <f>D2143-0.1*B2144+0</f>
        <v/>
      </c>
      <c r="E2144">
        <f>Parameters!$B$25</f>
        <v/>
      </c>
    </row>
    <row r="2145">
      <c r="A2145" t="n">
        <v>214.3</v>
      </c>
      <c r="B2145">
        <f>IF(A2145&gt;162.1,Parameters!$B$5,Parameters!$B$4)</f>
        <v/>
      </c>
      <c r="C2145">
        <f>C2144-0.1*B2145+0</f>
        <v/>
      </c>
      <c r="D2145">
        <f>D2144-0.1*B2145+0</f>
        <v/>
      </c>
      <c r="E2145">
        <f>Parameters!$B$25</f>
        <v/>
      </c>
    </row>
    <row r="2146">
      <c r="A2146" t="n">
        <v>214.4</v>
      </c>
      <c r="B2146">
        <f>IF(A2146&gt;162.1,Parameters!$B$5,Parameters!$B$4)</f>
        <v/>
      </c>
      <c r="C2146">
        <f>C2145-0.1*B2146+0</f>
        <v/>
      </c>
      <c r="D2146">
        <f>D2145-0.1*B2146+0</f>
        <v/>
      </c>
      <c r="E2146">
        <f>Parameters!$B$25</f>
        <v/>
      </c>
    </row>
    <row r="2147">
      <c r="A2147" t="n">
        <v>214.5</v>
      </c>
      <c r="B2147">
        <f>IF(A2147&gt;162.1,Parameters!$B$5,Parameters!$B$4)</f>
        <v/>
      </c>
      <c r="C2147">
        <f>C2146-0.1*B2147+0</f>
        <v/>
      </c>
      <c r="D2147">
        <f>D2146-0.1*B2147+0</f>
        <v/>
      </c>
      <c r="E2147">
        <f>Parameters!$B$25</f>
        <v/>
      </c>
    </row>
    <row r="2148">
      <c r="A2148" t="n">
        <v>214.6</v>
      </c>
      <c r="B2148">
        <f>IF(A2148&gt;162.1,Parameters!$B$5,Parameters!$B$4)</f>
        <v/>
      </c>
      <c r="C2148">
        <f>C2147-0.1*B2148+0</f>
        <v/>
      </c>
      <c r="D2148">
        <f>D2147-0.1*B2148+0</f>
        <v/>
      </c>
      <c r="E2148">
        <f>Parameters!$B$25</f>
        <v/>
      </c>
    </row>
    <row r="2149">
      <c r="A2149" t="n">
        <v>214.7</v>
      </c>
      <c r="B2149">
        <f>IF(A2149&gt;162.1,Parameters!$B$5,Parameters!$B$4)</f>
        <v/>
      </c>
      <c r="C2149">
        <f>C2148-0.1*B2149+0</f>
        <v/>
      </c>
      <c r="D2149">
        <f>D2148-0.1*B2149+0</f>
        <v/>
      </c>
      <c r="E2149">
        <f>Parameters!$B$25</f>
        <v/>
      </c>
    </row>
    <row r="2150">
      <c r="A2150" t="n">
        <v>214.8</v>
      </c>
      <c r="B2150">
        <f>IF(A2150&gt;162.1,Parameters!$B$5,Parameters!$B$4)</f>
        <v/>
      </c>
      <c r="C2150">
        <f>C2149-0.1*B2150+0</f>
        <v/>
      </c>
      <c r="D2150">
        <f>D2149-0.1*B2150+0</f>
        <v/>
      </c>
      <c r="E2150">
        <f>Parameters!$B$25</f>
        <v/>
      </c>
    </row>
    <row r="2151">
      <c r="A2151" t="n">
        <v>214.9</v>
      </c>
      <c r="B2151">
        <f>IF(A2151&gt;162.1,Parameters!$B$5,Parameters!$B$4)</f>
        <v/>
      </c>
      <c r="C2151">
        <f>C2150-0.1*B2151+0</f>
        <v/>
      </c>
      <c r="D2151">
        <f>D2150-0.1*B2151+0</f>
        <v/>
      </c>
      <c r="E2151">
        <f>Parameters!$B$25</f>
        <v/>
      </c>
    </row>
    <row r="2152">
      <c r="A2152" t="n">
        <v>215</v>
      </c>
      <c r="B2152">
        <f>IF(A2152&gt;162.1,Parameters!$B$5,Parameters!$B$4)</f>
        <v/>
      </c>
      <c r="C2152">
        <f>C2151-0.1*B2152+0</f>
        <v/>
      </c>
      <c r="D2152">
        <f>D2151-0.1*B2152+0</f>
        <v/>
      </c>
      <c r="E2152">
        <f>Parameters!$B$25</f>
        <v/>
      </c>
    </row>
    <row r="2153">
      <c r="A2153" t="n">
        <v>215.1</v>
      </c>
      <c r="B2153">
        <f>IF(A2153&gt;162.1,Parameters!$B$5,Parameters!$B$4)</f>
        <v/>
      </c>
      <c r="C2153">
        <f>C2152-0.1*B2153+0</f>
        <v/>
      </c>
      <c r="D2153">
        <f>D2152-0.1*B2153+0</f>
        <v/>
      </c>
      <c r="E2153">
        <f>Parameters!$B$25</f>
        <v/>
      </c>
    </row>
    <row r="2154">
      <c r="A2154" t="n">
        <v>215.2</v>
      </c>
      <c r="B2154">
        <f>IF(A2154&gt;162.1,Parameters!$B$5,Parameters!$B$4)</f>
        <v/>
      </c>
      <c r="C2154">
        <f>C2153-0.1*B2154+0</f>
        <v/>
      </c>
      <c r="D2154">
        <f>D2153-0.1*B2154+0</f>
        <v/>
      </c>
      <c r="E2154">
        <f>Parameters!$B$25</f>
        <v/>
      </c>
    </row>
    <row r="2155">
      <c r="A2155" t="n">
        <v>215.3</v>
      </c>
      <c r="B2155">
        <f>IF(A2155&gt;162.1,Parameters!$B$5,Parameters!$B$4)</f>
        <v/>
      </c>
      <c r="C2155">
        <f>C2154-0.1*B2155+0</f>
        <v/>
      </c>
      <c r="D2155">
        <f>D2154-0.1*B2155+0</f>
        <v/>
      </c>
      <c r="E2155">
        <f>Parameters!$B$25</f>
        <v/>
      </c>
    </row>
    <row r="2156">
      <c r="A2156" t="n">
        <v>215.4</v>
      </c>
      <c r="B2156">
        <f>IF(A2156&gt;162.1,Parameters!$B$5,Parameters!$B$4)</f>
        <v/>
      </c>
      <c r="C2156">
        <f>C2155-0.1*B2156+0</f>
        <v/>
      </c>
      <c r="D2156">
        <f>D2155-0.1*B2156+0</f>
        <v/>
      </c>
      <c r="E2156">
        <f>Parameters!$B$25</f>
        <v/>
      </c>
    </row>
    <row r="2157">
      <c r="A2157" t="n">
        <v>215.5</v>
      </c>
      <c r="B2157">
        <f>IF(A2157&gt;162.1,Parameters!$B$5,Parameters!$B$4)</f>
        <v/>
      </c>
      <c r="C2157">
        <f>C2156-0.1*B2157+0</f>
        <v/>
      </c>
      <c r="D2157">
        <f>D2156-0.1*B2157+0</f>
        <v/>
      </c>
      <c r="E2157">
        <f>Parameters!$B$25</f>
        <v/>
      </c>
    </row>
    <row r="2158">
      <c r="A2158" t="n">
        <v>215.6</v>
      </c>
      <c r="B2158">
        <f>IF(A2158&gt;162.1,Parameters!$B$5,Parameters!$B$4)</f>
        <v/>
      </c>
      <c r="C2158">
        <f>C2157-0.1*B2158+0</f>
        <v/>
      </c>
      <c r="D2158">
        <f>D2157-0.1*B2158+0</f>
        <v/>
      </c>
      <c r="E2158">
        <f>Parameters!$B$25</f>
        <v/>
      </c>
    </row>
    <row r="2159">
      <c r="A2159" t="n">
        <v>215.7</v>
      </c>
      <c r="B2159">
        <f>IF(A2159&gt;162.1,Parameters!$B$5,Parameters!$B$4)</f>
        <v/>
      </c>
      <c r="C2159">
        <f>C2158-0.1*B2159+0</f>
        <v/>
      </c>
      <c r="D2159">
        <f>D2158-0.1*B2159+0</f>
        <v/>
      </c>
      <c r="E2159">
        <f>Parameters!$B$25</f>
        <v/>
      </c>
    </row>
    <row r="2160">
      <c r="A2160" t="n">
        <v>215.8</v>
      </c>
      <c r="B2160">
        <f>IF(A2160&gt;162.1,Parameters!$B$5,Parameters!$B$4)</f>
        <v/>
      </c>
      <c r="C2160">
        <f>C2159-0.1*B2160+0</f>
        <v/>
      </c>
      <c r="D2160">
        <f>D2159-0.1*B2160+0</f>
        <v/>
      </c>
      <c r="E2160">
        <f>Parameters!$B$25</f>
        <v/>
      </c>
    </row>
    <row r="2161">
      <c r="A2161" t="n">
        <v>215.9</v>
      </c>
      <c r="B2161">
        <f>IF(A2161&gt;162.1,Parameters!$B$5,Parameters!$B$4)</f>
        <v/>
      </c>
      <c r="C2161">
        <f>C2160-0.1*B2161+0</f>
        <v/>
      </c>
      <c r="D2161">
        <f>D2160-0.1*B2161+0</f>
        <v/>
      </c>
      <c r="E2161">
        <f>Parameters!$B$25</f>
        <v/>
      </c>
    </row>
    <row r="2162">
      <c r="A2162" t="n">
        <v>216</v>
      </c>
      <c r="B2162">
        <f>IF(A2162&gt;162.1,Parameters!$B$5,Parameters!$B$4)</f>
        <v/>
      </c>
      <c r="C2162">
        <f>C2161-0.1*B2162+0</f>
        <v/>
      </c>
      <c r="D2162">
        <f>D2161-0.1*B2162+0</f>
        <v/>
      </c>
      <c r="E2162">
        <f>Parameters!$B$25</f>
        <v/>
      </c>
    </row>
    <row r="2163">
      <c r="A2163" t="n">
        <v>216.1</v>
      </c>
      <c r="B2163">
        <f>IF(A2163&gt;162.1,Parameters!$B$5,Parameters!$B$4)</f>
        <v/>
      </c>
      <c r="C2163">
        <f>C2162-0.1*B2163+0</f>
        <v/>
      </c>
      <c r="D2163">
        <f>D2162-0.1*B2163+0</f>
        <v/>
      </c>
      <c r="E2163">
        <f>Parameters!$B$25</f>
        <v/>
      </c>
    </row>
    <row r="2164">
      <c r="A2164" t="n">
        <v>216.2</v>
      </c>
      <c r="B2164">
        <f>IF(A2164&gt;162.1,Parameters!$B$5,Parameters!$B$4)</f>
        <v/>
      </c>
      <c r="C2164">
        <f>C2163-0.1*B2164+0</f>
        <v/>
      </c>
      <c r="D2164">
        <f>D2163-0.1*B2164+0</f>
        <v/>
      </c>
      <c r="E2164">
        <f>Parameters!$B$25</f>
        <v/>
      </c>
    </row>
    <row r="2165">
      <c r="A2165" t="n">
        <v>216.3</v>
      </c>
      <c r="B2165">
        <f>IF(A2165&gt;162.1,Parameters!$B$5,Parameters!$B$4)</f>
        <v/>
      </c>
      <c r="C2165">
        <f>C2164-0.1*B2165+0</f>
        <v/>
      </c>
      <c r="D2165">
        <f>D2164-0.1*B2165+0</f>
        <v/>
      </c>
      <c r="E2165">
        <f>Parameters!$B$25</f>
        <v/>
      </c>
    </row>
    <row r="2166">
      <c r="A2166" t="n">
        <v>216.4</v>
      </c>
      <c r="B2166">
        <f>IF(A2166&gt;162.1,Parameters!$B$5,Parameters!$B$4)</f>
        <v/>
      </c>
      <c r="C2166">
        <f>C2165-0.1*B2166+0</f>
        <v/>
      </c>
      <c r="D2166">
        <f>D2165-0.1*B2166+0</f>
        <v/>
      </c>
      <c r="E2166">
        <f>Parameters!$B$25</f>
        <v/>
      </c>
    </row>
    <row r="2167">
      <c r="A2167" t="n">
        <v>216.5</v>
      </c>
      <c r="B2167">
        <f>IF(A2167&gt;162.1,Parameters!$B$5,Parameters!$B$4)</f>
        <v/>
      </c>
      <c r="C2167">
        <f>C2166-0.1*B2167+0</f>
        <v/>
      </c>
      <c r="D2167">
        <f>D2166-0.1*B2167+0</f>
        <v/>
      </c>
      <c r="E2167">
        <f>Parameters!$B$25</f>
        <v/>
      </c>
    </row>
    <row r="2168">
      <c r="A2168" t="n">
        <v>216.6</v>
      </c>
      <c r="B2168">
        <f>IF(A2168&gt;162.1,Parameters!$B$5,Parameters!$B$4)</f>
        <v/>
      </c>
      <c r="C2168">
        <f>C2167-0.1*B2168+0</f>
        <v/>
      </c>
      <c r="D2168">
        <f>D2167-0.1*B2168+0</f>
        <v/>
      </c>
      <c r="E2168">
        <f>Parameters!$B$25</f>
        <v/>
      </c>
    </row>
    <row r="2169">
      <c r="A2169" t="n">
        <v>216.7</v>
      </c>
      <c r="B2169">
        <f>IF(A2169&gt;162.1,Parameters!$B$5,Parameters!$B$4)</f>
        <v/>
      </c>
      <c r="C2169">
        <f>C2168-0.1*B2169+0</f>
        <v/>
      </c>
      <c r="D2169">
        <f>D2168-0.1*B2169+0</f>
        <v/>
      </c>
      <c r="E2169">
        <f>Parameters!$B$25</f>
        <v/>
      </c>
    </row>
    <row r="2170">
      <c r="A2170" t="n">
        <v>216.8</v>
      </c>
      <c r="B2170">
        <f>IF(A2170&gt;162.1,Parameters!$B$5,Parameters!$B$4)</f>
        <v/>
      </c>
      <c r="C2170">
        <f>C2169-0.1*B2170+0</f>
        <v/>
      </c>
      <c r="D2170">
        <f>D2169-0.1*B2170+0</f>
        <v/>
      </c>
      <c r="E2170">
        <f>Parameters!$B$25</f>
        <v/>
      </c>
    </row>
    <row r="2171">
      <c r="A2171" t="n">
        <v>216.9</v>
      </c>
      <c r="B2171">
        <f>IF(A2171&gt;162.1,Parameters!$B$5,Parameters!$B$4)</f>
        <v/>
      </c>
      <c r="C2171">
        <f>C2170-0.1*B2171+0</f>
        <v/>
      </c>
      <c r="D2171">
        <f>D2170-0.1*B2171+0</f>
        <v/>
      </c>
      <c r="E2171">
        <f>Parameters!$B$25</f>
        <v/>
      </c>
    </row>
    <row r="2172">
      <c r="A2172" t="n">
        <v>217</v>
      </c>
      <c r="B2172">
        <f>IF(A2172&gt;162.1,Parameters!$B$5,Parameters!$B$4)</f>
        <v/>
      </c>
      <c r="C2172">
        <f>C2171-0.1*B2172+0</f>
        <v/>
      </c>
      <c r="D2172">
        <f>D2171-0.1*B2172+0</f>
        <v/>
      </c>
      <c r="E2172">
        <f>Parameters!$B$25</f>
        <v/>
      </c>
    </row>
    <row r="2173">
      <c r="A2173" t="n">
        <v>217.1</v>
      </c>
      <c r="B2173">
        <f>IF(A2173&gt;162.1,Parameters!$B$5,Parameters!$B$4)</f>
        <v/>
      </c>
      <c r="C2173">
        <f>C2172-0.1*B2173+0</f>
        <v/>
      </c>
      <c r="D2173">
        <f>D2172-0.1*B2173+0</f>
        <v/>
      </c>
      <c r="E2173">
        <f>Parameters!$B$25</f>
        <v/>
      </c>
    </row>
    <row r="2174">
      <c r="A2174" t="n">
        <v>217.2</v>
      </c>
      <c r="B2174">
        <f>IF(A2174&gt;162.1,Parameters!$B$5,Parameters!$B$4)</f>
        <v/>
      </c>
      <c r="C2174">
        <f>C2173-0.1*B2174+0</f>
        <v/>
      </c>
      <c r="D2174">
        <f>D2173-0.1*B2174+0</f>
        <v/>
      </c>
      <c r="E2174">
        <f>Parameters!$B$25</f>
        <v/>
      </c>
    </row>
    <row r="2175">
      <c r="A2175" t="n">
        <v>217.3</v>
      </c>
      <c r="B2175">
        <f>IF(A2175&gt;162.1,Parameters!$B$5,Parameters!$B$4)</f>
        <v/>
      </c>
      <c r="C2175">
        <f>C2174-0.1*B2175+0</f>
        <v/>
      </c>
      <c r="D2175">
        <f>D2174-0.1*B2175+0</f>
        <v/>
      </c>
      <c r="E2175">
        <f>Parameters!$B$25</f>
        <v/>
      </c>
    </row>
    <row r="2176">
      <c r="A2176" t="n">
        <v>217.4</v>
      </c>
      <c r="B2176">
        <f>IF(A2176&gt;162.1,Parameters!$B$5,Parameters!$B$4)</f>
        <v/>
      </c>
      <c r="C2176">
        <f>C2175-0.1*B2176+0</f>
        <v/>
      </c>
      <c r="D2176">
        <f>D2175-0.1*B2176+0</f>
        <v/>
      </c>
      <c r="E2176">
        <f>Parameters!$B$25</f>
        <v/>
      </c>
    </row>
    <row r="2177">
      <c r="A2177" t="n">
        <v>217.5</v>
      </c>
      <c r="B2177">
        <f>IF(A2177&gt;162.1,Parameters!$B$5,Parameters!$B$4)</f>
        <v/>
      </c>
      <c r="C2177">
        <f>C2176-0.1*B2177+0</f>
        <v/>
      </c>
      <c r="D2177">
        <f>D2176-0.1*B2177+0</f>
        <v/>
      </c>
      <c r="E2177">
        <f>Parameters!$B$25</f>
        <v/>
      </c>
    </row>
    <row r="2178">
      <c r="A2178" t="n">
        <v>217.6</v>
      </c>
      <c r="B2178">
        <f>IF(A2178&gt;162.1,Parameters!$B$5,Parameters!$B$4)</f>
        <v/>
      </c>
      <c r="C2178">
        <f>C2177-0.1*B2178+0</f>
        <v/>
      </c>
      <c r="D2178">
        <f>D2177-0.1*B2178+0</f>
        <v/>
      </c>
      <c r="E2178">
        <f>Parameters!$B$25</f>
        <v/>
      </c>
    </row>
    <row r="2179">
      <c r="A2179" t="n">
        <v>217.7</v>
      </c>
      <c r="B2179">
        <f>IF(A2179&gt;162.1,Parameters!$B$5,Parameters!$B$4)</f>
        <v/>
      </c>
      <c r="C2179">
        <f>C2178-0.1*B2179+0</f>
        <v/>
      </c>
      <c r="D2179">
        <f>D2178-0.1*B2179+0</f>
        <v/>
      </c>
      <c r="E2179">
        <f>Parameters!$B$25</f>
        <v/>
      </c>
    </row>
    <row r="2180">
      <c r="A2180" t="n">
        <v>217.8</v>
      </c>
      <c r="B2180">
        <f>IF(A2180&gt;162.1,Parameters!$B$5,Parameters!$B$4)</f>
        <v/>
      </c>
      <c r="C2180">
        <f>C2179-0.1*B2180+0</f>
        <v/>
      </c>
      <c r="D2180">
        <f>D2179-0.1*B2180+0</f>
        <v/>
      </c>
      <c r="E2180">
        <f>Parameters!$B$25</f>
        <v/>
      </c>
    </row>
    <row r="2181">
      <c r="A2181" t="n">
        <v>217.9</v>
      </c>
      <c r="B2181">
        <f>IF(A2181&gt;162.1,Parameters!$B$5,Parameters!$B$4)</f>
        <v/>
      </c>
      <c r="C2181">
        <f>C2180-0.1*B2181+0</f>
        <v/>
      </c>
      <c r="D2181">
        <f>D2180-0.1*B2181+0</f>
        <v/>
      </c>
      <c r="E2181">
        <f>Parameters!$B$25</f>
        <v/>
      </c>
    </row>
    <row r="2182">
      <c r="A2182" t="n">
        <v>218</v>
      </c>
      <c r="B2182">
        <f>IF(A2182&gt;162.1,Parameters!$B$5,Parameters!$B$4)</f>
        <v/>
      </c>
      <c r="C2182">
        <f>C2181-0.1*B2182+0</f>
        <v/>
      </c>
      <c r="D2182">
        <f>D2181-0.1*B2182+0</f>
        <v/>
      </c>
      <c r="E2182">
        <f>Parameters!$B$25</f>
        <v/>
      </c>
    </row>
    <row r="2183">
      <c r="A2183" t="n">
        <v>218.1</v>
      </c>
      <c r="B2183">
        <f>IF(A2183&gt;162.1,Parameters!$B$5,Parameters!$B$4)</f>
        <v/>
      </c>
      <c r="C2183">
        <f>C2182-0.1*B2183+0</f>
        <v/>
      </c>
      <c r="D2183">
        <f>D2182-0.1*B2183+0</f>
        <v/>
      </c>
      <c r="E2183">
        <f>Parameters!$B$25</f>
        <v/>
      </c>
    </row>
    <row r="2184">
      <c r="A2184" t="n">
        <v>218.2</v>
      </c>
      <c r="B2184">
        <f>IF(A2184&gt;162.1,Parameters!$B$5,Parameters!$B$4)</f>
        <v/>
      </c>
      <c r="C2184">
        <f>C2183-0.1*B2184+0</f>
        <v/>
      </c>
      <c r="D2184">
        <f>D2183-0.1*B2184+0</f>
        <v/>
      </c>
      <c r="E2184">
        <f>Parameters!$B$25</f>
        <v/>
      </c>
    </row>
    <row r="2185">
      <c r="A2185" t="n">
        <v>218.3</v>
      </c>
      <c r="B2185">
        <f>IF(A2185&gt;162.1,Parameters!$B$5,Parameters!$B$4)</f>
        <v/>
      </c>
      <c r="C2185">
        <f>C2184-0.1*B2185+0</f>
        <v/>
      </c>
      <c r="D2185">
        <f>D2184-0.1*B2185+0</f>
        <v/>
      </c>
      <c r="E2185">
        <f>Parameters!$B$25</f>
        <v/>
      </c>
    </row>
    <row r="2186">
      <c r="A2186" t="n">
        <v>218.4</v>
      </c>
      <c r="B2186">
        <f>IF(A2186&gt;162.1,Parameters!$B$5,Parameters!$B$4)</f>
        <v/>
      </c>
      <c r="C2186">
        <f>C2185-0.1*B2186+0</f>
        <v/>
      </c>
      <c r="D2186">
        <f>D2185-0.1*B2186+0</f>
        <v/>
      </c>
      <c r="E2186">
        <f>Parameters!$B$25</f>
        <v/>
      </c>
    </row>
    <row r="2187">
      <c r="A2187" t="n">
        <v>218.5</v>
      </c>
      <c r="B2187">
        <f>IF(A2187&gt;162.1,Parameters!$B$5,Parameters!$B$4)</f>
        <v/>
      </c>
      <c r="C2187">
        <f>C2186-0.1*B2187+0</f>
        <v/>
      </c>
      <c r="D2187">
        <f>D2186-0.1*B2187+0</f>
        <v/>
      </c>
      <c r="E2187">
        <f>Parameters!$B$25</f>
        <v/>
      </c>
    </row>
    <row r="2188">
      <c r="A2188" t="n">
        <v>218.6</v>
      </c>
      <c r="B2188">
        <f>IF(A2188&gt;162.1,Parameters!$B$5,Parameters!$B$4)</f>
        <v/>
      </c>
      <c r="C2188">
        <f>C2187-0.1*B2188+0</f>
        <v/>
      </c>
      <c r="D2188">
        <f>D2187-0.1*B2188+0</f>
        <v/>
      </c>
      <c r="E2188">
        <f>Parameters!$B$25</f>
        <v/>
      </c>
    </row>
    <row r="2189">
      <c r="A2189" t="n">
        <v>218.7</v>
      </c>
      <c r="B2189">
        <f>IF(A2189&gt;162.1,Parameters!$B$5,Parameters!$B$4)</f>
        <v/>
      </c>
      <c r="C2189">
        <f>C2188-0.1*B2189+0</f>
        <v/>
      </c>
      <c r="D2189">
        <f>D2188-0.1*B2189+0</f>
        <v/>
      </c>
      <c r="E2189">
        <f>Parameters!$B$25</f>
        <v/>
      </c>
    </row>
    <row r="2190">
      <c r="A2190" t="n">
        <v>218.8</v>
      </c>
      <c r="B2190">
        <f>IF(A2190&gt;162.1,Parameters!$B$5,Parameters!$B$4)</f>
        <v/>
      </c>
      <c r="C2190">
        <f>C2189-0.1*B2190+0</f>
        <v/>
      </c>
      <c r="D2190">
        <f>D2189-0.1*B2190+0</f>
        <v/>
      </c>
      <c r="E2190">
        <f>Parameters!$B$25</f>
        <v/>
      </c>
    </row>
    <row r="2191">
      <c r="A2191" t="n">
        <v>218.9</v>
      </c>
      <c r="B2191">
        <f>IF(A2191&gt;162.1,Parameters!$B$5,Parameters!$B$4)</f>
        <v/>
      </c>
      <c r="C2191">
        <f>C2190-0.1*B2191+0</f>
        <v/>
      </c>
      <c r="D2191">
        <f>D2190-0.1*B2191+0</f>
        <v/>
      </c>
      <c r="E2191">
        <f>Parameters!$B$25</f>
        <v/>
      </c>
    </row>
    <row r="2192">
      <c r="A2192" t="n">
        <v>219</v>
      </c>
      <c r="B2192">
        <f>IF(A2192&gt;162.1,Parameters!$B$5,Parameters!$B$4)</f>
        <v/>
      </c>
      <c r="C2192">
        <f>C2191-0.1*B2192+0</f>
        <v/>
      </c>
      <c r="D2192">
        <f>D2191-0.1*B2192+0</f>
        <v/>
      </c>
      <c r="E2192">
        <f>Parameters!$B$25</f>
        <v/>
      </c>
    </row>
    <row r="2193">
      <c r="A2193" t="n">
        <v>219.1</v>
      </c>
      <c r="B2193">
        <f>IF(A2193&gt;162.1,Parameters!$B$5,Parameters!$B$4)</f>
        <v/>
      </c>
      <c r="C2193">
        <f>C2192-0.1*B2193+0</f>
        <v/>
      </c>
      <c r="D2193">
        <f>D2192-0.1*B2193+0</f>
        <v/>
      </c>
      <c r="E2193">
        <f>Parameters!$B$25</f>
        <v/>
      </c>
    </row>
    <row r="2194">
      <c r="A2194" t="n">
        <v>219.2</v>
      </c>
      <c r="B2194">
        <f>IF(A2194&gt;162.1,Parameters!$B$5,Parameters!$B$4)</f>
        <v/>
      </c>
      <c r="C2194">
        <f>C2193-0.1*B2194+0</f>
        <v/>
      </c>
      <c r="D2194">
        <f>D2193-0.1*B2194+0</f>
        <v/>
      </c>
      <c r="E2194">
        <f>Parameters!$B$25</f>
        <v/>
      </c>
    </row>
    <row r="2195">
      <c r="A2195" t="n">
        <v>219.3</v>
      </c>
      <c r="B2195">
        <f>IF(A2195&gt;162.1,Parameters!$B$5,Parameters!$B$4)</f>
        <v/>
      </c>
      <c r="C2195">
        <f>C2194-0.1*B2195+0</f>
        <v/>
      </c>
      <c r="D2195">
        <f>D2194-0.1*B2195+0</f>
        <v/>
      </c>
      <c r="E2195">
        <f>Parameters!$B$25</f>
        <v/>
      </c>
    </row>
    <row r="2196">
      <c r="A2196" t="n">
        <v>219.4</v>
      </c>
      <c r="B2196">
        <f>IF(A2196&gt;162.1,Parameters!$B$5,Parameters!$B$4)</f>
        <v/>
      </c>
      <c r="C2196">
        <f>C2195-0.1*B2196+0</f>
        <v/>
      </c>
      <c r="D2196">
        <f>D2195-0.1*B2196+0</f>
        <v/>
      </c>
      <c r="E2196">
        <f>Parameters!$B$25</f>
        <v/>
      </c>
    </row>
    <row r="2197">
      <c r="A2197" t="n">
        <v>219.5</v>
      </c>
      <c r="B2197">
        <f>IF(A2197&gt;162.1,Parameters!$B$5,Parameters!$B$4)</f>
        <v/>
      </c>
      <c r="C2197">
        <f>C2196-0.1*B2197+0</f>
        <v/>
      </c>
      <c r="D2197">
        <f>D2196-0.1*B2197+0</f>
        <v/>
      </c>
      <c r="E2197">
        <f>Parameters!$B$25</f>
        <v/>
      </c>
    </row>
    <row r="2198">
      <c r="A2198" t="n">
        <v>219.6</v>
      </c>
      <c r="B2198">
        <f>IF(A2198&gt;162.1,Parameters!$B$5,Parameters!$B$4)</f>
        <v/>
      </c>
      <c r="C2198">
        <f>C2197-0.1*B2198+0</f>
        <v/>
      </c>
      <c r="D2198">
        <f>D2197-0.1*B2198+0</f>
        <v/>
      </c>
      <c r="E2198">
        <f>Parameters!$B$25</f>
        <v/>
      </c>
    </row>
    <row r="2199">
      <c r="A2199" t="n">
        <v>219.7</v>
      </c>
      <c r="B2199">
        <f>IF(A2199&gt;162.1,Parameters!$B$5,Parameters!$B$4)</f>
        <v/>
      </c>
      <c r="C2199">
        <f>C2198-0.1*B2199+0</f>
        <v/>
      </c>
      <c r="D2199">
        <f>D2198-0.1*B2199+0</f>
        <v/>
      </c>
      <c r="E2199">
        <f>Parameters!$B$25</f>
        <v/>
      </c>
    </row>
    <row r="2200">
      <c r="A2200" t="n">
        <v>219.8</v>
      </c>
      <c r="B2200">
        <f>IF(A2200&gt;162.1,Parameters!$B$5,Parameters!$B$4)</f>
        <v/>
      </c>
      <c r="C2200">
        <f>C2199-0.1*B2200+0</f>
        <v/>
      </c>
      <c r="D2200">
        <f>D2199-0.1*B2200+0</f>
        <v/>
      </c>
      <c r="E2200">
        <f>Parameters!$B$25</f>
        <v/>
      </c>
    </row>
    <row r="2201">
      <c r="A2201" t="n">
        <v>219.9</v>
      </c>
      <c r="B2201">
        <f>IF(A2201&gt;162.1,Parameters!$B$5,Parameters!$B$4)</f>
        <v/>
      </c>
      <c r="C2201">
        <f>C2200-0.1*B2201+0</f>
        <v/>
      </c>
      <c r="D2201">
        <f>D2200-0.1*B2201+0</f>
        <v/>
      </c>
      <c r="E2201">
        <f>Parameters!$B$25</f>
        <v/>
      </c>
    </row>
    <row r="2202">
      <c r="A2202" t="n">
        <v>220</v>
      </c>
      <c r="B2202">
        <f>IF(A2202&gt;162.1,Parameters!$B$5,Parameters!$B$4)</f>
        <v/>
      </c>
      <c r="C2202">
        <f>C2201-0.1*B2202+0</f>
        <v/>
      </c>
      <c r="D2202">
        <f>D2201-0.1*B2202+0</f>
        <v/>
      </c>
      <c r="E2202">
        <f>Parameters!$B$25</f>
        <v/>
      </c>
    </row>
    <row r="2203">
      <c r="A2203" t="n">
        <v>220.1</v>
      </c>
      <c r="B2203">
        <f>IF(A2203&gt;162.1,Parameters!$B$5,Parameters!$B$4)</f>
        <v/>
      </c>
      <c r="C2203">
        <f>C2202-0.1*B2203+0</f>
        <v/>
      </c>
      <c r="D2203">
        <f>D2202-0.1*B2203+0</f>
        <v/>
      </c>
      <c r="E2203">
        <f>Parameters!$B$25</f>
        <v/>
      </c>
    </row>
    <row r="2204">
      <c r="A2204" t="n">
        <v>220.2</v>
      </c>
      <c r="B2204">
        <f>IF(A2204&gt;162.1,Parameters!$B$5,Parameters!$B$4)</f>
        <v/>
      </c>
      <c r="C2204">
        <f>C2203-0.1*B2204+0</f>
        <v/>
      </c>
      <c r="D2204">
        <f>D2203-0.1*B2204+0</f>
        <v/>
      </c>
      <c r="E2204">
        <f>Parameters!$B$25</f>
        <v/>
      </c>
    </row>
    <row r="2205">
      <c r="A2205" t="n">
        <v>220.3</v>
      </c>
      <c r="B2205">
        <f>IF(A2205&gt;162.1,Parameters!$B$5,Parameters!$B$4)</f>
        <v/>
      </c>
      <c r="C2205">
        <f>C2204-0.1*B2205+0</f>
        <v/>
      </c>
      <c r="D2205">
        <f>D2204-0.1*B2205+0</f>
        <v/>
      </c>
      <c r="E2205">
        <f>Parameters!$B$25</f>
        <v/>
      </c>
    </row>
    <row r="2206">
      <c r="A2206" t="n">
        <v>220.4</v>
      </c>
      <c r="B2206">
        <f>IF(A2206&gt;162.1,Parameters!$B$5,Parameters!$B$4)</f>
        <v/>
      </c>
      <c r="C2206">
        <f>C2205-0.1*B2206+0</f>
        <v/>
      </c>
      <c r="D2206">
        <f>D2205-0.1*B2206+0</f>
        <v/>
      </c>
      <c r="E2206">
        <f>Parameters!$B$25</f>
        <v/>
      </c>
    </row>
    <row r="2207">
      <c r="A2207" t="n">
        <v>220.5</v>
      </c>
      <c r="B2207">
        <f>IF(A2207&gt;162.1,Parameters!$B$5,Parameters!$B$4)</f>
        <v/>
      </c>
      <c r="C2207">
        <f>C2206-0.1*B2207+0</f>
        <v/>
      </c>
      <c r="D2207">
        <f>D2206-0.1*B2207+0</f>
        <v/>
      </c>
      <c r="E2207">
        <f>Parameters!$B$25</f>
        <v/>
      </c>
    </row>
    <row r="2208">
      <c r="A2208" t="n">
        <v>220.6</v>
      </c>
      <c r="B2208">
        <f>IF(A2208&gt;162.1,Parameters!$B$5,Parameters!$B$4)</f>
        <v/>
      </c>
      <c r="C2208">
        <f>C2207-0.1*B2208+0</f>
        <v/>
      </c>
      <c r="D2208">
        <f>D2207-0.1*B2208+0</f>
        <v/>
      </c>
      <c r="E2208">
        <f>Parameters!$B$25</f>
        <v/>
      </c>
    </row>
    <row r="2209">
      <c r="A2209" t="n">
        <v>220.7</v>
      </c>
      <c r="B2209">
        <f>IF(A2209&gt;162.1,Parameters!$B$5,Parameters!$B$4)</f>
        <v/>
      </c>
      <c r="C2209">
        <f>C2208-0.1*B2209+0</f>
        <v/>
      </c>
      <c r="D2209">
        <f>D2208-0.1*B2209+0</f>
        <v/>
      </c>
      <c r="E2209">
        <f>Parameters!$B$25</f>
        <v/>
      </c>
    </row>
    <row r="2210">
      <c r="A2210" t="n">
        <v>220.8</v>
      </c>
      <c r="B2210">
        <f>IF(A2210&gt;162.1,Parameters!$B$5,Parameters!$B$4)</f>
        <v/>
      </c>
      <c r="C2210">
        <f>C2209-0.1*B2210+0</f>
        <v/>
      </c>
      <c r="D2210">
        <f>D2209-0.1*B2210+0</f>
        <v/>
      </c>
      <c r="E2210">
        <f>Parameters!$B$25</f>
        <v/>
      </c>
    </row>
    <row r="2211">
      <c r="A2211" t="n">
        <v>220.9</v>
      </c>
      <c r="B2211">
        <f>IF(A2211&gt;162.1,Parameters!$B$5,Parameters!$B$4)</f>
        <v/>
      </c>
      <c r="C2211">
        <f>C2210-0.1*B2211+0</f>
        <v/>
      </c>
      <c r="D2211">
        <f>D2210-0.1*B2211+0</f>
        <v/>
      </c>
      <c r="E2211">
        <f>Parameters!$B$25</f>
        <v/>
      </c>
    </row>
    <row r="2212">
      <c r="A2212" t="n">
        <v>221</v>
      </c>
      <c r="B2212">
        <f>IF(A2212&gt;162.1,Parameters!$B$5,Parameters!$B$4)</f>
        <v/>
      </c>
      <c r="C2212">
        <f>C2211-0.1*B2212+0</f>
        <v/>
      </c>
      <c r="D2212">
        <f>D2211-0.1*B2212+0</f>
        <v/>
      </c>
      <c r="E2212">
        <f>Parameters!$B$25</f>
        <v/>
      </c>
    </row>
    <row r="2213">
      <c r="A2213" t="n">
        <v>221.1</v>
      </c>
      <c r="B2213">
        <f>IF(A2213&gt;162.1,Parameters!$B$5,Parameters!$B$4)</f>
        <v/>
      </c>
      <c r="C2213">
        <f>C2212-0.1*B2213+0</f>
        <v/>
      </c>
      <c r="D2213">
        <f>D2212-0.1*B2213+0</f>
        <v/>
      </c>
      <c r="E2213">
        <f>Parameters!$B$25</f>
        <v/>
      </c>
    </row>
    <row r="2214">
      <c r="A2214" t="n">
        <v>221.2</v>
      </c>
      <c r="B2214">
        <f>IF(A2214&gt;162.1,Parameters!$B$5,Parameters!$B$4)</f>
        <v/>
      </c>
      <c r="C2214">
        <f>C2213-0.1*B2214+0</f>
        <v/>
      </c>
      <c r="D2214">
        <f>D2213-0.1*B2214+0</f>
        <v/>
      </c>
      <c r="E2214">
        <f>Parameters!$B$25</f>
        <v/>
      </c>
    </row>
    <row r="2215">
      <c r="A2215" t="n">
        <v>221.3</v>
      </c>
      <c r="B2215">
        <f>IF(A2215&gt;162.1,Parameters!$B$5,Parameters!$B$4)</f>
        <v/>
      </c>
      <c r="C2215">
        <f>C2214-0.1*B2215+0</f>
        <v/>
      </c>
      <c r="D2215">
        <f>D2214-0.1*B2215+0</f>
        <v/>
      </c>
      <c r="E2215">
        <f>Parameters!$B$25</f>
        <v/>
      </c>
    </row>
    <row r="2216">
      <c r="A2216" t="n">
        <v>221.4</v>
      </c>
      <c r="B2216">
        <f>IF(A2216&gt;162.1,Parameters!$B$5,Parameters!$B$4)</f>
        <v/>
      </c>
      <c r="C2216">
        <f>C2215-0.1*B2216+0</f>
        <v/>
      </c>
      <c r="D2216">
        <f>D2215-0.1*B2216+0</f>
        <v/>
      </c>
      <c r="E2216">
        <f>Parameters!$B$25</f>
        <v/>
      </c>
    </row>
    <row r="2217">
      <c r="A2217" t="n">
        <v>221.5</v>
      </c>
      <c r="B2217">
        <f>IF(A2217&gt;162.1,Parameters!$B$5,Parameters!$B$4)</f>
        <v/>
      </c>
      <c r="C2217">
        <f>C2216-0.1*B2217+0</f>
        <v/>
      </c>
      <c r="D2217">
        <f>D2216-0.1*B2217+0</f>
        <v/>
      </c>
      <c r="E2217">
        <f>Parameters!$B$25</f>
        <v/>
      </c>
    </row>
    <row r="2218">
      <c r="A2218" t="n">
        <v>221.6</v>
      </c>
      <c r="B2218">
        <f>IF(A2218&gt;162.1,Parameters!$B$5,Parameters!$B$4)</f>
        <v/>
      </c>
      <c r="C2218">
        <f>C2217-0.1*B2218+0</f>
        <v/>
      </c>
      <c r="D2218">
        <f>D2217-0.1*B2218+0</f>
        <v/>
      </c>
      <c r="E2218">
        <f>Parameters!$B$25</f>
        <v/>
      </c>
    </row>
    <row r="2219">
      <c r="A2219" t="n">
        <v>221.7</v>
      </c>
      <c r="B2219">
        <f>IF(A2219&gt;162.1,Parameters!$B$5,Parameters!$B$4)</f>
        <v/>
      </c>
      <c r="C2219">
        <f>C2218-0.1*B2219+0</f>
        <v/>
      </c>
      <c r="D2219">
        <f>D2218-0.1*B2219+0</f>
        <v/>
      </c>
      <c r="E2219">
        <f>Parameters!$B$25</f>
        <v/>
      </c>
    </row>
    <row r="2220">
      <c r="A2220" t="n">
        <v>221.8</v>
      </c>
      <c r="B2220">
        <f>IF(A2220&gt;162.1,Parameters!$B$5,Parameters!$B$4)</f>
        <v/>
      </c>
      <c r="C2220">
        <f>C2219-0.1*B2220+0</f>
        <v/>
      </c>
      <c r="D2220">
        <f>D2219-0.1*B2220+0</f>
        <v/>
      </c>
      <c r="E2220">
        <f>Parameters!$B$25</f>
        <v/>
      </c>
    </row>
    <row r="2221">
      <c r="A2221" t="n">
        <v>221.9</v>
      </c>
      <c r="B2221">
        <f>IF(A2221&gt;162.1,Parameters!$B$5,Parameters!$B$4)</f>
        <v/>
      </c>
      <c r="C2221">
        <f>C2220-0.1*B2221+0</f>
        <v/>
      </c>
      <c r="D2221">
        <f>D2220-0.1*B2221+0</f>
        <v/>
      </c>
      <c r="E2221">
        <f>Parameters!$B$25</f>
        <v/>
      </c>
    </row>
    <row r="2222">
      <c r="A2222" t="n">
        <v>222</v>
      </c>
      <c r="B2222">
        <f>IF(A2222&gt;162.1,Parameters!$B$5,Parameters!$B$4)</f>
        <v/>
      </c>
      <c r="C2222">
        <f>C2221-0.1*B2222+0</f>
        <v/>
      </c>
      <c r="D2222">
        <f>D2221-0.1*B2222+0</f>
        <v/>
      </c>
      <c r="E2222">
        <f>Parameters!$B$25</f>
        <v/>
      </c>
    </row>
    <row r="2223">
      <c r="A2223" t="n">
        <v>222.1</v>
      </c>
      <c r="B2223">
        <f>IF(A2223&gt;162.1,Parameters!$B$5,Parameters!$B$4)</f>
        <v/>
      </c>
      <c r="C2223">
        <f>C2222-0.1*B2223+0</f>
        <v/>
      </c>
      <c r="D2223">
        <f>D2222-0.1*B2223+0</f>
        <v/>
      </c>
      <c r="E2223">
        <f>Parameters!$B$25</f>
        <v/>
      </c>
    </row>
    <row r="2224">
      <c r="A2224" t="n">
        <v>222.2</v>
      </c>
      <c r="B2224">
        <f>IF(A2224&gt;162.1,Parameters!$B$5,Parameters!$B$4)</f>
        <v/>
      </c>
      <c r="C2224">
        <f>C2223-0.1*B2224+0</f>
        <v/>
      </c>
      <c r="D2224">
        <f>D2223-0.1*B2224+0</f>
        <v/>
      </c>
      <c r="E2224">
        <f>Parameters!$B$25</f>
        <v/>
      </c>
    </row>
    <row r="2225">
      <c r="A2225" t="n">
        <v>222.3</v>
      </c>
      <c r="B2225">
        <f>IF(A2225&gt;162.1,Parameters!$B$5,Parameters!$B$4)</f>
        <v/>
      </c>
      <c r="C2225">
        <f>C2224-0.1*B2225+0</f>
        <v/>
      </c>
      <c r="D2225">
        <f>D2224-0.1*B2225+0</f>
        <v/>
      </c>
      <c r="E2225">
        <f>Parameters!$B$25</f>
        <v/>
      </c>
    </row>
    <row r="2226">
      <c r="A2226" t="n">
        <v>222.4</v>
      </c>
      <c r="B2226">
        <f>IF(A2226&gt;162.1,Parameters!$B$5,Parameters!$B$4)</f>
        <v/>
      </c>
      <c r="C2226">
        <f>C2225-0.1*B2226+0</f>
        <v/>
      </c>
      <c r="D2226">
        <f>D2225-0.1*B2226+0</f>
        <v/>
      </c>
      <c r="E2226">
        <f>Parameters!$B$25</f>
        <v/>
      </c>
    </row>
    <row r="2227">
      <c r="A2227" t="n">
        <v>222.5</v>
      </c>
      <c r="B2227">
        <f>IF(A2227&gt;162.1,Parameters!$B$5,Parameters!$B$4)</f>
        <v/>
      </c>
      <c r="C2227">
        <f>C2226-0.1*B2227+0</f>
        <v/>
      </c>
      <c r="D2227">
        <f>D2226-0.1*B2227+0</f>
        <v/>
      </c>
      <c r="E2227">
        <f>Parameters!$B$25</f>
        <v/>
      </c>
    </row>
    <row r="2228">
      <c r="A2228" t="n">
        <v>222.6</v>
      </c>
      <c r="B2228">
        <f>IF(A2228&gt;162.1,Parameters!$B$5,Parameters!$B$4)</f>
        <v/>
      </c>
      <c r="C2228">
        <f>C2227-0.1*B2228+0</f>
        <v/>
      </c>
      <c r="D2228">
        <f>D2227-0.1*B2228+0</f>
        <v/>
      </c>
      <c r="E2228">
        <f>Parameters!$B$25</f>
        <v/>
      </c>
    </row>
    <row r="2229">
      <c r="A2229" t="n">
        <v>222.7</v>
      </c>
      <c r="B2229">
        <f>IF(A2229&gt;162.1,Parameters!$B$5,Parameters!$B$4)</f>
        <v/>
      </c>
      <c r="C2229">
        <f>C2228-0.1*B2229+0</f>
        <v/>
      </c>
      <c r="D2229">
        <f>D2228-0.1*B2229+0</f>
        <v/>
      </c>
      <c r="E2229">
        <f>Parameters!$B$25</f>
        <v/>
      </c>
    </row>
    <row r="2230">
      <c r="A2230" t="n">
        <v>222.8</v>
      </c>
      <c r="B2230">
        <f>IF(A2230&gt;162.1,Parameters!$B$5,Parameters!$B$4)</f>
        <v/>
      </c>
      <c r="C2230">
        <f>C2229-0.1*B2230+0</f>
        <v/>
      </c>
      <c r="D2230">
        <f>D2229-0.1*B2230+0</f>
        <v/>
      </c>
      <c r="E2230">
        <f>Parameters!$B$25</f>
        <v/>
      </c>
    </row>
    <row r="2231">
      <c r="A2231" t="n">
        <v>222.9</v>
      </c>
      <c r="B2231">
        <f>IF(A2231&gt;162.1,Parameters!$B$5,Parameters!$B$4)</f>
        <v/>
      </c>
      <c r="C2231">
        <f>C2230-0.1*B2231+0</f>
        <v/>
      </c>
      <c r="D2231">
        <f>D2230-0.1*B2231+0</f>
        <v/>
      </c>
      <c r="E2231">
        <f>Parameters!$B$25</f>
        <v/>
      </c>
    </row>
    <row r="2232">
      <c r="A2232" t="n">
        <v>223</v>
      </c>
      <c r="B2232">
        <f>IF(A2232&gt;162.1,Parameters!$B$5,Parameters!$B$4)</f>
        <v/>
      </c>
      <c r="C2232">
        <f>C2231-0.1*B2232+0</f>
        <v/>
      </c>
      <c r="D2232">
        <f>D2231-0.1*B2232+0</f>
        <v/>
      </c>
      <c r="E2232">
        <f>Parameters!$B$25</f>
        <v/>
      </c>
    </row>
    <row r="2233">
      <c r="A2233" t="n">
        <v>223.1</v>
      </c>
      <c r="B2233">
        <f>IF(A2233&gt;162.1,Parameters!$B$5,Parameters!$B$4)</f>
        <v/>
      </c>
      <c r="C2233">
        <f>C2232-0.1*B2233+0</f>
        <v/>
      </c>
      <c r="D2233">
        <f>D2232-0.1*B2233+0</f>
        <v/>
      </c>
      <c r="E2233">
        <f>Parameters!$B$25</f>
        <v/>
      </c>
    </row>
    <row r="2234">
      <c r="A2234" t="n">
        <v>223.2</v>
      </c>
      <c r="B2234">
        <f>IF(A2234&gt;162.1,Parameters!$B$5,Parameters!$B$4)</f>
        <v/>
      </c>
      <c r="C2234">
        <f>C2233-0.1*B2234+0</f>
        <v/>
      </c>
      <c r="D2234">
        <f>D2233-0.1*B2234+0</f>
        <v/>
      </c>
      <c r="E2234">
        <f>Parameters!$B$25</f>
        <v/>
      </c>
    </row>
    <row r="2235">
      <c r="A2235" t="n">
        <v>223.3</v>
      </c>
      <c r="B2235">
        <f>IF(A2235&gt;162.1,Parameters!$B$5,Parameters!$B$4)</f>
        <v/>
      </c>
      <c r="C2235">
        <f>C2234-0.1*B2235+0</f>
        <v/>
      </c>
      <c r="D2235">
        <f>D2234-0.1*B2235+0</f>
        <v/>
      </c>
      <c r="E2235">
        <f>Parameters!$B$25</f>
        <v/>
      </c>
    </row>
    <row r="2236">
      <c r="A2236" t="n">
        <v>223.4</v>
      </c>
      <c r="B2236">
        <f>IF(A2236&gt;162.1,Parameters!$B$5,Parameters!$B$4)</f>
        <v/>
      </c>
      <c r="C2236">
        <f>C2235-0.1*B2236+0</f>
        <v/>
      </c>
      <c r="D2236">
        <f>D2235-0.1*B2236+0</f>
        <v/>
      </c>
      <c r="E2236">
        <f>Parameters!$B$25</f>
        <v/>
      </c>
    </row>
    <row r="2237">
      <c r="A2237" t="n">
        <v>223.5</v>
      </c>
      <c r="B2237">
        <f>IF(A2237&gt;162.1,Parameters!$B$5,Parameters!$B$4)</f>
        <v/>
      </c>
      <c r="C2237">
        <f>C2236-0.1*B2237+0</f>
        <v/>
      </c>
      <c r="D2237">
        <f>D2236-0.1*B2237+0</f>
        <v/>
      </c>
      <c r="E2237">
        <f>Parameters!$B$25</f>
        <v/>
      </c>
    </row>
    <row r="2238">
      <c r="A2238" t="n">
        <v>223.6</v>
      </c>
      <c r="B2238">
        <f>IF(A2238&gt;162.1,Parameters!$B$5,Parameters!$B$4)</f>
        <v/>
      </c>
      <c r="C2238">
        <f>C2237-0.1*B2238+0</f>
        <v/>
      </c>
      <c r="D2238">
        <f>D2237-0.1*B2238+0</f>
        <v/>
      </c>
      <c r="E2238">
        <f>Parameters!$B$25</f>
        <v/>
      </c>
    </row>
    <row r="2239">
      <c r="A2239" t="n">
        <v>223.7</v>
      </c>
      <c r="B2239">
        <f>IF(A2239&gt;162.1,Parameters!$B$5,Parameters!$B$4)</f>
        <v/>
      </c>
      <c r="C2239">
        <f>C2238-0.1*B2239+0</f>
        <v/>
      </c>
      <c r="D2239">
        <f>D2238-0.1*B2239+0</f>
        <v/>
      </c>
      <c r="E2239">
        <f>Parameters!$B$25</f>
        <v/>
      </c>
    </row>
    <row r="2240">
      <c r="A2240" t="n">
        <v>223.8</v>
      </c>
      <c r="B2240">
        <f>IF(A2240&gt;162.1,Parameters!$B$5,Parameters!$B$4)</f>
        <v/>
      </c>
      <c r="C2240">
        <f>C2239-0.1*B2240+0</f>
        <v/>
      </c>
      <c r="D2240">
        <f>D2239-0.1*B2240+0</f>
        <v/>
      </c>
      <c r="E2240">
        <f>Parameters!$B$25</f>
        <v/>
      </c>
    </row>
    <row r="2241">
      <c r="A2241" t="n">
        <v>223.9</v>
      </c>
      <c r="B2241">
        <f>IF(A2241&gt;162.1,Parameters!$B$5,Parameters!$B$4)</f>
        <v/>
      </c>
      <c r="C2241">
        <f>C2240-0.1*B2241+0</f>
        <v/>
      </c>
      <c r="D2241">
        <f>D2240-0.1*B2241+0</f>
        <v/>
      </c>
      <c r="E2241">
        <f>Parameters!$B$25</f>
        <v/>
      </c>
    </row>
    <row r="2242">
      <c r="A2242" t="n">
        <v>224</v>
      </c>
      <c r="B2242">
        <f>IF(A2242&gt;162.1,Parameters!$B$5,Parameters!$B$4)</f>
        <v/>
      </c>
      <c r="C2242">
        <f>C2241-0.1*B2242+0</f>
        <v/>
      </c>
      <c r="D2242">
        <f>D2241-0.1*B2242+0</f>
        <v/>
      </c>
      <c r="E2242">
        <f>Parameters!$B$25</f>
        <v/>
      </c>
    </row>
    <row r="2243">
      <c r="A2243" t="n">
        <v>224.1</v>
      </c>
      <c r="B2243">
        <f>IF(A2243&gt;162.1,Parameters!$B$5,Parameters!$B$4)</f>
        <v/>
      </c>
      <c r="C2243">
        <f>C2242-0.1*B2243+0</f>
        <v/>
      </c>
      <c r="D2243">
        <f>D2242-0.1*B2243+0</f>
        <v/>
      </c>
      <c r="E2243">
        <f>Parameters!$B$25</f>
        <v/>
      </c>
    </row>
    <row r="2244">
      <c r="A2244" t="n">
        <v>224.2</v>
      </c>
      <c r="B2244">
        <f>IF(A2244&gt;162.1,Parameters!$B$5,Parameters!$B$4)</f>
        <v/>
      </c>
      <c r="C2244">
        <f>C2243-0.1*B2244+0</f>
        <v/>
      </c>
      <c r="D2244">
        <f>D2243-0.1*B2244+0</f>
        <v/>
      </c>
      <c r="E2244">
        <f>Parameters!$B$25</f>
        <v/>
      </c>
    </row>
    <row r="2245">
      <c r="A2245" t="n">
        <v>224.3</v>
      </c>
      <c r="B2245">
        <f>IF(A2245&gt;162.1,Parameters!$B$5,Parameters!$B$4)</f>
        <v/>
      </c>
      <c r="C2245">
        <f>C2244-0.1*B2245+0</f>
        <v/>
      </c>
      <c r="D2245">
        <f>D2244-0.1*B2245+0</f>
        <v/>
      </c>
      <c r="E2245">
        <f>Parameters!$B$25</f>
        <v/>
      </c>
    </row>
    <row r="2246">
      <c r="A2246" t="n">
        <v>224.4</v>
      </c>
      <c r="B2246">
        <f>IF(A2246&gt;162.1,Parameters!$B$5,Parameters!$B$4)</f>
        <v/>
      </c>
      <c r="C2246">
        <f>C2245-0.1*B2246+0</f>
        <v/>
      </c>
      <c r="D2246">
        <f>D2245-0.1*B2246+0</f>
        <v/>
      </c>
      <c r="E2246">
        <f>Parameters!$B$25</f>
        <v/>
      </c>
    </row>
    <row r="2247">
      <c r="A2247" t="n">
        <v>224.5</v>
      </c>
      <c r="B2247">
        <f>IF(A2247&gt;162.1,Parameters!$B$5,Parameters!$B$4)</f>
        <v/>
      </c>
      <c r="C2247">
        <f>C2246-0.1*B2247+0</f>
        <v/>
      </c>
      <c r="D2247">
        <f>D2246-0.1*B2247+0</f>
        <v/>
      </c>
      <c r="E2247">
        <f>Parameters!$B$25</f>
        <v/>
      </c>
    </row>
    <row r="2248">
      <c r="A2248" t="n">
        <v>224.6</v>
      </c>
      <c r="B2248">
        <f>IF(A2248&gt;162.1,Parameters!$B$5,Parameters!$B$4)</f>
        <v/>
      </c>
      <c r="C2248">
        <f>C2247-0.1*B2248+0</f>
        <v/>
      </c>
      <c r="D2248">
        <f>D2247-0.1*B2248+0</f>
        <v/>
      </c>
      <c r="E2248">
        <f>Parameters!$B$25</f>
        <v/>
      </c>
    </row>
    <row r="2249">
      <c r="A2249" t="n">
        <v>224.7</v>
      </c>
      <c r="B2249">
        <f>IF(A2249&gt;162.1,Parameters!$B$5,Parameters!$B$4)</f>
        <v/>
      </c>
      <c r="C2249">
        <f>C2248-0.1*B2249+0</f>
        <v/>
      </c>
      <c r="D2249">
        <f>D2248-0.1*B2249+0</f>
        <v/>
      </c>
      <c r="E2249">
        <f>Parameters!$B$25</f>
        <v/>
      </c>
    </row>
    <row r="2250">
      <c r="A2250" t="n">
        <v>224.8</v>
      </c>
      <c r="B2250">
        <f>IF(A2250&gt;162.1,Parameters!$B$5,Parameters!$B$4)</f>
        <v/>
      </c>
      <c r="C2250">
        <f>C2249-0.1*B2250+0</f>
        <v/>
      </c>
      <c r="D2250">
        <f>D2249-0.1*B2250+0</f>
        <v/>
      </c>
      <c r="E2250">
        <f>Parameters!$B$25</f>
        <v/>
      </c>
    </row>
    <row r="2251">
      <c r="A2251" t="n">
        <v>224.9</v>
      </c>
      <c r="B2251">
        <f>IF(A2251&gt;162.1,Parameters!$B$5,Parameters!$B$4)</f>
        <v/>
      </c>
      <c r="C2251">
        <f>C2250-0.1*B2251+0</f>
        <v/>
      </c>
      <c r="D2251">
        <f>D2250-0.1*B2251+0</f>
        <v/>
      </c>
      <c r="E2251">
        <f>Parameters!$B$25</f>
        <v/>
      </c>
    </row>
    <row r="2252">
      <c r="A2252" t="n">
        <v>225</v>
      </c>
      <c r="B2252">
        <f>IF(A2252&gt;162.1,Parameters!$B$5,Parameters!$B$4)</f>
        <v/>
      </c>
      <c r="C2252">
        <f>C2251-0.1*B2252+0</f>
        <v/>
      </c>
      <c r="D2252">
        <f>D2251-0.1*B2252+0</f>
        <v/>
      </c>
      <c r="E2252">
        <f>Parameters!$B$25</f>
        <v/>
      </c>
    </row>
    <row r="2253">
      <c r="A2253" t="n">
        <v>225.1</v>
      </c>
      <c r="B2253">
        <f>IF(A2253&gt;162.1,Parameters!$B$5,Parameters!$B$4)</f>
        <v/>
      </c>
      <c r="C2253">
        <f>C2252-0.1*B2253+0</f>
        <v/>
      </c>
      <c r="D2253">
        <f>D2252-0.1*B2253+0</f>
        <v/>
      </c>
      <c r="E2253">
        <f>Parameters!$B$25</f>
        <v/>
      </c>
    </row>
    <row r="2254">
      <c r="A2254" t="n">
        <v>225.2</v>
      </c>
      <c r="B2254">
        <f>IF(A2254&gt;162.1,Parameters!$B$5,Parameters!$B$4)</f>
        <v/>
      </c>
      <c r="C2254">
        <f>C2253-0.1*B2254+0</f>
        <v/>
      </c>
      <c r="D2254">
        <f>D2253-0.1*B2254+0</f>
        <v/>
      </c>
      <c r="E2254">
        <f>Parameters!$B$25</f>
        <v/>
      </c>
    </row>
    <row r="2255">
      <c r="A2255" t="n">
        <v>225.3</v>
      </c>
      <c r="B2255">
        <f>IF(A2255&gt;162.1,Parameters!$B$5,Parameters!$B$4)</f>
        <v/>
      </c>
      <c r="C2255">
        <f>C2254-0.1*B2255+0</f>
        <v/>
      </c>
      <c r="D2255">
        <f>D2254-0.1*B2255+0</f>
        <v/>
      </c>
      <c r="E2255">
        <f>Parameters!$B$25</f>
        <v/>
      </c>
    </row>
    <row r="2256">
      <c r="A2256" t="n">
        <v>225.4</v>
      </c>
      <c r="B2256">
        <f>IF(A2256&gt;162.1,Parameters!$B$5,Parameters!$B$4)</f>
        <v/>
      </c>
      <c r="C2256">
        <f>C2255-0.1*B2256+0</f>
        <v/>
      </c>
      <c r="D2256">
        <f>D2255-0.1*B2256+0</f>
        <v/>
      </c>
      <c r="E2256">
        <f>Parameters!$B$25</f>
        <v/>
      </c>
    </row>
    <row r="2257">
      <c r="A2257" t="n">
        <v>225.5</v>
      </c>
      <c r="B2257">
        <f>IF(A2257&gt;162.1,Parameters!$B$5,Parameters!$B$4)</f>
        <v/>
      </c>
      <c r="C2257">
        <f>C2256-0.1*B2257+0</f>
        <v/>
      </c>
      <c r="D2257">
        <f>D2256-0.1*B2257+0</f>
        <v/>
      </c>
      <c r="E2257">
        <f>Parameters!$B$25</f>
        <v/>
      </c>
    </row>
    <row r="2258">
      <c r="A2258" t="n">
        <v>225.6</v>
      </c>
      <c r="B2258">
        <f>IF(A2258&gt;162.1,Parameters!$B$5,Parameters!$B$4)</f>
        <v/>
      </c>
      <c r="C2258">
        <f>C2257-0.1*B2258+0</f>
        <v/>
      </c>
      <c r="D2258">
        <f>D2257-0.1*B2258+0</f>
        <v/>
      </c>
      <c r="E2258">
        <f>Parameters!$B$25</f>
        <v/>
      </c>
    </row>
    <row r="2259">
      <c r="A2259" t="n">
        <v>225.7</v>
      </c>
      <c r="B2259">
        <f>IF(A2259&gt;162.1,Parameters!$B$5,Parameters!$B$4)</f>
        <v/>
      </c>
      <c r="C2259">
        <f>C2258-0.1*B2259+0</f>
        <v/>
      </c>
      <c r="D2259">
        <f>D2258-0.1*B2259+0</f>
        <v/>
      </c>
      <c r="E2259">
        <f>Parameters!$B$25</f>
        <v/>
      </c>
    </row>
    <row r="2260">
      <c r="A2260" t="n">
        <v>225.8</v>
      </c>
      <c r="B2260">
        <f>IF(A2260&gt;162.1,Parameters!$B$5,Parameters!$B$4)</f>
        <v/>
      </c>
      <c r="C2260">
        <f>C2259-0.1*B2260+0</f>
        <v/>
      </c>
      <c r="D2260">
        <f>D2259-0.1*B2260+0</f>
        <v/>
      </c>
      <c r="E2260">
        <f>Parameters!$B$25</f>
        <v/>
      </c>
    </row>
    <row r="2261">
      <c r="A2261" t="n">
        <v>225.9</v>
      </c>
      <c r="B2261">
        <f>IF(A2261&gt;162.1,Parameters!$B$5,Parameters!$B$4)</f>
        <v/>
      </c>
      <c r="C2261">
        <f>C2260-0.1*B2261+0</f>
        <v/>
      </c>
      <c r="D2261">
        <f>D2260-0.1*B2261+0</f>
        <v/>
      </c>
      <c r="E2261">
        <f>Parameters!$B$25</f>
        <v/>
      </c>
    </row>
    <row r="2262">
      <c r="A2262" t="n">
        <v>226</v>
      </c>
      <c r="B2262">
        <f>IF(A2262&gt;162.1,Parameters!$B$5,Parameters!$B$4)</f>
        <v/>
      </c>
      <c r="C2262">
        <f>C2261-0.1*B2262+0</f>
        <v/>
      </c>
      <c r="D2262">
        <f>D2261-0.1*B2262+0</f>
        <v/>
      </c>
      <c r="E2262">
        <f>Parameters!$B$25</f>
        <v/>
      </c>
    </row>
    <row r="2263">
      <c r="A2263" t="n">
        <v>226.1</v>
      </c>
      <c r="B2263">
        <f>IF(A2263&gt;162.1,Parameters!$B$5,Parameters!$B$4)</f>
        <v/>
      </c>
      <c r="C2263">
        <f>C2262-0.1*B2263+0</f>
        <v/>
      </c>
      <c r="D2263">
        <f>D2262-0.1*B2263+0</f>
        <v/>
      </c>
      <c r="E2263">
        <f>Parameters!$B$25</f>
        <v/>
      </c>
    </row>
    <row r="2264">
      <c r="A2264" t="n">
        <v>226.2</v>
      </c>
      <c r="B2264">
        <f>IF(A2264&gt;162.1,Parameters!$B$5,Parameters!$B$4)</f>
        <v/>
      </c>
      <c r="C2264">
        <f>C2263-0.1*B2264+0</f>
        <v/>
      </c>
      <c r="D2264">
        <f>D2263-0.1*B2264+0</f>
        <v/>
      </c>
      <c r="E2264">
        <f>Parameters!$B$25</f>
        <v/>
      </c>
    </row>
    <row r="2265">
      <c r="A2265" t="n">
        <v>226.3</v>
      </c>
      <c r="B2265">
        <f>IF(A2265&gt;162.1,Parameters!$B$5,Parameters!$B$4)</f>
        <v/>
      </c>
      <c r="C2265">
        <f>C2264-0.1*B2265+0</f>
        <v/>
      </c>
      <c r="D2265">
        <f>D2264-0.1*B2265+0</f>
        <v/>
      </c>
      <c r="E2265">
        <f>Parameters!$B$25</f>
        <v/>
      </c>
    </row>
    <row r="2266">
      <c r="A2266" t="n">
        <v>226.4</v>
      </c>
      <c r="B2266">
        <f>IF(A2266&gt;162.1,Parameters!$B$5,Parameters!$B$4)</f>
        <v/>
      </c>
      <c r="C2266">
        <f>C2265-0.1*B2266+0</f>
        <v/>
      </c>
      <c r="D2266">
        <f>D2265-0.1*B2266+0</f>
        <v/>
      </c>
      <c r="E2266">
        <f>Parameters!$B$25</f>
        <v/>
      </c>
    </row>
    <row r="2267">
      <c r="A2267" t="n">
        <v>226.5</v>
      </c>
      <c r="B2267">
        <f>IF(A2267&gt;162.1,Parameters!$B$5,Parameters!$B$4)</f>
        <v/>
      </c>
      <c r="C2267">
        <f>C2266-0.1*B2267+0</f>
        <v/>
      </c>
      <c r="D2267">
        <f>D2266-0.1*B2267+0</f>
        <v/>
      </c>
      <c r="E2267">
        <f>Parameters!$B$25</f>
        <v/>
      </c>
    </row>
    <row r="2268">
      <c r="A2268" t="n">
        <v>226.6</v>
      </c>
      <c r="B2268">
        <f>IF(A2268&gt;162.1,Parameters!$B$5,Parameters!$B$4)</f>
        <v/>
      </c>
      <c r="C2268">
        <f>C2267-0.1*B2268+0</f>
        <v/>
      </c>
      <c r="D2268">
        <f>D2267-0.1*B2268+0</f>
        <v/>
      </c>
      <c r="E2268">
        <f>Parameters!$B$25</f>
        <v/>
      </c>
    </row>
    <row r="2269">
      <c r="A2269" t="n">
        <v>226.7</v>
      </c>
      <c r="B2269">
        <f>IF(A2269&gt;162.1,Parameters!$B$5,Parameters!$B$4)</f>
        <v/>
      </c>
      <c r="C2269">
        <f>C2268-0.1*B2269+0</f>
        <v/>
      </c>
      <c r="D2269">
        <f>D2268-0.1*B2269+0</f>
        <v/>
      </c>
      <c r="E2269">
        <f>Parameters!$B$25</f>
        <v/>
      </c>
    </row>
    <row r="2270">
      <c r="A2270" t="n">
        <v>226.8</v>
      </c>
      <c r="B2270">
        <f>IF(A2270&gt;162.1,Parameters!$B$5,Parameters!$B$4)</f>
        <v/>
      </c>
      <c r="C2270">
        <f>C2269-0.1*B2270+0</f>
        <v/>
      </c>
      <c r="D2270">
        <f>D2269-0.1*B2270+0</f>
        <v/>
      </c>
      <c r="E2270">
        <f>Parameters!$B$25</f>
        <v/>
      </c>
    </row>
    <row r="2271">
      <c r="A2271" t="n">
        <v>226.9</v>
      </c>
      <c r="B2271">
        <f>IF(A2271&gt;162.1,Parameters!$B$5,Parameters!$B$4)</f>
        <v/>
      </c>
      <c r="C2271">
        <f>C2270-0.1*B2271+0</f>
        <v/>
      </c>
      <c r="D2271">
        <f>D2270-0.1*B2271+0</f>
        <v/>
      </c>
      <c r="E2271">
        <f>Parameters!$B$25</f>
        <v/>
      </c>
    </row>
    <row r="2272">
      <c r="A2272" t="n">
        <v>227</v>
      </c>
      <c r="B2272">
        <f>IF(A2272&gt;162.1,Parameters!$B$5,Parameters!$B$4)</f>
        <v/>
      </c>
      <c r="C2272">
        <f>C2271-0.1*B2272+0</f>
        <v/>
      </c>
      <c r="D2272">
        <f>D2271-0.1*B2272+0</f>
        <v/>
      </c>
      <c r="E2272">
        <f>Parameters!$B$25</f>
        <v/>
      </c>
    </row>
    <row r="2273">
      <c r="A2273" t="n">
        <v>227.1</v>
      </c>
      <c r="B2273">
        <f>IF(A2273&gt;162.1,Parameters!$B$5,Parameters!$B$4)</f>
        <v/>
      </c>
      <c r="C2273">
        <f>C2272-0.1*B2273+0</f>
        <v/>
      </c>
      <c r="D2273">
        <f>D2272-0.1*B2273+0</f>
        <v/>
      </c>
      <c r="E2273">
        <f>Parameters!$B$25</f>
        <v/>
      </c>
    </row>
    <row r="2274">
      <c r="A2274" t="n">
        <v>227.2</v>
      </c>
      <c r="B2274">
        <f>IF(A2274&gt;162.1,Parameters!$B$5,Parameters!$B$4)</f>
        <v/>
      </c>
      <c r="C2274">
        <f>C2273-0.1*B2274+0</f>
        <v/>
      </c>
      <c r="D2274">
        <f>D2273-0.1*B2274+0</f>
        <v/>
      </c>
      <c r="E2274">
        <f>Parameters!$B$25</f>
        <v/>
      </c>
    </row>
    <row r="2275">
      <c r="A2275" t="n">
        <v>227.3</v>
      </c>
      <c r="B2275">
        <f>IF(A2275&gt;162.1,Parameters!$B$5,Parameters!$B$4)</f>
        <v/>
      </c>
      <c r="C2275">
        <f>C2274-0.1*B2275+0</f>
        <v/>
      </c>
      <c r="D2275">
        <f>D2274-0.1*B2275+0</f>
        <v/>
      </c>
      <c r="E2275">
        <f>Parameters!$B$25</f>
        <v/>
      </c>
    </row>
    <row r="2276">
      <c r="A2276" t="n">
        <v>227.4</v>
      </c>
      <c r="B2276">
        <f>IF(A2276&gt;162.1,Parameters!$B$5,Parameters!$B$4)</f>
        <v/>
      </c>
      <c r="C2276">
        <f>C2275-0.1*B2276+0</f>
        <v/>
      </c>
      <c r="D2276">
        <f>D2275-0.1*B2276+0</f>
        <v/>
      </c>
      <c r="E2276">
        <f>Parameters!$B$25</f>
        <v/>
      </c>
    </row>
    <row r="2277">
      <c r="A2277" t="n">
        <v>227.5</v>
      </c>
      <c r="B2277">
        <f>IF(A2277&gt;162.1,Parameters!$B$5,Parameters!$B$4)</f>
        <v/>
      </c>
      <c r="C2277">
        <f>C2276-0.1*B2277+0</f>
        <v/>
      </c>
      <c r="D2277">
        <f>D2276-0.1*B2277+0</f>
        <v/>
      </c>
      <c r="E2277">
        <f>Parameters!$B$25</f>
        <v/>
      </c>
    </row>
    <row r="2278">
      <c r="A2278" t="n">
        <v>227.6</v>
      </c>
      <c r="B2278">
        <f>IF(A2278&gt;162.1,Parameters!$B$5,Parameters!$B$4)</f>
        <v/>
      </c>
      <c r="C2278">
        <f>C2277-0.1*B2278+0</f>
        <v/>
      </c>
      <c r="D2278">
        <f>D2277-0.1*B2278+0</f>
        <v/>
      </c>
      <c r="E2278">
        <f>Parameters!$B$25</f>
        <v/>
      </c>
    </row>
    <row r="2279">
      <c r="A2279" t="n">
        <v>227.7</v>
      </c>
      <c r="B2279">
        <f>IF(A2279&gt;162.1,Parameters!$B$5,Parameters!$B$4)</f>
        <v/>
      </c>
      <c r="C2279">
        <f>C2278-0.1*B2279+0</f>
        <v/>
      </c>
      <c r="D2279">
        <f>D2278-0.1*B2279+0</f>
        <v/>
      </c>
      <c r="E2279">
        <f>Parameters!$B$25</f>
        <v/>
      </c>
    </row>
    <row r="2280">
      <c r="A2280" t="n">
        <v>227.8</v>
      </c>
      <c r="B2280">
        <f>IF(A2280&gt;162.1,Parameters!$B$5,Parameters!$B$4)</f>
        <v/>
      </c>
      <c r="C2280">
        <f>C2279-0.1*B2280+0</f>
        <v/>
      </c>
      <c r="D2280">
        <f>D2279-0.1*B2280+0</f>
        <v/>
      </c>
      <c r="E2280">
        <f>Parameters!$B$25</f>
        <v/>
      </c>
    </row>
    <row r="2281">
      <c r="A2281" t="n">
        <v>227.9</v>
      </c>
      <c r="B2281">
        <f>IF(A2281&gt;162.1,Parameters!$B$5,Parameters!$B$4)</f>
        <v/>
      </c>
      <c r="C2281">
        <f>C2280-0.1*B2281+0</f>
        <v/>
      </c>
      <c r="D2281">
        <f>D2280-0.1*B2281+0</f>
        <v/>
      </c>
      <c r="E2281">
        <f>Parameters!$B$25</f>
        <v/>
      </c>
    </row>
    <row r="2282">
      <c r="A2282" t="n">
        <v>228</v>
      </c>
      <c r="B2282">
        <f>IF(A2282&gt;162.1,Parameters!$B$5,Parameters!$B$4)</f>
        <v/>
      </c>
      <c r="C2282">
        <f>C2281-0.1*B2282+0</f>
        <v/>
      </c>
      <c r="D2282">
        <f>D2281-0.1*B2282+0</f>
        <v/>
      </c>
      <c r="E2282">
        <f>Parameters!$B$25</f>
        <v/>
      </c>
    </row>
    <row r="2283">
      <c r="A2283" t="n">
        <v>228.1</v>
      </c>
      <c r="B2283">
        <f>IF(A2283&gt;162.1,Parameters!$B$5,Parameters!$B$4)</f>
        <v/>
      </c>
      <c r="C2283">
        <f>C2282-0.1*B2283+0</f>
        <v/>
      </c>
      <c r="D2283">
        <f>D2282-0.1*B2283+0</f>
        <v/>
      </c>
      <c r="E2283">
        <f>Parameters!$B$25</f>
        <v/>
      </c>
    </row>
    <row r="2284">
      <c r="A2284" t="n">
        <v>228.2</v>
      </c>
      <c r="B2284">
        <f>IF(A2284&gt;162.1,Parameters!$B$5,Parameters!$B$4)</f>
        <v/>
      </c>
      <c r="C2284">
        <f>C2283-0.1*B2284+0</f>
        <v/>
      </c>
      <c r="D2284">
        <f>D2283-0.1*B2284+0</f>
        <v/>
      </c>
      <c r="E2284">
        <f>Parameters!$B$25</f>
        <v/>
      </c>
    </row>
    <row r="2285">
      <c r="A2285" t="n">
        <v>228.3</v>
      </c>
      <c r="B2285">
        <f>IF(A2285&gt;162.1,Parameters!$B$5,Parameters!$B$4)</f>
        <v/>
      </c>
      <c r="C2285">
        <f>C2284-0.1*B2285+0</f>
        <v/>
      </c>
      <c r="D2285">
        <f>D2284-0.1*B2285+0</f>
        <v/>
      </c>
      <c r="E2285">
        <f>Parameters!$B$25</f>
        <v/>
      </c>
    </row>
    <row r="2286">
      <c r="A2286" t="n">
        <v>228.4</v>
      </c>
      <c r="B2286">
        <f>IF(A2286&gt;162.1,Parameters!$B$5,Parameters!$B$4)</f>
        <v/>
      </c>
      <c r="C2286">
        <f>C2285-0.1*B2286+0</f>
        <v/>
      </c>
      <c r="D2286">
        <f>D2285-0.1*B2286+0</f>
        <v/>
      </c>
      <c r="E2286">
        <f>Parameters!$B$25</f>
        <v/>
      </c>
    </row>
    <row r="2287">
      <c r="A2287" t="n">
        <v>228.5</v>
      </c>
      <c r="B2287">
        <f>IF(A2287&gt;162.1,Parameters!$B$5,Parameters!$B$4)</f>
        <v/>
      </c>
      <c r="C2287">
        <f>C2286-0.1*B2287+0</f>
        <v/>
      </c>
      <c r="D2287">
        <f>D2286-0.1*B2287+0</f>
        <v/>
      </c>
      <c r="E2287">
        <f>Parameters!$B$25</f>
        <v/>
      </c>
    </row>
    <row r="2288">
      <c r="A2288" t="n">
        <v>228.6</v>
      </c>
      <c r="B2288">
        <f>IF(A2288&gt;162.1,Parameters!$B$5,Parameters!$B$4)</f>
        <v/>
      </c>
      <c r="C2288">
        <f>C2287-0.1*B2288+0</f>
        <v/>
      </c>
      <c r="D2288">
        <f>D2287-0.1*B2288+0</f>
        <v/>
      </c>
      <c r="E2288">
        <f>Parameters!$B$25</f>
        <v/>
      </c>
    </row>
    <row r="2289">
      <c r="A2289" t="n">
        <v>228.7</v>
      </c>
      <c r="B2289">
        <f>IF(A2289&gt;162.1,Parameters!$B$5,Parameters!$B$4)</f>
        <v/>
      </c>
      <c r="C2289">
        <f>C2288-0.1*B2289+0</f>
        <v/>
      </c>
      <c r="D2289">
        <f>D2288-0.1*B2289+0</f>
        <v/>
      </c>
      <c r="E2289">
        <f>Parameters!$B$25</f>
        <v/>
      </c>
    </row>
    <row r="2290">
      <c r="A2290" t="n">
        <v>228.8</v>
      </c>
      <c r="B2290">
        <f>IF(A2290&gt;162.1,Parameters!$B$5,Parameters!$B$4)</f>
        <v/>
      </c>
      <c r="C2290">
        <f>C2289-0.1*B2290+0</f>
        <v/>
      </c>
      <c r="D2290">
        <f>D2289-0.1*B2290+0</f>
        <v/>
      </c>
      <c r="E2290">
        <f>Parameters!$B$25</f>
        <v/>
      </c>
    </row>
    <row r="2291">
      <c r="A2291" t="n">
        <v>228.9</v>
      </c>
      <c r="B2291">
        <f>IF(A2291&gt;162.1,Parameters!$B$5,Parameters!$B$4)</f>
        <v/>
      </c>
      <c r="C2291">
        <f>C2290-0.1*B2291+0</f>
        <v/>
      </c>
      <c r="D2291">
        <f>D2290-0.1*B2291+0</f>
        <v/>
      </c>
      <c r="E2291">
        <f>Parameters!$B$25</f>
        <v/>
      </c>
    </row>
    <row r="2292">
      <c r="A2292" t="n">
        <v>229</v>
      </c>
      <c r="B2292">
        <f>IF(A2292&gt;162.1,Parameters!$B$5,Parameters!$B$4)</f>
        <v/>
      </c>
      <c r="C2292">
        <f>C2291-0.1*B2292+0</f>
        <v/>
      </c>
      <c r="D2292">
        <f>D2291-0.1*B2292+0</f>
        <v/>
      </c>
      <c r="E2292">
        <f>Parameters!$B$25</f>
        <v/>
      </c>
    </row>
    <row r="2293">
      <c r="A2293" t="n">
        <v>229.1</v>
      </c>
      <c r="B2293">
        <f>IF(A2293&gt;162.1,Parameters!$B$5,Parameters!$B$4)</f>
        <v/>
      </c>
      <c r="C2293">
        <f>C2292-0.1*B2293+0</f>
        <v/>
      </c>
      <c r="D2293">
        <f>D2292-0.1*B2293+0</f>
        <v/>
      </c>
      <c r="E2293">
        <f>Parameters!$B$25</f>
        <v/>
      </c>
    </row>
    <row r="2294">
      <c r="A2294" t="n">
        <v>229.2</v>
      </c>
      <c r="B2294">
        <f>IF(A2294&gt;162.1,Parameters!$B$5,Parameters!$B$4)</f>
        <v/>
      </c>
      <c r="C2294">
        <f>C2293-0.1*B2294+0</f>
        <v/>
      </c>
      <c r="D2294">
        <f>D2293-0.1*B2294+0</f>
        <v/>
      </c>
      <c r="E2294">
        <f>Parameters!$B$25</f>
        <v/>
      </c>
    </row>
    <row r="2295">
      <c r="A2295" t="n">
        <v>229.3</v>
      </c>
      <c r="B2295">
        <f>IF(A2295&gt;162.1,Parameters!$B$5,Parameters!$B$4)</f>
        <v/>
      </c>
      <c r="C2295">
        <f>C2294-0.1*B2295+0</f>
        <v/>
      </c>
      <c r="D2295">
        <f>D2294-0.1*B2295+0</f>
        <v/>
      </c>
      <c r="E2295">
        <f>Parameters!$B$25</f>
        <v/>
      </c>
    </row>
    <row r="2296">
      <c r="A2296" t="n">
        <v>229.4</v>
      </c>
      <c r="B2296">
        <f>IF(A2296&gt;162.1,Parameters!$B$5,Parameters!$B$4)</f>
        <v/>
      </c>
      <c r="C2296">
        <f>C2295-0.1*B2296+0</f>
        <v/>
      </c>
      <c r="D2296">
        <f>D2295-0.1*B2296+0</f>
        <v/>
      </c>
      <c r="E2296">
        <f>Parameters!$B$25</f>
        <v/>
      </c>
    </row>
    <row r="2297">
      <c r="A2297" t="n">
        <v>229.5</v>
      </c>
      <c r="B2297">
        <f>IF(A2297&gt;162.1,Parameters!$B$5,Parameters!$B$4)</f>
        <v/>
      </c>
      <c r="C2297">
        <f>C2296-0.1*B2297+0</f>
        <v/>
      </c>
      <c r="D2297">
        <f>D2296-0.1*B2297+0</f>
        <v/>
      </c>
      <c r="E2297">
        <f>Parameters!$B$25</f>
        <v/>
      </c>
    </row>
    <row r="2298">
      <c r="A2298" t="n">
        <v>229.6</v>
      </c>
      <c r="B2298">
        <f>IF(A2298&gt;162.1,Parameters!$B$5,Parameters!$B$4)</f>
        <v/>
      </c>
      <c r="C2298">
        <f>C2297-0.1*B2298+0</f>
        <v/>
      </c>
      <c r="D2298">
        <f>D2297-0.1*B2298+0</f>
        <v/>
      </c>
      <c r="E2298">
        <f>Parameters!$B$25</f>
        <v/>
      </c>
    </row>
    <row r="2299">
      <c r="A2299" t="n">
        <v>229.7</v>
      </c>
      <c r="B2299">
        <f>IF(A2299&gt;162.1,Parameters!$B$5,Parameters!$B$4)</f>
        <v/>
      </c>
      <c r="C2299">
        <f>C2298-0.1*B2299+'Dwell Plans'!$B$12</f>
        <v/>
      </c>
      <c r="D2299">
        <f>D2298-0.1*B2299+MIN(Parameters!$B$26/60*Parameters!$B$8,Parameters!$B$6-(D2298-0.1*B2299))</f>
        <v/>
      </c>
      <c r="E2299">
        <f>Parameters!$B$25</f>
        <v/>
      </c>
    </row>
    <row r="2300">
      <c r="A2300" t="n">
        <v>229.8</v>
      </c>
      <c r="B2300">
        <f>IF(A2300&gt;162.1,Parameters!$B$5,Parameters!$B$4)</f>
        <v/>
      </c>
      <c r="C2300">
        <f>C2299-0.1*B2300+0</f>
        <v/>
      </c>
      <c r="D2300">
        <f>D2299-0.1*B2300+0</f>
        <v/>
      </c>
      <c r="E2300">
        <f>Parameters!$B$25</f>
        <v/>
      </c>
    </row>
    <row r="2301">
      <c r="A2301" t="n">
        <v>229.9</v>
      </c>
      <c r="B2301">
        <f>IF(A2301&gt;162.1,Parameters!$B$5,Parameters!$B$4)</f>
        <v/>
      </c>
      <c r="C2301">
        <f>C2300-0.1*B2301+0</f>
        <v/>
      </c>
      <c r="D2301">
        <f>D2300-0.1*B2301+0</f>
        <v/>
      </c>
      <c r="E2301">
        <f>Parameters!$B$25</f>
        <v/>
      </c>
    </row>
    <row r="2302">
      <c r="A2302" t="n">
        <v>230</v>
      </c>
      <c r="B2302">
        <f>IF(A2302&gt;162.1,Parameters!$B$5,Parameters!$B$4)</f>
        <v/>
      </c>
      <c r="C2302">
        <f>C2301-0.1*B2302+0</f>
        <v/>
      </c>
      <c r="D2302">
        <f>D2301-0.1*B2302+0</f>
        <v/>
      </c>
      <c r="E2302">
        <f>Parameters!$B$25</f>
        <v/>
      </c>
    </row>
    <row r="2303">
      <c r="A2303" t="n">
        <v>230.1</v>
      </c>
      <c r="B2303">
        <f>IF(A2303&gt;162.1,Parameters!$B$5,Parameters!$B$4)</f>
        <v/>
      </c>
      <c r="C2303">
        <f>C2302-0.1*B2303+0</f>
        <v/>
      </c>
      <c r="D2303">
        <f>D2302-0.1*B2303+0</f>
        <v/>
      </c>
      <c r="E2303">
        <f>Parameters!$B$25</f>
        <v/>
      </c>
    </row>
    <row r="2304">
      <c r="A2304" t="n">
        <v>230.2</v>
      </c>
      <c r="B2304">
        <f>IF(A2304&gt;162.1,Parameters!$B$5,Parameters!$B$4)</f>
        <v/>
      </c>
      <c r="C2304">
        <f>C2303-0.1*B2304+0</f>
        <v/>
      </c>
      <c r="D2304">
        <f>D2303-0.1*B2304+0</f>
        <v/>
      </c>
      <c r="E2304">
        <f>Parameters!$B$25</f>
        <v/>
      </c>
    </row>
    <row r="2305">
      <c r="A2305" t="n">
        <v>230.3</v>
      </c>
      <c r="B2305">
        <f>IF(A2305&gt;162.1,Parameters!$B$5,Parameters!$B$4)</f>
        <v/>
      </c>
      <c r="C2305">
        <f>C2304-0.1*B2305+0</f>
        <v/>
      </c>
      <c r="D2305">
        <f>D2304-0.1*B2305+0</f>
        <v/>
      </c>
      <c r="E2305">
        <f>Parameters!$B$25</f>
        <v/>
      </c>
    </row>
    <row r="2306">
      <c r="A2306" t="n">
        <v>230.4</v>
      </c>
      <c r="B2306">
        <f>IF(A2306&gt;162.1,Parameters!$B$5,Parameters!$B$4)</f>
        <v/>
      </c>
      <c r="C2306">
        <f>C2305-0.1*B2306+0</f>
        <v/>
      </c>
      <c r="D2306">
        <f>D2305-0.1*B2306+0</f>
        <v/>
      </c>
      <c r="E2306">
        <f>Parameters!$B$25</f>
        <v/>
      </c>
    </row>
    <row r="2307">
      <c r="A2307" t="n">
        <v>230.5</v>
      </c>
      <c r="B2307">
        <f>IF(A2307&gt;162.1,Parameters!$B$5,Parameters!$B$4)</f>
        <v/>
      </c>
      <c r="C2307">
        <f>C2306-0.1*B2307+0</f>
        <v/>
      </c>
      <c r="D2307">
        <f>D2306-0.1*B2307+0</f>
        <v/>
      </c>
      <c r="E2307">
        <f>Parameters!$B$25</f>
        <v/>
      </c>
    </row>
    <row r="2308">
      <c r="A2308" t="n">
        <v>230.6</v>
      </c>
      <c r="B2308">
        <f>IF(A2308&gt;162.1,Parameters!$B$5,Parameters!$B$4)</f>
        <v/>
      </c>
      <c r="C2308">
        <f>C2307-0.1*B2308+0</f>
        <v/>
      </c>
      <c r="D2308">
        <f>D2307-0.1*B2308+0</f>
        <v/>
      </c>
      <c r="E2308">
        <f>Parameters!$B$25</f>
        <v/>
      </c>
    </row>
    <row r="2309">
      <c r="A2309" t="n">
        <v>230.7</v>
      </c>
      <c r="B2309">
        <f>IF(A2309&gt;162.1,Parameters!$B$5,Parameters!$B$4)</f>
        <v/>
      </c>
      <c r="C2309">
        <f>C2308-0.1*B2309+0</f>
        <v/>
      </c>
      <c r="D2309">
        <f>D2308-0.1*B2309+0</f>
        <v/>
      </c>
      <c r="E2309">
        <f>Parameters!$B$25</f>
        <v/>
      </c>
    </row>
    <row r="2310">
      <c r="A2310" t="n">
        <v>230.8</v>
      </c>
      <c r="B2310">
        <f>IF(A2310&gt;162.1,Parameters!$B$5,Parameters!$B$4)</f>
        <v/>
      </c>
      <c r="C2310">
        <f>C2309-0.1*B2310+0</f>
        <v/>
      </c>
      <c r="D2310">
        <f>D2309-0.1*B2310+0</f>
        <v/>
      </c>
      <c r="E2310">
        <f>Parameters!$B$25</f>
        <v/>
      </c>
    </row>
    <row r="2311">
      <c r="A2311" t="n">
        <v>230.9</v>
      </c>
      <c r="B2311">
        <f>IF(A2311&gt;162.1,Parameters!$B$5,Parameters!$B$4)</f>
        <v/>
      </c>
      <c r="C2311">
        <f>C2310-0.1*B2311+0</f>
        <v/>
      </c>
      <c r="D2311">
        <f>D2310-0.1*B2311+0</f>
        <v/>
      </c>
      <c r="E2311">
        <f>Parameters!$B$25</f>
        <v/>
      </c>
    </row>
    <row r="2312">
      <c r="A2312" t="n">
        <v>231</v>
      </c>
      <c r="B2312">
        <f>IF(A2312&gt;162.1,Parameters!$B$5,Parameters!$B$4)</f>
        <v/>
      </c>
      <c r="C2312">
        <f>C2311-0.1*B2312+0</f>
        <v/>
      </c>
      <c r="D2312">
        <f>D2311-0.1*B2312+0</f>
        <v/>
      </c>
      <c r="E2312">
        <f>Parameters!$B$25</f>
        <v/>
      </c>
    </row>
    <row r="2313">
      <c r="A2313" t="n">
        <v>231.1</v>
      </c>
      <c r="B2313">
        <f>IF(A2313&gt;162.1,Parameters!$B$5,Parameters!$B$4)</f>
        <v/>
      </c>
      <c r="C2313">
        <f>C2312-0.1*B2313+0</f>
        <v/>
      </c>
      <c r="D2313">
        <f>D2312-0.1*B2313+0</f>
        <v/>
      </c>
      <c r="E2313">
        <f>Parameters!$B$25</f>
        <v/>
      </c>
    </row>
    <row r="2314">
      <c r="A2314" t="n">
        <v>231.2</v>
      </c>
      <c r="B2314">
        <f>IF(A2314&gt;162.1,Parameters!$B$5,Parameters!$B$4)</f>
        <v/>
      </c>
      <c r="C2314">
        <f>C2313-0.1*B2314+0</f>
        <v/>
      </c>
      <c r="D2314">
        <f>D2313-0.1*B2314+0</f>
        <v/>
      </c>
      <c r="E2314">
        <f>Parameters!$B$25</f>
        <v/>
      </c>
    </row>
    <row r="2315">
      <c r="A2315" t="n">
        <v>231.3</v>
      </c>
      <c r="B2315">
        <f>IF(A2315&gt;162.1,Parameters!$B$5,Parameters!$B$4)</f>
        <v/>
      </c>
      <c r="C2315">
        <f>C2314-0.1*B2315+0</f>
        <v/>
      </c>
      <c r="D2315">
        <f>D2314-0.1*B2315+0</f>
        <v/>
      </c>
      <c r="E2315">
        <f>Parameters!$B$25</f>
        <v/>
      </c>
    </row>
    <row r="2316">
      <c r="A2316" t="n">
        <v>231.4</v>
      </c>
      <c r="B2316">
        <f>IF(A2316&gt;162.1,Parameters!$B$5,Parameters!$B$4)</f>
        <v/>
      </c>
      <c r="C2316">
        <f>C2315-0.1*B2316+0</f>
        <v/>
      </c>
      <c r="D2316">
        <f>D2315-0.1*B2316+0</f>
        <v/>
      </c>
      <c r="E2316">
        <f>Parameters!$B$25</f>
        <v/>
      </c>
    </row>
    <row r="2317">
      <c r="A2317" t="n">
        <v>231.5</v>
      </c>
      <c r="B2317">
        <f>IF(A2317&gt;162.1,Parameters!$B$5,Parameters!$B$4)</f>
        <v/>
      </c>
      <c r="C2317">
        <f>C2316-0.1*B2317+0</f>
        <v/>
      </c>
      <c r="D2317">
        <f>D2316-0.1*B2317+0</f>
        <v/>
      </c>
      <c r="E2317">
        <f>Parameters!$B$25</f>
        <v/>
      </c>
    </row>
    <row r="2318">
      <c r="A2318" t="n">
        <v>231.6</v>
      </c>
      <c r="B2318">
        <f>IF(A2318&gt;162.1,Parameters!$B$5,Parameters!$B$4)</f>
        <v/>
      </c>
      <c r="C2318">
        <f>C2317-0.1*B2318+0</f>
        <v/>
      </c>
      <c r="D2318">
        <f>D2317-0.1*B2318+0</f>
        <v/>
      </c>
      <c r="E2318">
        <f>Parameters!$B$25</f>
        <v/>
      </c>
    </row>
    <row r="2319">
      <c r="A2319" t="n">
        <v>231.7</v>
      </c>
      <c r="B2319">
        <f>IF(A2319&gt;162.1,Parameters!$B$5,Parameters!$B$4)</f>
        <v/>
      </c>
      <c r="C2319">
        <f>C2318-0.1*B2319+0</f>
        <v/>
      </c>
      <c r="D2319">
        <f>D2318-0.1*B2319+0</f>
        <v/>
      </c>
      <c r="E2319">
        <f>Parameters!$B$25</f>
        <v/>
      </c>
    </row>
    <row r="2320">
      <c r="A2320" t="n">
        <v>231.8</v>
      </c>
      <c r="B2320">
        <f>IF(A2320&gt;162.1,Parameters!$B$5,Parameters!$B$4)</f>
        <v/>
      </c>
      <c r="C2320">
        <f>C2319-0.1*B2320+0</f>
        <v/>
      </c>
      <c r="D2320">
        <f>D2319-0.1*B2320+0</f>
        <v/>
      </c>
      <c r="E2320">
        <f>Parameters!$B$25</f>
        <v/>
      </c>
    </row>
    <row r="2321">
      <c r="A2321" t="n">
        <v>231.9</v>
      </c>
      <c r="B2321">
        <f>IF(A2321&gt;162.1,Parameters!$B$5,Parameters!$B$4)</f>
        <v/>
      </c>
      <c r="C2321">
        <f>C2320-0.1*B2321+0</f>
        <v/>
      </c>
      <c r="D2321">
        <f>D2320-0.1*B2321+0</f>
        <v/>
      </c>
      <c r="E2321">
        <f>Parameters!$B$25</f>
        <v/>
      </c>
    </row>
    <row r="2322">
      <c r="A2322" t="n">
        <v>232</v>
      </c>
      <c r="B2322">
        <f>IF(A2322&gt;162.1,Parameters!$B$5,Parameters!$B$4)</f>
        <v/>
      </c>
      <c r="C2322">
        <f>C2321-0.1*B2322+0</f>
        <v/>
      </c>
      <c r="D2322">
        <f>D2321-0.1*B2322+0</f>
        <v/>
      </c>
      <c r="E2322">
        <f>Parameters!$B$25</f>
        <v/>
      </c>
    </row>
    <row r="2323">
      <c r="A2323" t="n">
        <v>232.1</v>
      </c>
      <c r="B2323">
        <f>IF(A2323&gt;162.1,Parameters!$B$5,Parameters!$B$4)</f>
        <v/>
      </c>
      <c r="C2323">
        <f>C2322-0.1*B2323+0</f>
        <v/>
      </c>
      <c r="D2323">
        <f>D2322-0.1*B2323+0</f>
        <v/>
      </c>
      <c r="E2323">
        <f>Parameters!$B$25</f>
        <v/>
      </c>
    </row>
    <row r="2324">
      <c r="A2324" t="n">
        <v>232.2</v>
      </c>
      <c r="B2324">
        <f>IF(A2324&gt;162.1,Parameters!$B$5,Parameters!$B$4)</f>
        <v/>
      </c>
      <c r="C2324">
        <f>C2323-0.1*B2324+0</f>
        <v/>
      </c>
      <c r="D2324">
        <f>D2323-0.1*B2324+0</f>
        <v/>
      </c>
      <c r="E2324">
        <f>Parameters!$B$25</f>
        <v/>
      </c>
    </row>
    <row r="2325">
      <c r="A2325" t="n">
        <v>232.3</v>
      </c>
      <c r="B2325">
        <f>IF(A2325&gt;162.1,Parameters!$B$5,Parameters!$B$4)</f>
        <v/>
      </c>
      <c r="C2325">
        <f>C2324-0.1*B2325+0</f>
        <v/>
      </c>
      <c r="D2325">
        <f>D2324-0.1*B2325+0</f>
        <v/>
      </c>
      <c r="E2325">
        <f>Parameters!$B$25</f>
        <v/>
      </c>
    </row>
    <row r="2326">
      <c r="A2326" t="n">
        <v>232.4</v>
      </c>
      <c r="B2326">
        <f>IF(A2326&gt;162.1,Parameters!$B$5,Parameters!$B$4)</f>
        <v/>
      </c>
      <c r="C2326">
        <f>C2325-0.1*B2326+0</f>
        <v/>
      </c>
      <c r="D2326">
        <f>D2325-0.1*B2326+0</f>
        <v/>
      </c>
      <c r="E2326">
        <f>Parameters!$B$25</f>
        <v/>
      </c>
    </row>
    <row r="2327">
      <c r="A2327" t="n">
        <v>232.5</v>
      </c>
      <c r="B2327">
        <f>IF(A2327&gt;162.1,Parameters!$B$5,Parameters!$B$4)</f>
        <v/>
      </c>
      <c r="C2327">
        <f>C2326-0.1*B2327+0</f>
        <v/>
      </c>
      <c r="D2327">
        <f>D2326-0.1*B2327+0</f>
        <v/>
      </c>
      <c r="E2327">
        <f>Parameters!$B$25</f>
        <v/>
      </c>
    </row>
    <row r="2328">
      <c r="A2328" t="n">
        <v>232.6</v>
      </c>
      <c r="B2328">
        <f>IF(A2328&gt;162.1,Parameters!$B$5,Parameters!$B$4)</f>
        <v/>
      </c>
      <c r="C2328">
        <f>C2327-0.1*B2328+0</f>
        <v/>
      </c>
      <c r="D2328">
        <f>D2327-0.1*B2328+0</f>
        <v/>
      </c>
      <c r="E2328">
        <f>Parameters!$B$25</f>
        <v/>
      </c>
    </row>
    <row r="2329">
      <c r="A2329" t="n">
        <v>232.7</v>
      </c>
      <c r="B2329">
        <f>IF(A2329&gt;162.1,Parameters!$B$5,Parameters!$B$4)</f>
        <v/>
      </c>
      <c r="C2329">
        <f>C2328-0.1*B2329+0</f>
        <v/>
      </c>
      <c r="D2329">
        <f>D2328-0.1*B2329+0</f>
        <v/>
      </c>
      <c r="E2329">
        <f>Parameters!$B$25</f>
        <v/>
      </c>
    </row>
    <row r="2330">
      <c r="A2330" t="n">
        <v>232.8</v>
      </c>
      <c r="B2330">
        <f>IF(A2330&gt;162.1,Parameters!$B$5,Parameters!$B$4)</f>
        <v/>
      </c>
      <c r="C2330">
        <f>C2329-0.1*B2330+0</f>
        <v/>
      </c>
      <c r="D2330">
        <f>D2329-0.1*B2330+0</f>
        <v/>
      </c>
      <c r="E2330">
        <f>Parameters!$B$25</f>
        <v/>
      </c>
    </row>
    <row r="2331">
      <c r="A2331" t="n">
        <v>232.9</v>
      </c>
      <c r="B2331">
        <f>IF(A2331&gt;162.1,Parameters!$B$5,Parameters!$B$4)</f>
        <v/>
      </c>
      <c r="C2331">
        <f>C2330-0.1*B2331+0</f>
        <v/>
      </c>
      <c r="D2331">
        <f>D2330-0.1*B2331+0</f>
        <v/>
      </c>
      <c r="E2331">
        <f>Parameters!$B$25</f>
        <v/>
      </c>
    </row>
    <row r="2332">
      <c r="A2332" t="n">
        <v>233</v>
      </c>
      <c r="B2332">
        <f>IF(A2332&gt;162.1,Parameters!$B$5,Parameters!$B$4)</f>
        <v/>
      </c>
      <c r="C2332">
        <f>C2331-0.1*B2332+0</f>
        <v/>
      </c>
      <c r="D2332">
        <f>D2331-0.1*B2332+0</f>
        <v/>
      </c>
      <c r="E2332">
        <f>Parameters!$B$25</f>
        <v/>
      </c>
    </row>
    <row r="2333">
      <c r="A2333" t="n">
        <v>233.1</v>
      </c>
      <c r="B2333">
        <f>IF(A2333&gt;162.1,Parameters!$B$5,Parameters!$B$4)</f>
        <v/>
      </c>
      <c r="C2333">
        <f>C2332-0.1*B2333+0</f>
        <v/>
      </c>
      <c r="D2333">
        <f>D2332-0.1*B2333+0</f>
        <v/>
      </c>
      <c r="E2333">
        <f>Parameters!$B$25</f>
        <v/>
      </c>
    </row>
    <row r="2334">
      <c r="A2334" t="n">
        <v>233.2</v>
      </c>
      <c r="B2334">
        <f>IF(A2334&gt;162.1,Parameters!$B$5,Parameters!$B$4)</f>
        <v/>
      </c>
      <c r="C2334">
        <f>C2333-0.1*B2334+0</f>
        <v/>
      </c>
      <c r="D2334">
        <f>D2333-0.1*B2334+0</f>
        <v/>
      </c>
      <c r="E2334">
        <f>Parameters!$B$25</f>
        <v/>
      </c>
    </row>
    <row r="2335">
      <c r="A2335" t="n">
        <v>233.3</v>
      </c>
      <c r="B2335">
        <f>IF(A2335&gt;162.1,Parameters!$B$5,Parameters!$B$4)</f>
        <v/>
      </c>
      <c r="C2335">
        <f>C2334-0.1*B2335+0</f>
        <v/>
      </c>
      <c r="D2335">
        <f>D2334-0.1*B2335+0</f>
        <v/>
      </c>
      <c r="E2335">
        <f>Parameters!$B$25</f>
        <v/>
      </c>
    </row>
    <row r="2336">
      <c r="A2336" t="n">
        <v>233.4</v>
      </c>
      <c r="B2336">
        <f>IF(A2336&gt;162.1,Parameters!$B$5,Parameters!$B$4)</f>
        <v/>
      </c>
      <c r="C2336">
        <f>C2335-0.1*B2336+0</f>
        <v/>
      </c>
      <c r="D2336">
        <f>D2335-0.1*B2336+0</f>
        <v/>
      </c>
      <c r="E2336">
        <f>Parameters!$B$25</f>
        <v/>
      </c>
    </row>
    <row r="2337">
      <c r="A2337" t="n">
        <v>233.5</v>
      </c>
      <c r="B2337">
        <f>IF(A2337&gt;162.1,Parameters!$B$5,Parameters!$B$4)</f>
        <v/>
      </c>
      <c r="C2337">
        <f>C2336-0.1*B2337+0</f>
        <v/>
      </c>
      <c r="D2337">
        <f>D2336-0.1*B2337+0</f>
        <v/>
      </c>
      <c r="E2337">
        <f>Parameters!$B$25</f>
        <v/>
      </c>
    </row>
    <row r="2338">
      <c r="A2338" t="n">
        <v>233.6</v>
      </c>
      <c r="B2338">
        <f>IF(A2338&gt;162.1,Parameters!$B$5,Parameters!$B$4)</f>
        <v/>
      </c>
      <c r="C2338">
        <f>C2337-0.1*B2338+0</f>
        <v/>
      </c>
      <c r="D2338">
        <f>D2337-0.1*B2338+0</f>
        <v/>
      </c>
      <c r="E2338">
        <f>Parameters!$B$25</f>
        <v/>
      </c>
    </row>
    <row r="2339">
      <c r="A2339" t="n">
        <v>233.7</v>
      </c>
      <c r="B2339">
        <f>IF(A2339&gt;162.1,Parameters!$B$5,Parameters!$B$4)</f>
        <v/>
      </c>
      <c r="C2339">
        <f>C2338-0.1*B2339+0</f>
        <v/>
      </c>
      <c r="D2339">
        <f>D2338-0.1*B2339+0</f>
        <v/>
      </c>
      <c r="E2339">
        <f>Parameters!$B$25</f>
        <v/>
      </c>
    </row>
    <row r="2340">
      <c r="A2340" t="n">
        <v>233.8</v>
      </c>
      <c r="B2340">
        <f>IF(A2340&gt;162.1,Parameters!$B$5,Parameters!$B$4)</f>
        <v/>
      </c>
      <c r="C2340">
        <f>C2339-0.1*B2340+0</f>
        <v/>
      </c>
      <c r="D2340">
        <f>D2339-0.1*B2340+0</f>
        <v/>
      </c>
      <c r="E2340">
        <f>Parameters!$B$25</f>
        <v/>
      </c>
    </row>
    <row r="2341">
      <c r="A2341" t="n">
        <v>233.9</v>
      </c>
      <c r="B2341">
        <f>IF(A2341&gt;162.1,Parameters!$B$5,Parameters!$B$4)</f>
        <v/>
      </c>
      <c r="C2341">
        <f>C2340-0.1*B2341+0</f>
        <v/>
      </c>
      <c r="D2341">
        <f>D2340-0.1*B2341+0</f>
        <v/>
      </c>
      <c r="E2341">
        <f>Parameters!$B$25</f>
        <v/>
      </c>
    </row>
    <row r="2342">
      <c r="A2342" t="n">
        <v>234</v>
      </c>
      <c r="B2342">
        <f>IF(A2342&gt;162.1,Parameters!$B$5,Parameters!$B$4)</f>
        <v/>
      </c>
      <c r="C2342">
        <f>C2341-0.1*B2342+0</f>
        <v/>
      </c>
      <c r="D2342">
        <f>D2341-0.1*B2342+0</f>
        <v/>
      </c>
      <c r="E2342">
        <f>Parameters!$B$25</f>
        <v/>
      </c>
    </row>
    <row r="2343">
      <c r="A2343" t="n">
        <v>234.1</v>
      </c>
      <c r="B2343">
        <f>IF(A2343&gt;162.1,Parameters!$B$5,Parameters!$B$4)</f>
        <v/>
      </c>
      <c r="C2343">
        <f>C2342-0.1*B2343+0</f>
        <v/>
      </c>
      <c r="D2343">
        <f>D2342-0.1*B2343+0</f>
        <v/>
      </c>
      <c r="E2343">
        <f>Parameters!$B$25</f>
        <v/>
      </c>
    </row>
    <row r="2344">
      <c r="A2344" t="n">
        <v>234.2</v>
      </c>
      <c r="B2344">
        <f>IF(A2344&gt;162.1,Parameters!$B$5,Parameters!$B$4)</f>
        <v/>
      </c>
      <c r="C2344">
        <f>C2343-0.1*B2344+0</f>
        <v/>
      </c>
      <c r="D2344">
        <f>D2343-0.1*B2344+0</f>
        <v/>
      </c>
      <c r="E2344">
        <f>Parameters!$B$25</f>
        <v/>
      </c>
    </row>
    <row r="2345">
      <c r="A2345" t="n">
        <v>234.3</v>
      </c>
      <c r="B2345">
        <f>IF(A2345&gt;162.1,Parameters!$B$5,Parameters!$B$4)</f>
        <v/>
      </c>
      <c r="C2345">
        <f>C2344-0.1*B2345+0</f>
        <v/>
      </c>
      <c r="D2345">
        <f>D2344-0.1*B2345+0</f>
        <v/>
      </c>
      <c r="E2345">
        <f>Parameters!$B$25</f>
        <v/>
      </c>
    </row>
    <row r="2346">
      <c r="A2346" t="n">
        <v>234.4</v>
      </c>
      <c r="B2346">
        <f>IF(A2346&gt;162.1,Parameters!$B$5,Parameters!$B$4)</f>
        <v/>
      </c>
      <c r="C2346">
        <f>C2345-0.1*B2346+0</f>
        <v/>
      </c>
      <c r="D2346">
        <f>D2345-0.1*B2346+0</f>
        <v/>
      </c>
      <c r="E2346">
        <f>Parameters!$B$25</f>
        <v/>
      </c>
    </row>
    <row r="2347">
      <c r="A2347" t="n">
        <v>234.5</v>
      </c>
      <c r="B2347">
        <f>IF(A2347&gt;162.1,Parameters!$B$5,Parameters!$B$4)</f>
        <v/>
      </c>
      <c r="C2347">
        <f>C2346-0.1*B2347+0</f>
        <v/>
      </c>
      <c r="D2347">
        <f>D2346-0.1*B2347+0</f>
        <v/>
      </c>
      <c r="E2347">
        <f>Parameters!$B$25</f>
        <v/>
      </c>
    </row>
    <row r="2348">
      <c r="A2348" t="n">
        <v>234.6</v>
      </c>
      <c r="B2348">
        <f>IF(A2348&gt;162.1,Parameters!$B$5,Parameters!$B$4)</f>
        <v/>
      </c>
      <c r="C2348">
        <f>C2347-0.1*B2348+0</f>
        <v/>
      </c>
      <c r="D2348">
        <f>D2347-0.1*B2348+0</f>
        <v/>
      </c>
      <c r="E2348">
        <f>Parameters!$B$25</f>
        <v/>
      </c>
    </row>
    <row r="2349">
      <c r="A2349" t="n">
        <v>234.7</v>
      </c>
      <c r="B2349">
        <f>IF(A2349&gt;162.1,Parameters!$B$5,Parameters!$B$4)</f>
        <v/>
      </c>
      <c r="C2349">
        <f>C2348-0.1*B2349+0</f>
        <v/>
      </c>
      <c r="D2349">
        <f>D2348-0.1*B2349+0</f>
        <v/>
      </c>
      <c r="E2349">
        <f>Parameters!$B$25</f>
        <v/>
      </c>
    </row>
    <row r="2350">
      <c r="A2350" t="n">
        <v>234.8</v>
      </c>
      <c r="B2350">
        <f>IF(A2350&gt;162.1,Parameters!$B$5,Parameters!$B$4)</f>
        <v/>
      </c>
      <c r="C2350">
        <f>C2349-0.1*B2350+0</f>
        <v/>
      </c>
      <c r="D2350">
        <f>D2349-0.1*B2350+0</f>
        <v/>
      </c>
      <c r="E2350">
        <f>Parameters!$B$25</f>
        <v/>
      </c>
    </row>
    <row r="2351">
      <c r="A2351" t="n">
        <v>234.9</v>
      </c>
      <c r="B2351">
        <f>IF(A2351&gt;162.1,Parameters!$B$5,Parameters!$B$4)</f>
        <v/>
      </c>
      <c r="C2351">
        <f>C2350-0.1*B2351+0</f>
        <v/>
      </c>
      <c r="D2351">
        <f>D2350-0.1*B2351+0</f>
        <v/>
      </c>
      <c r="E2351">
        <f>Parameters!$B$25</f>
        <v/>
      </c>
    </row>
    <row r="2352">
      <c r="A2352" t="n">
        <v>235</v>
      </c>
      <c r="B2352">
        <f>IF(A2352&gt;162.1,Parameters!$B$5,Parameters!$B$4)</f>
        <v/>
      </c>
      <c r="C2352">
        <f>C2351-0.1*B2352+0</f>
        <v/>
      </c>
      <c r="D2352">
        <f>D2351-0.1*B2352+0</f>
        <v/>
      </c>
      <c r="E2352">
        <f>Parameters!$B$25</f>
        <v/>
      </c>
    </row>
    <row r="2353">
      <c r="A2353" t="n">
        <v>235.1</v>
      </c>
      <c r="B2353">
        <f>IF(A2353&gt;162.1,Parameters!$B$5,Parameters!$B$4)</f>
        <v/>
      </c>
      <c r="C2353">
        <f>C2352-0.1*B2353+0</f>
        <v/>
      </c>
      <c r="D2353">
        <f>D2352-0.1*B2353+0</f>
        <v/>
      </c>
      <c r="E2353">
        <f>Parameters!$B$25</f>
        <v/>
      </c>
    </row>
    <row r="2354">
      <c r="A2354" t="n">
        <v>235.2</v>
      </c>
      <c r="B2354">
        <f>IF(A2354&gt;162.1,Parameters!$B$5,Parameters!$B$4)</f>
        <v/>
      </c>
      <c r="C2354">
        <f>C2353-0.1*B2354+0</f>
        <v/>
      </c>
      <c r="D2354">
        <f>D2353-0.1*B2354+0</f>
        <v/>
      </c>
      <c r="E2354">
        <f>Parameters!$B$25</f>
        <v/>
      </c>
    </row>
    <row r="2355">
      <c r="A2355" t="n">
        <v>235.3</v>
      </c>
      <c r="B2355">
        <f>IF(A2355&gt;162.1,Parameters!$B$5,Parameters!$B$4)</f>
        <v/>
      </c>
      <c r="C2355">
        <f>C2354-0.1*B2355+0</f>
        <v/>
      </c>
      <c r="D2355">
        <f>D2354-0.1*B2355+0</f>
        <v/>
      </c>
      <c r="E2355">
        <f>Parameters!$B$25</f>
        <v/>
      </c>
    </row>
    <row r="2356">
      <c r="A2356" t="n">
        <v>235.4</v>
      </c>
      <c r="B2356">
        <f>IF(A2356&gt;162.1,Parameters!$B$5,Parameters!$B$4)</f>
        <v/>
      </c>
      <c r="C2356">
        <f>C2355-0.1*B2356+0</f>
        <v/>
      </c>
      <c r="D2356">
        <f>D2355-0.1*B2356+0</f>
        <v/>
      </c>
      <c r="E2356">
        <f>Parameters!$B$25</f>
        <v/>
      </c>
    </row>
    <row r="2357">
      <c r="A2357" t="n">
        <v>235.5</v>
      </c>
      <c r="B2357">
        <f>IF(A2357&gt;162.1,Parameters!$B$5,Parameters!$B$4)</f>
        <v/>
      </c>
      <c r="C2357">
        <f>C2356-0.1*B2357+0</f>
        <v/>
      </c>
      <c r="D2357">
        <f>D2356-0.1*B2357+0</f>
        <v/>
      </c>
      <c r="E2357">
        <f>Parameters!$B$25</f>
        <v/>
      </c>
    </row>
    <row r="2358">
      <c r="A2358" t="n">
        <v>235.6</v>
      </c>
      <c r="B2358">
        <f>IF(A2358&gt;162.1,Parameters!$B$5,Parameters!$B$4)</f>
        <v/>
      </c>
      <c r="C2358">
        <f>C2357-0.1*B2358+0</f>
        <v/>
      </c>
      <c r="D2358">
        <f>D2357-0.1*B2358+0</f>
        <v/>
      </c>
      <c r="E2358">
        <f>Parameters!$B$25</f>
        <v/>
      </c>
    </row>
    <row r="2359">
      <c r="A2359" t="n">
        <v>235.7</v>
      </c>
      <c r="B2359">
        <f>IF(A2359&gt;162.1,Parameters!$B$5,Parameters!$B$4)</f>
        <v/>
      </c>
      <c r="C2359">
        <f>C2358-0.1*B2359+0</f>
        <v/>
      </c>
      <c r="D2359">
        <f>D2358-0.1*B2359+0</f>
        <v/>
      </c>
      <c r="E2359">
        <f>Parameters!$B$25</f>
        <v/>
      </c>
    </row>
    <row r="2360">
      <c r="A2360" t="n">
        <v>235.8</v>
      </c>
      <c r="B2360">
        <f>IF(A2360&gt;162.1,Parameters!$B$5,Parameters!$B$4)</f>
        <v/>
      </c>
      <c r="C2360">
        <f>C2359-0.1*B2360+0</f>
        <v/>
      </c>
      <c r="D2360">
        <f>D2359-0.1*B2360+0</f>
        <v/>
      </c>
      <c r="E2360">
        <f>Parameters!$B$25</f>
        <v/>
      </c>
    </row>
    <row r="2361">
      <c r="A2361" t="n">
        <v>235.9</v>
      </c>
      <c r="B2361">
        <f>IF(A2361&gt;162.1,Parameters!$B$5,Parameters!$B$4)</f>
        <v/>
      </c>
      <c r="C2361">
        <f>C2360-0.1*B2361+0</f>
        <v/>
      </c>
      <c r="D2361">
        <f>D2360-0.1*B2361+0</f>
        <v/>
      </c>
      <c r="E2361">
        <f>Parameters!$B$25</f>
        <v/>
      </c>
    </row>
    <row r="2362">
      <c r="A2362" t="n">
        <v>236</v>
      </c>
      <c r="B2362">
        <f>IF(A2362&gt;162.1,Parameters!$B$5,Parameters!$B$4)</f>
        <v/>
      </c>
      <c r="C2362">
        <f>C2361-0.1*B2362+0</f>
        <v/>
      </c>
      <c r="D2362">
        <f>D2361-0.1*B2362+0</f>
        <v/>
      </c>
      <c r="E2362">
        <f>Parameters!$B$25</f>
        <v/>
      </c>
    </row>
    <row r="2363">
      <c r="A2363" t="n">
        <v>236.1</v>
      </c>
      <c r="B2363">
        <f>IF(A2363&gt;162.1,Parameters!$B$5,Parameters!$B$4)</f>
        <v/>
      </c>
      <c r="C2363">
        <f>C2362-0.1*B2363+0</f>
        <v/>
      </c>
      <c r="D2363">
        <f>D2362-0.1*B2363+0</f>
        <v/>
      </c>
      <c r="E2363">
        <f>Parameters!$B$25</f>
        <v/>
      </c>
    </row>
    <row r="2364">
      <c r="A2364" t="n">
        <v>236.2</v>
      </c>
      <c r="B2364">
        <f>IF(A2364&gt;162.1,Parameters!$B$5,Parameters!$B$4)</f>
        <v/>
      </c>
      <c r="C2364">
        <f>C2363-0.1*B2364+0</f>
        <v/>
      </c>
      <c r="D2364">
        <f>D2363-0.1*B2364+0</f>
        <v/>
      </c>
      <c r="E2364">
        <f>Parameters!$B$25</f>
        <v/>
      </c>
    </row>
    <row r="2365">
      <c r="A2365" t="n">
        <v>236.3</v>
      </c>
      <c r="B2365">
        <f>IF(A2365&gt;162.1,Parameters!$B$5,Parameters!$B$4)</f>
        <v/>
      </c>
      <c r="C2365">
        <f>C2364-0.1*B2365+0</f>
        <v/>
      </c>
      <c r="D2365">
        <f>D2364-0.1*B2365+0</f>
        <v/>
      </c>
      <c r="E2365">
        <f>Parameters!$B$25</f>
        <v/>
      </c>
    </row>
    <row r="2366">
      <c r="A2366" t="n">
        <v>236.4</v>
      </c>
      <c r="B2366">
        <f>IF(A2366&gt;162.1,Parameters!$B$5,Parameters!$B$4)</f>
        <v/>
      </c>
      <c r="C2366">
        <f>C2365-0.1*B2366+0</f>
        <v/>
      </c>
      <c r="D2366">
        <f>D2365-0.1*B2366+0</f>
        <v/>
      </c>
      <c r="E2366">
        <f>Parameters!$B$25</f>
        <v/>
      </c>
    </row>
    <row r="2367">
      <c r="A2367" t="n">
        <v>236.5</v>
      </c>
      <c r="B2367">
        <f>IF(A2367&gt;162.1,Parameters!$B$5,Parameters!$B$4)</f>
        <v/>
      </c>
      <c r="C2367">
        <f>C2366-0.1*B2367+0</f>
        <v/>
      </c>
      <c r="D2367">
        <f>D2366-0.1*B2367+0</f>
        <v/>
      </c>
      <c r="E2367">
        <f>Parameters!$B$25</f>
        <v/>
      </c>
    </row>
    <row r="2368">
      <c r="A2368" t="n">
        <v>236.6</v>
      </c>
      <c r="B2368">
        <f>IF(A2368&gt;162.1,Parameters!$B$5,Parameters!$B$4)</f>
        <v/>
      </c>
      <c r="C2368">
        <f>C2367-0.1*B2368+0</f>
        <v/>
      </c>
      <c r="D2368">
        <f>D2367-0.1*B2368+0</f>
        <v/>
      </c>
      <c r="E2368">
        <f>Parameters!$B$25</f>
        <v/>
      </c>
    </row>
    <row r="2369">
      <c r="A2369" t="n">
        <v>236.7</v>
      </c>
      <c r="B2369">
        <f>IF(A2369&gt;162.1,Parameters!$B$5,Parameters!$B$4)</f>
        <v/>
      </c>
      <c r="C2369">
        <f>C2368-0.1*B2369+0</f>
        <v/>
      </c>
      <c r="D2369">
        <f>D2368-0.1*B2369+0</f>
        <v/>
      </c>
      <c r="E2369">
        <f>Parameters!$B$25</f>
        <v/>
      </c>
    </row>
    <row r="2370">
      <c r="A2370" t="n">
        <v>236.8</v>
      </c>
      <c r="B2370">
        <f>IF(A2370&gt;162.1,Parameters!$B$5,Parameters!$B$4)</f>
        <v/>
      </c>
      <c r="C2370">
        <f>C2369-0.1*B2370+0</f>
        <v/>
      </c>
      <c r="D2370">
        <f>D2369-0.1*B2370+0</f>
        <v/>
      </c>
      <c r="E2370">
        <f>Parameters!$B$25</f>
        <v/>
      </c>
    </row>
    <row r="2371">
      <c r="A2371" t="n">
        <v>236.9</v>
      </c>
      <c r="B2371">
        <f>IF(A2371&gt;162.1,Parameters!$B$5,Parameters!$B$4)</f>
        <v/>
      </c>
      <c r="C2371">
        <f>C2370-0.1*B2371+0</f>
        <v/>
      </c>
      <c r="D2371">
        <f>D2370-0.1*B2371+0</f>
        <v/>
      </c>
      <c r="E2371">
        <f>Parameters!$B$25</f>
        <v/>
      </c>
    </row>
    <row r="2372">
      <c r="A2372" t="n">
        <v>237</v>
      </c>
      <c r="B2372">
        <f>IF(A2372&gt;162.1,Parameters!$B$5,Parameters!$B$4)</f>
        <v/>
      </c>
      <c r="C2372">
        <f>C2371-0.1*B2372+0</f>
        <v/>
      </c>
      <c r="D2372">
        <f>D2371-0.1*B2372+0</f>
        <v/>
      </c>
      <c r="E2372">
        <f>Parameters!$B$25</f>
        <v/>
      </c>
    </row>
    <row r="2373">
      <c r="A2373" t="n">
        <v>237.1</v>
      </c>
      <c r="B2373">
        <f>IF(A2373&gt;162.1,Parameters!$B$5,Parameters!$B$4)</f>
        <v/>
      </c>
      <c r="C2373">
        <f>C2372-0.1*B2373+0</f>
        <v/>
      </c>
      <c r="D2373">
        <f>D2372-0.1*B2373+0</f>
        <v/>
      </c>
      <c r="E2373">
        <f>Parameters!$B$25</f>
        <v/>
      </c>
    </row>
    <row r="2374">
      <c r="A2374" t="n">
        <v>237.2</v>
      </c>
      <c r="B2374">
        <f>IF(A2374&gt;162.1,Parameters!$B$5,Parameters!$B$4)</f>
        <v/>
      </c>
      <c r="C2374">
        <f>C2373-0.1*B2374+0</f>
        <v/>
      </c>
      <c r="D2374">
        <f>D2373-0.1*B2374+0</f>
        <v/>
      </c>
      <c r="E2374">
        <f>Parameters!$B$25</f>
        <v/>
      </c>
    </row>
    <row r="2375">
      <c r="A2375" t="n">
        <v>237.3</v>
      </c>
      <c r="B2375">
        <f>IF(A2375&gt;162.1,Parameters!$B$5,Parameters!$B$4)</f>
        <v/>
      </c>
      <c r="C2375">
        <f>C2374-0.1*B2375+0</f>
        <v/>
      </c>
      <c r="D2375">
        <f>D2374-0.1*B2375+0</f>
        <v/>
      </c>
      <c r="E2375">
        <f>Parameters!$B$25</f>
        <v/>
      </c>
    </row>
    <row r="2376">
      <c r="A2376" t="n">
        <v>237.4</v>
      </c>
      <c r="B2376">
        <f>IF(A2376&gt;162.1,Parameters!$B$5,Parameters!$B$4)</f>
        <v/>
      </c>
      <c r="C2376">
        <f>C2375-0.1*B2376+0</f>
        <v/>
      </c>
      <c r="D2376">
        <f>D2375-0.1*B2376+0</f>
        <v/>
      </c>
      <c r="E2376">
        <f>Parameters!$B$25</f>
        <v/>
      </c>
    </row>
    <row r="2377">
      <c r="A2377" t="n">
        <v>237.5</v>
      </c>
      <c r="B2377">
        <f>IF(A2377&gt;162.1,Parameters!$B$5,Parameters!$B$4)</f>
        <v/>
      </c>
      <c r="C2377">
        <f>C2376-0.1*B2377+0</f>
        <v/>
      </c>
      <c r="D2377">
        <f>D2376-0.1*B2377+0</f>
        <v/>
      </c>
      <c r="E2377">
        <f>Parameters!$B$25</f>
        <v/>
      </c>
    </row>
    <row r="2378">
      <c r="A2378" t="n">
        <v>237.6</v>
      </c>
      <c r="B2378">
        <f>IF(A2378&gt;162.1,Parameters!$B$5,Parameters!$B$4)</f>
        <v/>
      </c>
      <c r="C2378">
        <f>C2377-0.1*B2378+0</f>
        <v/>
      </c>
      <c r="D2378">
        <f>D2377-0.1*B2378+0</f>
        <v/>
      </c>
      <c r="E2378">
        <f>Parameters!$B$25</f>
        <v/>
      </c>
    </row>
    <row r="2379">
      <c r="A2379" t="n">
        <v>237.7</v>
      </c>
      <c r="B2379">
        <f>IF(A2379&gt;162.1,Parameters!$B$5,Parameters!$B$4)</f>
        <v/>
      </c>
      <c r="C2379">
        <f>C2378-0.1*B2379+0</f>
        <v/>
      </c>
      <c r="D2379">
        <f>D2378-0.1*B2379+0</f>
        <v/>
      </c>
      <c r="E2379">
        <f>Parameters!$B$25</f>
        <v/>
      </c>
    </row>
    <row r="2380">
      <c r="A2380" t="n">
        <v>237.8</v>
      </c>
      <c r="B2380">
        <f>IF(A2380&gt;162.1,Parameters!$B$5,Parameters!$B$4)</f>
        <v/>
      </c>
      <c r="C2380">
        <f>C2379-0.1*B2380+0</f>
        <v/>
      </c>
      <c r="D2380">
        <f>D2379-0.1*B2380+0</f>
        <v/>
      </c>
      <c r="E2380">
        <f>Parameters!$B$25</f>
        <v/>
      </c>
    </row>
    <row r="2381">
      <c r="A2381" t="n">
        <v>237.9</v>
      </c>
      <c r="B2381">
        <f>IF(A2381&gt;162.1,Parameters!$B$5,Parameters!$B$4)</f>
        <v/>
      </c>
      <c r="C2381">
        <f>C2380-0.1*B2381+0</f>
        <v/>
      </c>
      <c r="D2381">
        <f>D2380-0.1*B2381+0</f>
        <v/>
      </c>
      <c r="E2381">
        <f>Parameters!$B$25</f>
        <v/>
      </c>
    </row>
    <row r="2382">
      <c r="A2382" t="n">
        <v>238</v>
      </c>
      <c r="B2382">
        <f>IF(A2382&gt;162.1,Parameters!$B$5,Parameters!$B$4)</f>
        <v/>
      </c>
      <c r="C2382">
        <f>C2381-0.1*B2382+0</f>
        <v/>
      </c>
      <c r="D2382">
        <f>D2381-0.1*B2382+0</f>
        <v/>
      </c>
      <c r="E2382">
        <f>Parameters!$B$25</f>
        <v/>
      </c>
    </row>
    <row r="2383">
      <c r="A2383" t="n">
        <v>238.1</v>
      </c>
      <c r="B2383">
        <f>IF(A2383&gt;162.1,Parameters!$B$5,Parameters!$B$4)</f>
        <v/>
      </c>
      <c r="C2383">
        <f>C2382-0.1*B2383+0</f>
        <v/>
      </c>
      <c r="D2383">
        <f>D2382-0.1*B2383+0</f>
        <v/>
      </c>
      <c r="E2383">
        <f>Parameters!$B$25</f>
        <v/>
      </c>
    </row>
    <row r="2384">
      <c r="A2384" t="n">
        <v>238.2</v>
      </c>
      <c r="B2384">
        <f>IF(A2384&gt;162.1,Parameters!$B$5,Parameters!$B$4)</f>
        <v/>
      </c>
      <c r="C2384">
        <f>C2383-0.1*B2384+0</f>
        <v/>
      </c>
      <c r="D2384">
        <f>D2383-0.1*B2384+0</f>
        <v/>
      </c>
      <c r="E2384">
        <f>Parameters!$B$25</f>
        <v/>
      </c>
    </row>
    <row r="2385">
      <c r="A2385" t="n">
        <v>238.3</v>
      </c>
      <c r="B2385">
        <f>IF(A2385&gt;162.1,Parameters!$B$5,Parameters!$B$4)</f>
        <v/>
      </c>
      <c r="C2385">
        <f>C2384-0.1*B2385+0</f>
        <v/>
      </c>
      <c r="D2385">
        <f>D2384-0.1*B2385+0</f>
        <v/>
      </c>
      <c r="E2385">
        <f>Parameters!$B$25</f>
        <v/>
      </c>
    </row>
    <row r="2386">
      <c r="A2386" t="n">
        <v>238.4</v>
      </c>
      <c r="B2386">
        <f>IF(A2386&gt;162.1,Parameters!$B$5,Parameters!$B$4)</f>
        <v/>
      </c>
      <c r="C2386">
        <f>C2385-0.1*B2386+0</f>
        <v/>
      </c>
      <c r="D2386">
        <f>D2385-0.1*B2386+0</f>
        <v/>
      </c>
      <c r="E2386">
        <f>Parameters!$B$25</f>
        <v/>
      </c>
    </row>
    <row r="2387">
      <c r="A2387" t="n">
        <v>238.5</v>
      </c>
      <c r="B2387">
        <f>IF(A2387&gt;162.1,Parameters!$B$5,Parameters!$B$4)</f>
        <v/>
      </c>
      <c r="C2387">
        <f>C2386-0.1*B2387+0</f>
        <v/>
      </c>
      <c r="D2387">
        <f>D2386-0.1*B2387+0</f>
        <v/>
      </c>
      <c r="E2387">
        <f>Parameters!$B$25</f>
        <v/>
      </c>
    </row>
    <row r="2388">
      <c r="A2388" t="n">
        <v>238.6</v>
      </c>
      <c r="B2388">
        <f>IF(A2388&gt;162.1,Parameters!$B$5,Parameters!$B$4)</f>
        <v/>
      </c>
      <c r="C2388">
        <f>C2387-0.1*B2388+0</f>
        <v/>
      </c>
      <c r="D2388">
        <f>D2387-0.1*B2388+0</f>
        <v/>
      </c>
      <c r="E2388">
        <f>Parameters!$B$25</f>
        <v/>
      </c>
    </row>
    <row r="2389">
      <c r="A2389" t="n">
        <v>238.7</v>
      </c>
      <c r="B2389">
        <f>IF(A2389&gt;162.1,Parameters!$B$5,Parameters!$B$4)</f>
        <v/>
      </c>
      <c r="C2389">
        <f>C2388-0.1*B2389+0</f>
        <v/>
      </c>
      <c r="D2389">
        <f>D2388-0.1*B2389+0</f>
        <v/>
      </c>
      <c r="E2389">
        <f>Parameters!$B$25</f>
        <v/>
      </c>
    </row>
    <row r="2390">
      <c r="A2390" t="n">
        <v>238.8</v>
      </c>
      <c r="B2390">
        <f>IF(A2390&gt;162.1,Parameters!$B$5,Parameters!$B$4)</f>
        <v/>
      </c>
      <c r="C2390">
        <f>C2389-0.1*B2390+0</f>
        <v/>
      </c>
      <c r="D2390">
        <f>D2389-0.1*B2390+0</f>
        <v/>
      </c>
      <c r="E2390">
        <f>Parameters!$B$25</f>
        <v/>
      </c>
    </row>
    <row r="2391">
      <c r="A2391" t="n">
        <v>238.9</v>
      </c>
      <c r="B2391">
        <f>IF(A2391&gt;162.1,Parameters!$B$5,Parameters!$B$4)</f>
        <v/>
      </c>
      <c r="C2391">
        <f>C2390-0.1*B2391+0</f>
        <v/>
      </c>
      <c r="D2391">
        <f>D2390-0.1*B2391+0</f>
        <v/>
      </c>
      <c r="E2391">
        <f>Parameters!$B$25</f>
        <v/>
      </c>
    </row>
    <row r="2392">
      <c r="A2392" t="n">
        <v>239</v>
      </c>
      <c r="B2392">
        <f>IF(A2392&gt;162.1,Parameters!$B$5,Parameters!$B$4)</f>
        <v/>
      </c>
      <c r="C2392">
        <f>C2391-0.1*B2392+0</f>
        <v/>
      </c>
      <c r="D2392">
        <f>D2391-0.1*B2392+0</f>
        <v/>
      </c>
      <c r="E2392">
        <f>Parameters!$B$25</f>
        <v/>
      </c>
    </row>
    <row r="2393">
      <c r="A2393" t="n">
        <v>239.1</v>
      </c>
      <c r="B2393">
        <f>IF(A2393&gt;162.1,Parameters!$B$5,Parameters!$B$4)</f>
        <v/>
      </c>
      <c r="C2393">
        <f>C2392-0.1*B2393+0</f>
        <v/>
      </c>
      <c r="D2393">
        <f>D2392-0.1*B2393+0</f>
        <v/>
      </c>
      <c r="E2393">
        <f>Parameters!$B$25</f>
        <v/>
      </c>
    </row>
    <row r="2394">
      <c r="A2394" t="n">
        <v>239.2</v>
      </c>
      <c r="B2394">
        <f>IF(A2394&gt;162.1,Parameters!$B$5,Parameters!$B$4)</f>
        <v/>
      </c>
      <c r="C2394">
        <f>C2393-0.1*B2394+0</f>
        <v/>
      </c>
      <c r="D2394">
        <f>D2393-0.1*B2394+0</f>
        <v/>
      </c>
      <c r="E2394">
        <f>Parameters!$B$25</f>
        <v/>
      </c>
    </row>
    <row r="2395">
      <c r="A2395" t="n">
        <v>239.3</v>
      </c>
      <c r="B2395">
        <f>IF(A2395&gt;162.1,Parameters!$B$5,Parameters!$B$4)</f>
        <v/>
      </c>
      <c r="C2395">
        <f>C2394-0.1*B2395+0</f>
        <v/>
      </c>
      <c r="D2395">
        <f>D2394-0.1*B2395+0</f>
        <v/>
      </c>
      <c r="E2395">
        <f>Parameters!$B$25</f>
        <v/>
      </c>
    </row>
    <row r="2396">
      <c r="A2396" t="n">
        <v>239.4</v>
      </c>
      <c r="B2396">
        <f>IF(A2396&gt;162.1,Parameters!$B$5,Parameters!$B$4)</f>
        <v/>
      </c>
      <c r="C2396">
        <f>C2395-0.1*B2396+0</f>
        <v/>
      </c>
      <c r="D2396">
        <f>D2395-0.1*B2396+0</f>
        <v/>
      </c>
      <c r="E2396">
        <f>Parameters!$B$25</f>
        <v/>
      </c>
    </row>
    <row r="2397">
      <c r="A2397" t="n">
        <v>239.5</v>
      </c>
      <c r="B2397">
        <f>IF(A2397&gt;162.1,Parameters!$B$5,Parameters!$B$4)</f>
        <v/>
      </c>
      <c r="C2397">
        <f>C2396-0.1*B2397+0</f>
        <v/>
      </c>
      <c r="D2397">
        <f>D2396-0.1*B2397+0</f>
        <v/>
      </c>
      <c r="E2397">
        <f>Parameters!$B$25</f>
        <v/>
      </c>
    </row>
    <row r="2398">
      <c r="A2398" t="n">
        <v>239.6</v>
      </c>
      <c r="B2398">
        <f>IF(A2398&gt;162.1,Parameters!$B$5,Parameters!$B$4)</f>
        <v/>
      </c>
      <c r="C2398">
        <f>C2397-0.1*B2398+0</f>
        <v/>
      </c>
      <c r="D2398">
        <f>D2397-0.1*B2398+0</f>
        <v/>
      </c>
      <c r="E2398">
        <f>Parameters!$B$25</f>
        <v/>
      </c>
    </row>
    <row r="2399">
      <c r="A2399" t="n">
        <v>239.7</v>
      </c>
      <c r="B2399">
        <f>IF(A2399&gt;162.1,Parameters!$B$5,Parameters!$B$4)</f>
        <v/>
      </c>
      <c r="C2399">
        <f>C2398-0.1*B2399+0</f>
        <v/>
      </c>
      <c r="D2399">
        <f>D2398-0.1*B2399+0</f>
        <v/>
      </c>
      <c r="E2399">
        <f>Parameters!$B$25</f>
        <v/>
      </c>
    </row>
    <row r="2400">
      <c r="A2400" t="n">
        <v>239.8</v>
      </c>
      <c r="B2400">
        <f>IF(A2400&gt;162.1,Parameters!$B$5,Parameters!$B$4)</f>
        <v/>
      </c>
      <c r="C2400">
        <f>C2399-0.1*B2400+0</f>
        <v/>
      </c>
      <c r="D2400">
        <f>D2399-0.1*B2400+0</f>
        <v/>
      </c>
      <c r="E2400">
        <f>Parameters!$B$25</f>
        <v/>
      </c>
    </row>
    <row r="2401">
      <c r="A2401" t="n">
        <v>239.9</v>
      </c>
      <c r="B2401">
        <f>IF(A2401&gt;162.1,Parameters!$B$5,Parameters!$B$4)</f>
        <v/>
      </c>
      <c r="C2401">
        <f>C2400-0.1*B2401+0</f>
        <v/>
      </c>
      <c r="D2401">
        <f>D2400-0.1*B2401+0</f>
        <v/>
      </c>
      <c r="E2401">
        <f>Parameters!$B$25</f>
        <v/>
      </c>
    </row>
    <row r="2402">
      <c r="A2402" t="n">
        <v>240</v>
      </c>
      <c r="B2402">
        <f>IF(A2402&gt;162.1,Parameters!$B$5,Parameters!$B$4)</f>
        <v/>
      </c>
      <c r="C2402">
        <f>C2401-0.1*B2402+0</f>
        <v/>
      </c>
      <c r="D2402">
        <f>D2401-0.1*B2402+0</f>
        <v/>
      </c>
      <c r="E2402">
        <f>Parameters!$B$25</f>
        <v/>
      </c>
    </row>
    <row r="2403">
      <c r="A2403" t="n">
        <v>240.1</v>
      </c>
      <c r="B2403">
        <f>IF(A2403&gt;162.1,Parameters!$B$5,Parameters!$B$4)</f>
        <v/>
      </c>
      <c r="C2403">
        <f>C2402-0.1*B2403+0</f>
        <v/>
      </c>
      <c r="D2403">
        <f>D2402-0.1*B2403+0</f>
        <v/>
      </c>
      <c r="E2403">
        <f>Parameters!$B$25</f>
        <v/>
      </c>
    </row>
    <row r="2404">
      <c r="A2404" t="n">
        <v>240.2</v>
      </c>
      <c r="B2404">
        <f>IF(A2404&gt;162.1,Parameters!$B$5,Parameters!$B$4)</f>
        <v/>
      </c>
      <c r="C2404">
        <f>C2403-0.1*B2404+0</f>
        <v/>
      </c>
      <c r="D2404">
        <f>D2403-0.1*B2404+0</f>
        <v/>
      </c>
      <c r="E2404">
        <f>Parameters!$B$25</f>
        <v/>
      </c>
    </row>
    <row r="2405">
      <c r="A2405" t="n">
        <v>240.3</v>
      </c>
      <c r="B2405">
        <f>IF(A2405&gt;162.1,Parameters!$B$5,Parameters!$B$4)</f>
        <v/>
      </c>
      <c r="C2405">
        <f>C2404-0.1*B2405+0</f>
        <v/>
      </c>
      <c r="D2405">
        <f>D2404-0.1*B2405+0</f>
        <v/>
      </c>
      <c r="E2405">
        <f>Parameters!$B$25</f>
        <v/>
      </c>
    </row>
    <row r="2406">
      <c r="A2406" t="n">
        <v>240.4</v>
      </c>
      <c r="B2406">
        <f>IF(A2406&gt;162.1,Parameters!$B$5,Parameters!$B$4)</f>
        <v/>
      </c>
      <c r="C2406">
        <f>C2405-0.1*B2406+0</f>
        <v/>
      </c>
      <c r="D2406">
        <f>D2405-0.1*B2406+0</f>
        <v/>
      </c>
      <c r="E2406">
        <f>Parameters!$B$25</f>
        <v/>
      </c>
    </row>
    <row r="2407">
      <c r="A2407" t="n">
        <v>240.5</v>
      </c>
      <c r="B2407">
        <f>IF(A2407&gt;162.1,Parameters!$B$5,Parameters!$B$4)</f>
        <v/>
      </c>
      <c r="C2407">
        <f>C2406-0.1*B2407+0</f>
        <v/>
      </c>
      <c r="D2407">
        <f>D2406-0.1*B2407+0</f>
        <v/>
      </c>
      <c r="E2407">
        <f>Parameters!$B$25</f>
        <v/>
      </c>
    </row>
    <row r="2408">
      <c r="A2408" t="n">
        <v>240.6</v>
      </c>
      <c r="B2408">
        <f>IF(A2408&gt;162.1,Parameters!$B$5,Parameters!$B$4)</f>
        <v/>
      </c>
      <c r="C2408">
        <f>C2407-0.1*B2408+0</f>
        <v/>
      </c>
      <c r="D2408">
        <f>D2407-0.1*B2408+0</f>
        <v/>
      </c>
      <c r="E2408">
        <f>Parameters!$B$25</f>
        <v/>
      </c>
    </row>
    <row r="2409">
      <c r="A2409" t="n">
        <v>240.7</v>
      </c>
      <c r="B2409">
        <f>IF(A2409&gt;162.1,Parameters!$B$5,Parameters!$B$4)</f>
        <v/>
      </c>
      <c r="C2409">
        <f>C2408-0.1*B2409+0</f>
        <v/>
      </c>
      <c r="D2409">
        <f>D2408-0.1*B2409+0</f>
        <v/>
      </c>
      <c r="E2409">
        <f>Parameters!$B$25</f>
        <v/>
      </c>
    </row>
    <row r="2410">
      <c r="A2410" t="n">
        <v>240.8</v>
      </c>
      <c r="B2410">
        <f>IF(A2410&gt;162.1,Parameters!$B$5,Parameters!$B$4)</f>
        <v/>
      </c>
      <c r="C2410">
        <f>C2409-0.1*B2410+0</f>
        <v/>
      </c>
      <c r="D2410">
        <f>D2409-0.1*B2410+0</f>
        <v/>
      </c>
      <c r="E2410">
        <f>Parameters!$B$25</f>
        <v/>
      </c>
    </row>
    <row r="2411">
      <c r="A2411" t="n">
        <v>240.9</v>
      </c>
      <c r="B2411">
        <f>IF(A2411&gt;162.1,Parameters!$B$5,Parameters!$B$4)</f>
        <v/>
      </c>
      <c r="C2411">
        <f>C2410-0.1*B2411+0</f>
        <v/>
      </c>
      <c r="D2411">
        <f>D2410-0.1*B2411+0</f>
        <v/>
      </c>
      <c r="E2411">
        <f>Parameters!$B$25</f>
        <v/>
      </c>
    </row>
    <row r="2412">
      <c r="A2412" t="n">
        <v>241</v>
      </c>
      <c r="B2412">
        <f>IF(A2412&gt;162.1,Parameters!$B$5,Parameters!$B$4)</f>
        <v/>
      </c>
      <c r="C2412">
        <f>C2411-0.1*B2412+0</f>
        <v/>
      </c>
      <c r="D2412">
        <f>D2411-0.1*B2412+0</f>
        <v/>
      </c>
      <c r="E2412">
        <f>Parameters!$B$25</f>
        <v/>
      </c>
    </row>
    <row r="2413">
      <c r="A2413" t="n">
        <v>241.1</v>
      </c>
      <c r="B2413">
        <f>IF(A2413&gt;162.1,Parameters!$B$5,Parameters!$B$4)</f>
        <v/>
      </c>
      <c r="C2413">
        <f>C2412-0.1*B2413+0</f>
        <v/>
      </c>
      <c r="D2413">
        <f>D2412-0.1*B2413+0</f>
        <v/>
      </c>
      <c r="E2413">
        <f>Parameters!$B$25</f>
        <v/>
      </c>
    </row>
    <row r="2414">
      <c r="A2414" t="n">
        <v>241.2</v>
      </c>
      <c r="B2414">
        <f>IF(A2414&gt;162.1,Parameters!$B$5,Parameters!$B$4)</f>
        <v/>
      </c>
      <c r="C2414">
        <f>C2413-0.1*B2414+0</f>
        <v/>
      </c>
      <c r="D2414">
        <f>D2413-0.1*B2414+0</f>
        <v/>
      </c>
      <c r="E2414">
        <f>Parameters!$B$25</f>
        <v/>
      </c>
    </row>
    <row r="2415">
      <c r="A2415" t="n">
        <v>241.3</v>
      </c>
      <c r="B2415">
        <f>IF(A2415&gt;162.1,Parameters!$B$5,Parameters!$B$4)</f>
        <v/>
      </c>
      <c r="C2415">
        <f>C2414-0.1*B2415+0</f>
        <v/>
      </c>
      <c r="D2415">
        <f>D2414-0.1*B2415+0</f>
        <v/>
      </c>
      <c r="E2415">
        <f>Parameters!$B$25</f>
        <v/>
      </c>
    </row>
    <row r="2416">
      <c r="A2416" t="n">
        <v>241.4</v>
      </c>
      <c r="B2416">
        <f>IF(A2416&gt;162.1,Parameters!$B$5,Parameters!$B$4)</f>
        <v/>
      </c>
      <c r="C2416">
        <f>C2415-0.1*B2416+0</f>
        <v/>
      </c>
      <c r="D2416">
        <f>D2415-0.1*B2416+0</f>
        <v/>
      </c>
      <c r="E2416">
        <f>Parameters!$B$25</f>
        <v/>
      </c>
    </row>
    <row r="2417">
      <c r="A2417" t="n">
        <v>241.5</v>
      </c>
      <c r="B2417">
        <f>IF(A2417&gt;162.1,Parameters!$B$5,Parameters!$B$4)</f>
        <v/>
      </c>
      <c r="C2417">
        <f>C2416-0.1*B2417+0</f>
        <v/>
      </c>
      <c r="D2417">
        <f>D2416-0.1*B2417+0</f>
        <v/>
      </c>
      <c r="E2417">
        <f>Parameters!$B$25</f>
        <v/>
      </c>
    </row>
    <row r="2418">
      <c r="A2418" t="n">
        <v>241.6</v>
      </c>
      <c r="B2418">
        <f>IF(A2418&gt;162.1,Parameters!$B$5,Parameters!$B$4)</f>
        <v/>
      </c>
      <c r="C2418">
        <f>C2417-0.1*B2418+0</f>
        <v/>
      </c>
      <c r="D2418">
        <f>D2417-0.1*B2418+0</f>
        <v/>
      </c>
      <c r="E2418">
        <f>Parameters!$B$25</f>
        <v/>
      </c>
    </row>
    <row r="2419">
      <c r="A2419" t="n">
        <v>241.7</v>
      </c>
      <c r="B2419">
        <f>IF(A2419&gt;162.1,Parameters!$B$5,Parameters!$B$4)</f>
        <v/>
      </c>
      <c r="C2419">
        <f>C2418-0.1*B2419+0</f>
        <v/>
      </c>
      <c r="D2419">
        <f>D2418-0.1*B2419+0</f>
        <v/>
      </c>
      <c r="E2419">
        <f>Parameters!$B$25</f>
        <v/>
      </c>
    </row>
    <row r="2420">
      <c r="A2420" t="n">
        <v>241.8</v>
      </c>
      <c r="B2420">
        <f>IF(A2420&gt;162.1,Parameters!$B$5,Parameters!$B$4)</f>
        <v/>
      </c>
      <c r="C2420">
        <f>C2419-0.1*B2420+0</f>
        <v/>
      </c>
      <c r="D2420">
        <f>D2419-0.1*B2420+0</f>
        <v/>
      </c>
      <c r="E2420">
        <f>Parameters!$B$25</f>
        <v/>
      </c>
    </row>
    <row r="2421">
      <c r="A2421" t="n">
        <v>241.9</v>
      </c>
      <c r="B2421">
        <f>IF(A2421&gt;162.1,Parameters!$B$5,Parameters!$B$4)</f>
        <v/>
      </c>
      <c r="C2421">
        <f>C2420-0.1*B2421+0</f>
        <v/>
      </c>
      <c r="D2421">
        <f>D2420-0.1*B2421+0</f>
        <v/>
      </c>
      <c r="E2421">
        <f>Parameters!$B$25</f>
        <v/>
      </c>
    </row>
    <row r="2422">
      <c r="A2422" t="n">
        <v>242</v>
      </c>
      <c r="B2422">
        <f>IF(A2422&gt;162.1,Parameters!$B$5,Parameters!$B$4)</f>
        <v/>
      </c>
      <c r="C2422">
        <f>C2421-0.1*B2422+0</f>
        <v/>
      </c>
      <c r="D2422">
        <f>D2421-0.1*B2422+0</f>
        <v/>
      </c>
      <c r="E2422">
        <f>Parameters!$B$25</f>
        <v/>
      </c>
    </row>
    <row r="2423">
      <c r="A2423" t="n">
        <v>242.1</v>
      </c>
      <c r="B2423">
        <f>IF(A2423&gt;162.1,Parameters!$B$5,Parameters!$B$4)</f>
        <v/>
      </c>
      <c r="C2423">
        <f>C2422-0.1*B2423+0</f>
        <v/>
      </c>
      <c r="D2423">
        <f>D2422-0.1*B2423+0</f>
        <v/>
      </c>
      <c r="E2423">
        <f>Parameters!$B$25</f>
        <v/>
      </c>
    </row>
    <row r="2424">
      <c r="A2424" t="n">
        <v>242.2</v>
      </c>
      <c r="B2424">
        <f>IF(A2424&gt;162.1,Parameters!$B$5,Parameters!$B$4)</f>
        <v/>
      </c>
      <c r="C2424">
        <f>C2423-0.1*B2424+0</f>
        <v/>
      </c>
      <c r="D2424">
        <f>D2423-0.1*B2424+0</f>
        <v/>
      </c>
      <c r="E2424">
        <f>Parameters!$B$25</f>
        <v/>
      </c>
    </row>
    <row r="2425">
      <c r="A2425" t="n">
        <v>242.3</v>
      </c>
      <c r="B2425">
        <f>IF(A2425&gt;162.1,Parameters!$B$5,Parameters!$B$4)</f>
        <v/>
      </c>
      <c r="C2425">
        <f>C2424-0.1*B2425+0</f>
        <v/>
      </c>
      <c r="D2425">
        <f>D2424-0.1*B2425+0</f>
        <v/>
      </c>
      <c r="E2425">
        <f>Parameters!$B$25</f>
        <v/>
      </c>
    </row>
    <row r="2426">
      <c r="A2426" t="n">
        <v>242.4</v>
      </c>
      <c r="B2426">
        <f>IF(A2426&gt;162.1,Parameters!$B$5,Parameters!$B$4)</f>
        <v/>
      </c>
      <c r="C2426">
        <f>C2425-0.1*B2426+0</f>
        <v/>
      </c>
      <c r="D2426">
        <f>D2425-0.1*B2426+0</f>
        <v/>
      </c>
      <c r="E2426">
        <f>Parameters!$B$25</f>
        <v/>
      </c>
    </row>
    <row r="2427">
      <c r="A2427" t="n">
        <v>242.5</v>
      </c>
      <c r="B2427">
        <f>IF(A2427&gt;162.1,Parameters!$B$5,Parameters!$B$4)</f>
        <v/>
      </c>
      <c r="C2427">
        <f>C2426-0.1*B2427+0</f>
        <v/>
      </c>
      <c r="D2427">
        <f>D2426-0.1*B2427+0</f>
        <v/>
      </c>
      <c r="E2427">
        <f>Parameters!$B$25</f>
        <v/>
      </c>
    </row>
    <row r="2428">
      <c r="A2428" t="n">
        <v>242.6</v>
      </c>
      <c r="B2428">
        <f>IF(A2428&gt;162.1,Parameters!$B$5,Parameters!$B$4)</f>
        <v/>
      </c>
      <c r="C2428">
        <f>C2427-0.1*B2428+0</f>
        <v/>
      </c>
      <c r="D2428">
        <f>D2427-0.1*B2428+0</f>
        <v/>
      </c>
      <c r="E2428">
        <f>Parameters!$B$25</f>
        <v/>
      </c>
    </row>
    <row r="2429">
      <c r="A2429" t="n">
        <v>242.7</v>
      </c>
      <c r="B2429">
        <f>IF(A2429&gt;162.1,Parameters!$B$5,Parameters!$B$4)</f>
        <v/>
      </c>
      <c r="C2429">
        <f>C2428-0.1*B2429+0</f>
        <v/>
      </c>
      <c r="D2429">
        <f>D2428-0.1*B2429+0</f>
        <v/>
      </c>
      <c r="E2429">
        <f>Parameters!$B$25</f>
        <v/>
      </c>
    </row>
    <row r="2430">
      <c r="A2430" t="n">
        <v>242.8</v>
      </c>
      <c r="B2430">
        <f>IF(A2430&gt;162.1,Parameters!$B$5,Parameters!$B$4)</f>
        <v/>
      </c>
      <c r="C2430">
        <f>C2429-0.1*B2430+0</f>
        <v/>
      </c>
      <c r="D2430">
        <f>D2429-0.1*B2430+0</f>
        <v/>
      </c>
      <c r="E2430">
        <f>Parameters!$B$25</f>
        <v/>
      </c>
    </row>
    <row r="2431">
      <c r="A2431" t="n">
        <v>242.9</v>
      </c>
      <c r="B2431">
        <f>IF(A2431&gt;162.1,Parameters!$B$5,Parameters!$B$4)</f>
        <v/>
      </c>
      <c r="C2431">
        <f>C2430-0.1*B2431+0</f>
        <v/>
      </c>
      <c r="D2431">
        <f>D2430-0.1*B2431+0</f>
        <v/>
      </c>
      <c r="E2431">
        <f>Parameters!$B$25</f>
        <v/>
      </c>
    </row>
    <row r="2432">
      <c r="A2432" t="n">
        <v>243</v>
      </c>
      <c r="B2432">
        <f>IF(A2432&gt;162.1,Parameters!$B$5,Parameters!$B$4)</f>
        <v/>
      </c>
      <c r="C2432">
        <f>C2431-0.1*B2432+0</f>
        <v/>
      </c>
      <c r="D2432">
        <f>D2431-0.1*B2432+0</f>
        <v/>
      </c>
      <c r="E2432">
        <f>Parameters!$B$25</f>
        <v/>
      </c>
    </row>
    <row r="2433">
      <c r="A2433" t="n">
        <v>243.1</v>
      </c>
      <c r="B2433">
        <f>IF(A2433&gt;162.1,Parameters!$B$5,Parameters!$B$4)</f>
        <v/>
      </c>
      <c r="C2433">
        <f>C2432-0.1*B2433+0</f>
        <v/>
      </c>
      <c r="D2433">
        <f>D2432-0.1*B2433+0</f>
        <v/>
      </c>
      <c r="E2433">
        <f>Parameters!$B$25</f>
        <v/>
      </c>
    </row>
    <row r="2434">
      <c r="A2434" t="n">
        <v>243.2</v>
      </c>
      <c r="B2434">
        <f>IF(A2434&gt;162.1,Parameters!$B$5,Parameters!$B$4)</f>
        <v/>
      </c>
      <c r="C2434">
        <f>C2433-0.1*B2434+0</f>
        <v/>
      </c>
      <c r="D2434">
        <f>D2433-0.1*B2434+0</f>
        <v/>
      </c>
      <c r="E2434">
        <f>Parameters!$B$25</f>
        <v/>
      </c>
    </row>
    <row r="2435">
      <c r="A2435" t="n">
        <v>243.3</v>
      </c>
      <c r="B2435">
        <f>IF(A2435&gt;162.1,Parameters!$B$5,Parameters!$B$4)</f>
        <v/>
      </c>
      <c r="C2435">
        <f>C2434-0.1*B2435+0</f>
        <v/>
      </c>
      <c r="D2435">
        <f>D2434-0.1*B2435+0</f>
        <v/>
      </c>
      <c r="E2435">
        <f>Parameters!$B$25</f>
        <v/>
      </c>
    </row>
    <row r="2436">
      <c r="A2436" t="n">
        <v>243.4</v>
      </c>
      <c r="B2436">
        <f>IF(A2436&gt;162.1,Parameters!$B$5,Parameters!$B$4)</f>
        <v/>
      </c>
      <c r="C2436">
        <f>C2435-0.1*B2436+0</f>
        <v/>
      </c>
      <c r="D2436">
        <f>D2435-0.1*B2436+0</f>
        <v/>
      </c>
      <c r="E2436">
        <f>Parameters!$B$25</f>
        <v/>
      </c>
    </row>
    <row r="2437">
      <c r="A2437" t="n">
        <v>243.5</v>
      </c>
      <c r="B2437">
        <f>IF(A2437&gt;162.1,Parameters!$B$5,Parameters!$B$4)</f>
        <v/>
      </c>
      <c r="C2437">
        <f>C2436-0.1*B2437+0</f>
        <v/>
      </c>
      <c r="D2437">
        <f>D2436-0.1*B2437+0</f>
        <v/>
      </c>
      <c r="E2437">
        <f>Parameters!$B$25</f>
        <v/>
      </c>
    </row>
    <row r="2438">
      <c r="A2438" t="n">
        <v>243.6</v>
      </c>
      <c r="B2438">
        <f>IF(A2438&gt;162.1,Parameters!$B$5,Parameters!$B$4)</f>
        <v/>
      </c>
      <c r="C2438">
        <f>C2437-0.1*B2438+0</f>
        <v/>
      </c>
      <c r="D2438">
        <f>D2437-0.1*B2438+0</f>
        <v/>
      </c>
      <c r="E2438">
        <f>Parameters!$B$25</f>
        <v/>
      </c>
    </row>
    <row r="2439">
      <c r="A2439" t="n">
        <v>243.7</v>
      </c>
      <c r="B2439">
        <f>IF(A2439&gt;162.1,Parameters!$B$5,Parameters!$B$4)</f>
        <v/>
      </c>
      <c r="C2439">
        <f>C2438-0.1*B2439+0</f>
        <v/>
      </c>
      <c r="D2439">
        <f>D2438-0.1*B2439+0</f>
        <v/>
      </c>
      <c r="E2439">
        <f>Parameters!$B$25</f>
        <v/>
      </c>
    </row>
    <row r="2440">
      <c r="A2440" t="n">
        <v>243.8</v>
      </c>
      <c r="B2440">
        <f>IF(A2440&gt;162.1,Parameters!$B$5,Parameters!$B$4)</f>
        <v/>
      </c>
      <c r="C2440">
        <f>C2439-0.1*B2440+0</f>
        <v/>
      </c>
      <c r="D2440">
        <f>D2439-0.1*B2440+0</f>
        <v/>
      </c>
      <c r="E2440">
        <f>Parameters!$B$25</f>
        <v/>
      </c>
    </row>
    <row r="2441">
      <c r="A2441" t="n">
        <v>243.9</v>
      </c>
      <c r="B2441">
        <f>IF(A2441&gt;162.1,Parameters!$B$5,Parameters!$B$4)</f>
        <v/>
      </c>
      <c r="C2441">
        <f>C2440-0.1*B2441+0</f>
        <v/>
      </c>
      <c r="D2441">
        <f>D2440-0.1*B2441+0</f>
        <v/>
      </c>
      <c r="E2441">
        <f>Parameters!$B$25</f>
        <v/>
      </c>
    </row>
    <row r="2442">
      <c r="A2442" t="n">
        <v>244</v>
      </c>
      <c r="B2442">
        <f>IF(A2442&gt;162.1,Parameters!$B$5,Parameters!$B$4)</f>
        <v/>
      </c>
      <c r="C2442">
        <f>C2441-0.1*B2442+0</f>
        <v/>
      </c>
      <c r="D2442">
        <f>D2441-0.1*B2442+0</f>
        <v/>
      </c>
      <c r="E2442">
        <f>Parameters!$B$25</f>
        <v/>
      </c>
    </row>
    <row r="2443">
      <c r="A2443" t="n">
        <v>244.1</v>
      </c>
      <c r="B2443">
        <f>IF(A2443&gt;162.1,Parameters!$B$5,Parameters!$B$4)</f>
        <v/>
      </c>
      <c r="C2443">
        <f>C2442-0.1*B2443+0</f>
        <v/>
      </c>
      <c r="D2443">
        <f>D2442-0.1*B2443+0</f>
        <v/>
      </c>
      <c r="E2443">
        <f>Parameters!$B$25</f>
        <v/>
      </c>
    </row>
    <row r="2444">
      <c r="A2444" t="n">
        <v>244.2</v>
      </c>
      <c r="B2444">
        <f>IF(A2444&gt;162.1,Parameters!$B$5,Parameters!$B$4)</f>
        <v/>
      </c>
      <c r="C2444">
        <f>C2443-0.1*B2444+0</f>
        <v/>
      </c>
      <c r="D2444">
        <f>D2443-0.1*B2444+0</f>
        <v/>
      </c>
      <c r="E2444">
        <f>Parameters!$B$25</f>
        <v/>
      </c>
    </row>
    <row r="2445">
      <c r="A2445" t="n">
        <v>244.3</v>
      </c>
      <c r="B2445">
        <f>IF(A2445&gt;162.1,Parameters!$B$5,Parameters!$B$4)</f>
        <v/>
      </c>
      <c r="C2445">
        <f>C2444-0.1*B2445+0</f>
        <v/>
      </c>
      <c r="D2445">
        <f>D2444-0.1*B2445+0</f>
        <v/>
      </c>
      <c r="E2445">
        <f>Parameters!$B$25</f>
        <v/>
      </c>
    </row>
    <row r="2446">
      <c r="A2446" t="n">
        <v>244.4</v>
      </c>
      <c r="B2446">
        <f>IF(A2446&gt;162.1,Parameters!$B$5,Parameters!$B$4)</f>
        <v/>
      </c>
      <c r="C2446">
        <f>C2445-0.1*B2446+0</f>
        <v/>
      </c>
      <c r="D2446">
        <f>D2445-0.1*B2446+0</f>
        <v/>
      </c>
      <c r="E2446">
        <f>Parameters!$B$25</f>
        <v/>
      </c>
    </row>
    <row r="2447">
      <c r="A2447" t="n">
        <v>244.5</v>
      </c>
      <c r="B2447">
        <f>IF(A2447&gt;162.1,Parameters!$B$5,Parameters!$B$4)</f>
        <v/>
      </c>
      <c r="C2447">
        <f>C2446-0.1*B2447+0</f>
        <v/>
      </c>
      <c r="D2447">
        <f>D2446-0.1*B2447+0</f>
        <v/>
      </c>
      <c r="E2447">
        <f>Parameters!$B$25</f>
        <v/>
      </c>
    </row>
    <row r="2448">
      <c r="A2448" t="n">
        <v>244.6</v>
      </c>
      <c r="B2448">
        <f>IF(A2448&gt;162.1,Parameters!$B$5,Parameters!$B$4)</f>
        <v/>
      </c>
      <c r="C2448">
        <f>C2447-0.1*B2448+0</f>
        <v/>
      </c>
      <c r="D2448">
        <f>D2447-0.1*B2448+0</f>
        <v/>
      </c>
      <c r="E2448">
        <f>Parameters!$B$25</f>
        <v/>
      </c>
    </row>
    <row r="2449">
      <c r="A2449" t="n">
        <v>244.7</v>
      </c>
      <c r="B2449">
        <f>IF(A2449&gt;162.1,Parameters!$B$5,Parameters!$B$4)</f>
        <v/>
      </c>
      <c r="C2449">
        <f>C2448-0.1*B2449+0</f>
        <v/>
      </c>
      <c r="D2449">
        <f>D2448-0.1*B2449+0</f>
        <v/>
      </c>
      <c r="E2449">
        <f>Parameters!$B$25</f>
        <v/>
      </c>
    </row>
    <row r="2450">
      <c r="A2450" t="n">
        <v>244.8</v>
      </c>
      <c r="B2450">
        <f>IF(A2450&gt;162.1,Parameters!$B$5,Parameters!$B$4)</f>
        <v/>
      </c>
      <c r="C2450">
        <f>C2449-0.1*B2450+0</f>
        <v/>
      </c>
      <c r="D2450">
        <f>D2449-0.1*B2450+0</f>
        <v/>
      </c>
      <c r="E2450">
        <f>Parameters!$B$25</f>
        <v/>
      </c>
    </row>
    <row r="2451">
      <c r="A2451" t="n">
        <v>244.9</v>
      </c>
      <c r="B2451">
        <f>IF(A2451&gt;162.1,Parameters!$B$5,Parameters!$B$4)</f>
        <v/>
      </c>
      <c r="C2451">
        <f>C2450-0.1*B2451+0</f>
        <v/>
      </c>
      <c r="D2451">
        <f>D2450-0.1*B2451+0</f>
        <v/>
      </c>
      <c r="E2451">
        <f>Parameters!$B$25</f>
        <v/>
      </c>
    </row>
    <row r="2452">
      <c r="A2452" t="n">
        <v>245</v>
      </c>
      <c r="B2452">
        <f>IF(A2452&gt;162.1,Parameters!$B$5,Parameters!$B$4)</f>
        <v/>
      </c>
      <c r="C2452">
        <f>C2451-0.1*B2452+0</f>
        <v/>
      </c>
      <c r="D2452">
        <f>D2451-0.1*B2452+0</f>
        <v/>
      </c>
      <c r="E2452">
        <f>Parameters!$B$25</f>
        <v/>
      </c>
    </row>
    <row r="2453">
      <c r="A2453" t="n">
        <v>245.1</v>
      </c>
      <c r="B2453">
        <f>IF(A2453&gt;162.1,Parameters!$B$5,Parameters!$B$4)</f>
        <v/>
      </c>
      <c r="C2453">
        <f>C2452-0.1*B2453+0</f>
        <v/>
      </c>
      <c r="D2453">
        <f>D2452-0.1*B2453+0</f>
        <v/>
      </c>
      <c r="E2453">
        <f>Parameters!$B$25</f>
        <v/>
      </c>
    </row>
    <row r="2454">
      <c r="A2454" t="n">
        <v>245.2</v>
      </c>
      <c r="B2454">
        <f>IF(A2454&gt;162.1,Parameters!$B$5,Parameters!$B$4)</f>
        <v/>
      </c>
      <c r="C2454">
        <f>C2453-0.1*B2454+0</f>
        <v/>
      </c>
      <c r="D2454">
        <f>D2453-0.1*B2454+0</f>
        <v/>
      </c>
      <c r="E2454">
        <f>Parameters!$B$25</f>
        <v/>
      </c>
    </row>
    <row r="2455">
      <c r="A2455" t="n">
        <v>245.3</v>
      </c>
      <c r="B2455">
        <f>IF(A2455&gt;162.1,Parameters!$B$5,Parameters!$B$4)</f>
        <v/>
      </c>
      <c r="C2455">
        <f>C2454-0.1*B2455+0</f>
        <v/>
      </c>
      <c r="D2455">
        <f>D2454-0.1*B2455+0</f>
        <v/>
      </c>
      <c r="E2455">
        <f>Parameters!$B$25</f>
        <v/>
      </c>
    </row>
    <row r="2456">
      <c r="A2456" t="n">
        <v>245.4</v>
      </c>
      <c r="B2456">
        <f>IF(A2456&gt;162.1,Parameters!$B$5,Parameters!$B$4)</f>
        <v/>
      </c>
      <c r="C2456">
        <f>C2455-0.1*B2456+0</f>
        <v/>
      </c>
      <c r="D2456">
        <f>D2455-0.1*B2456+0</f>
        <v/>
      </c>
      <c r="E2456">
        <f>Parameters!$B$25</f>
        <v/>
      </c>
    </row>
    <row r="2457">
      <c r="A2457" t="n">
        <v>245.5</v>
      </c>
      <c r="B2457">
        <f>IF(A2457&gt;162.1,Parameters!$B$5,Parameters!$B$4)</f>
        <v/>
      </c>
      <c r="C2457">
        <f>C2456-0.1*B2457+0</f>
        <v/>
      </c>
      <c r="D2457">
        <f>D2456-0.1*B2457+0</f>
        <v/>
      </c>
      <c r="E2457">
        <f>Parameters!$B$25</f>
        <v/>
      </c>
    </row>
    <row r="2458">
      <c r="A2458" t="n">
        <v>245.6</v>
      </c>
      <c r="B2458">
        <f>IF(A2458&gt;162.1,Parameters!$B$5,Parameters!$B$4)</f>
        <v/>
      </c>
      <c r="C2458">
        <f>C2457-0.1*B2458+0</f>
        <v/>
      </c>
      <c r="D2458">
        <f>D2457-0.1*B2458+0</f>
        <v/>
      </c>
      <c r="E2458">
        <f>Parameters!$B$25</f>
        <v/>
      </c>
    </row>
    <row r="2459">
      <c r="A2459" t="n">
        <v>245.7</v>
      </c>
      <c r="B2459">
        <f>IF(A2459&gt;162.1,Parameters!$B$5,Parameters!$B$4)</f>
        <v/>
      </c>
      <c r="C2459">
        <f>C2458-0.1*B2459+0</f>
        <v/>
      </c>
      <c r="D2459">
        <f>D2458-0.1*B2459+0</f>
        <v/>
      </c>
      <c r="E2459">
        <f>Parameters!$B$25</f>
        <v/>
      </c>
    </row>
    <row r="2460">
      <c r="A2460" t="n">
        <v>245.8</v>
      </c>
      <c r="B2460">
        <f>IF(A2460&gt;162.1,Parameters!$B$5,Parameters!$B$4)</f>
        <v/>
      </c>
      <c r="C2460">
        <f>C2459-0.1*B2460+0</f>
        <v/>
      </c>
      <c r="D2460">
        <f>D2459-0.1*B2460+0</f>
        <v/>
      </c>
      <c r="E2460">
        <f>Parameters!$B$25</f>
        <v/>
      </c>
    </row>
    <row r="2461">
      <c r="A2461" t="n">
        <v>245.9</v>
      </c>
      <c r="B2461">
        <f>IF(A2461&gt;162.1,Parameters!$B$5,Parameters!$B$4)</f>
        <v/>
      </c>
      <c r="C2461">
        <f>C2460-0.1*B2461+0</f>
        <v/>
      </c>
      <c r="D2461">
        <f>D2460-0.1*B2461+0</f>
        <v/>
      </c>
      <c r="E2461">
        <f>Parameters!$B$25</f>
        <v/>
      </c>
    </row>
    <row r="2462">
      <c r="A2462" t="n">
        <v>246</v>
      </c>
      <c r="B2462">
        <f>IF(A2462&gt;162.1,Parameters!$B$5,Parameters!$B$4)</f>
        <v/>
      </c>
      <c r="C2462">
        <f>C2461-0.1*B2462+0</f>
        <v/>
      </c>
      <c r="D2462">
        <f>D2461-0.1*B2462+0</f>
        <v/>
      </c>
      <c r="E2462">
        <f>Parameters!$B$25</f>
        <v/>
      </c>
    </row>
    <row r="2463">
      <c r="A2463" t="n">
        <v>246.1</v>
      </c>
      <c r="B2463">
        <f>IF(A2463&gt;162.1,Parameters!$B$5,Parameters!$B$4)</f>
        <v/>
      </c>
      <c r="C2463">
        <f>C2462-0.1*B2463+0</f>
        <v/>
      </c>
      <c r="D2463">
        <f>D2462-0.1*B2463+0</f>
        <v/>
      </c>
      <c r="E2463">
        <f>Parameters!$B$25</f>
        <v/>
      </c>
    </row>
    <row r="2464">
      <c r="A2464" t="n">
        <v>246.2</v>
      </c>
      <c r="B2464">
        <f>IF(A2464&gt;162.1,Parameters!$B$5,Parameters!$B$4)</f>
        <v/>
      </c>
      <c r="C2464">
        <f>C2463-0.1*B2464+0</f>
        <v/>
      </c>
      <c r="D2464">
        <f>D2463-0.1*B2464+0</f>
        <v/>
      </c>
      <c r="E2464">
        <f>Parameters!$B$25</f>
        <v/>
      </c>
    </row>
    <row r="2465">
      <c r="A2465" t="n">
        <v>246.3</v>
      </c>
      <c r="B2465">
        <f>IF(A2465&gt;162.1,Parameters!$B$5,Parameters!$B$4)</f>
        <v/>
      </c>
      <c r="C2465">
        <f>C2464-0.1*B2465+0</f>
        <v/>
      </c>
      <c r="D2465">
        <f>D2464-0.1*B2465+0</f>
        <v/>
      </c>
      <c r="E2465">
        <f>Parameters!$B$25</f>
        <v/>
      </c>
    </row>
    <row r="2466">
      <c r="A2466" t="n">
        <v>246.4</v>
      </c>
      <c r="B2466">
        <f>IF(A2466&gt;162.1,Parameters!$B$5,Parameters!$B$4)</f>
        <v/>
      </c>
      <c r="C2466">
        <f>C2465-0.1*B2466+0</f>
        <v/>
      </c>
      <c r="D2466">
        <f>D2465-0.1*B2466+0</f>
        <v/>
      </c>
      <c r="E2466">
        <f>Parameters!$B$25</f>
        <v/>
      </c>
    </row>
    <row r="2467">
      <c r="A2467" t="n">
        <v>246.5</v>
      </c>
      <c r="B2467">
        <f>IF(A2467&gt;162.1,Parameters!$B$5,Parameters!$B$4)</f>
        <v/>
      </c>
      <c r="C2467">
        <f>C2466-0.1*B2467+0</f>
        <v/>
      </c>
      <c r="D2467">
        <f>D2466-0.1*B2467+0</f>
        <v/>
      </c>
      <c r="E2467">
        <f>Parameters!$B$25</f>
        <v/>
      </c>
    </row>
    <row r="2468">
      <c r="A2468" t="n">
        <v>246.6</v>
      </c>
      <c r="B2468">
        <f>IF(A2468&gt;162.1,Parameters!$B$5,Parameters!$B$4)</f>
        <v/>
      </c>
      <c r="C2468">
        <f>C2467-0.1*B2468+0</f>
        <v/>
      </c>
      <c r="D2468">
        <f>D2467-0.1*B2468+0</f>
        <v/>
      </c>
      <c r="E2468">
        <f>Parameters!$B$25</f>
        <v/>
      </c>
    </row>
    <row r="2469">
      <c r="A2469" t="n">
        <v>246.7</v>
      </c>
      <c r="B2469">
        <f>IF(A2469&gt;162.1,Parameters!$B$5,Parameters!$B$4)</f>
        <v/>
      </c>
      <c r="C2469">
        <f>C2468-0.1*B2469+0</f>
        <v/>
      </c>
      <c r="D2469">
        <f>D2468-0.1*B2469+0</f>
        <v/>
      </c>
      <c r="E2469">
        <f>Parameters!$B$25</f>
        <v/>
      </c>
    </row>
    <row r="2470">
      <c r="A2470" t="n">
        <v>246.8</v>
      </c>
      <c r="B2470">
        <f>IF(A2470&gt;162.1,Parameters!$B$5,Parameters!$B$4)</f>
        <v/>
      </c>
      <c r="C2470">
        <f>C2469-0.1*B2470+0</f>
        <v/>
      </c>
      <c r="D2470">
        <f>D2469-0.1*B2470+0</f>
        <v/>
      </c>
      <c r="E2470">
        <f>Parameters!$B$25</f>
        <v/>
      </c>
    </row>
    <row r="2471">
      <c r="A2471" t="n">
        <v>246.9</v>
      </c>
      <c r="B2471">
        <f>IF(A2471&gt;162.1,Parameters!$B$5,Parameters!$B$4)</f>
        <v/>
      </c>
      <c r="C2471">
        <f>C2470-0.1*B2471+0</f>
        <v/>
      </c>
      <c r="D2471">
        <f>D2470-0.1*B2471+0</f>
        <v/>
      </c>
      <c r="E2471">
        <f>Parameters!$B$25</f>
        <v/>
      </c>
    </row>
    <row r="2472">
      <c r="A2472" t="n">
        <v>247</v>
      </c>
      <c r="B2472">
        <f>IF(A2472&gt;162.1,Parameters!$B$5,Parameters!$B$4)</f>
        <v/>
      </c>
      <c r="C2472">
        <f>C2471-0.1*B2472+0</f>
        <v/>
      </c>
      <c r="D2472">
        <f>D2471-0.1*B2472+0</f>
        <v/>
      </c>
      <c r="E2472">
        <f>Parameters!$B$25</f>
        <v/>
      </c>
    </row>
    <row r="2473">
      <c r="A2473" t="n">
        <v>247.1</v>
      </c>
      <c r="B2473">
        <f>IF(A2473&gt;162.1,Parameters!$B$5,Parameters!$B$4)</f>
        <v/>
      </c>
      <c r="C2473">
        <f>C2472-0.1*B2473+0</f>
        <v/>
      </c>
      <c r="D2473">
        <f>D2472-0.1*B2473+0</f>
        <v/>
      </c>
      <c r="E2473">
        <f>Parameters!$B$25</f>
        <v/>
      </c>
    </row>
    <row r="2474">
      <c r="A2474" t="n">
        <v>247.2</v>
      </c>
      <c r="B2474">
        <f>IF(A2474&gt;162.1,Parameters!$B$5,Parameters!$B$4)</f>
        <v/>
      </c>
      <c r="C2474">
        <f>C2473-0.1*B2474+0</f>
        <v/>
      </c>
      <c r="D2474">
        <f>D2473-0.1*B2474+0</f>
        <v/>
      </c>
      <c r="E2474">
        <f>Parameters!$B$25</f>
        <v/>
      </c>
    </row>
    <row r="2475">
      <c r="A2475" t="n">
        <v>247.3</v>
      </c>
      <c r="B2475">
        <f>IF(A2475&gt;162.1,Parameters!$B$5,Parameters!$B$4)</f>
        <v/>
      </c>
      <c r="C2475">
        <f>C2474-0.1*B2475+0</f>
        <v/>
      </c>
      <c r="D2475">
        <f>D2474-0.1*B2475+0</f>
        <v/>
      </c>
      <c r="E2475">
        <f>Parameters!$B$25</f>
        <v/>
      </c>
    </row>
    <row r="2476">
      <c r="A2476" t="n">
        <v>247.4</v>
      </c>
      <c r="B2476">
        <f>IF(A2476&gt;162.1,Parameters!$B$5,Parameters!$B$4)</f>
        <v/>
      </c>
      <c r="C2476">
        <f>C2475-0.1*B2476+0</f>
        <v/>
      </c>
      <c r="D2476">
        <f>D2475-0.1*B2476+0</f>
        <v/>
      </c>
      <c r="E2476">
        <f>Parameters!$B$25</f>
        <v/>
      </c>
    </row>
    <row r="2477">
      <c r="A2477" t="n">
        <v>247.5</v>
      </c>
      <c r="B2477">
        <f>IF(A2477&gt;162.1,Parameters!$B$5,Parameters!$B$4)</f>
        <v/>
      </c>
      <c r="C2477">
        <f>C2476-0.1*B2477+0</f>
        <v/>
      </c>
      <c r="D2477">
        <f>D2476-0.1*B2477+0</f>
        <v/>
      </c>
      <c r="E2477">
        <f>Parameters!$B$25</f>
        <v/>
      </c>
    </row>
    <row r="2478">
      <c r="A2478" t="n">
        <v>247.6</v>
      </c>
      <c r="B2478">
        <f>IF(A2478&gt;162.1,Parameters!$B$5,Parameters!$B$4)</f>
        <v/>
      </c>
      <c r="C2478">
        <f>C2477-0.1*B2478+0</f>
        <v/>
      </c>
      <c r="D2478">
        <f>D2477-0.1*B2478+0</f>
        <v/>
      </c>
      <c r="E2478">
        <f>Parameters!$B$25</f>
        <v/>
      </c>
    </row>
    <row r="2479">
      <c r="A2479" t="n">
        <v>247.7</v>
      </c>
      <c r="B2479">
        <f>IF(A2479&gt;162.1,Parameters!$B$5,Parameters!$B$4)</f>
        <v/>
      </c>
      <c r="C2479">
        <f>C2478-0.1*B2479+0</f>
        <v/>
      </c>
      <c r="D2479">
        <f>D2478-0.1*B2479+0</f>
        <v/>
      </c>
      <c r="E2479">
        <f>Parameters!$B$25</f>
        <v/>
      </c>
    </row>
    <row r="2480">
      <c r="A2480" t="n">
        <v>247.8</v>
      </c>
      <c r="B2480">
        <f>IF(A2480&gt;162.1,Parameters!$B$5,Parameters!$B$4)</f>
        <v/>
      </c>
      <c r="C2480">
        <f>C2479-0.1*B2480+0</f>
        <v/>
      </c>
      <c r="D2480">
        <f>D2479-0.1*B2480+0</f>
        <v/>
      </c>
      <c r="E2480">
        <f>Parameters!$B$25</f>
        <v/>
      </c>
    </row>
    <row r="2481">
      <c r="A2481" t="n">
        <v>247.9</v>
      </c>
      <c r="B2481">
        <f>IF(A2481&gt;162.1,Parameters!$B$5,Parameters!$B$4)</f>
        <v/>
      </c>
      <c r="C2481">
        <f>C2480-0.1*B2481+0</f>
        <v/>
      </c>
      <c r="D2481">
        <f>D2480-0.1*B2481+0</f>
        <v/>
      </c>
      <c r="E2481">
        <f>Parameters!$B$25</f>
        <v/>
      </c>
    </row>
    <row r="2482">
      <c r="A2482" t="n">
        <v>248</v>
      </c>
      <c r="B2482">
        <f>IF(A2482&gt;162.1,Parameters!$B$5,Parameters!$B$4)</f>
        <v/>
      </c>
      <c r="C2482">
        <f>C2481-0.1*B2482+0</f>
        <v/>
      </c>
      <c r="D2482">
        <f>D2481-0.1*B2482+0</f>
        <v/>
      </c>
      <c r="E2482">
        <f>Parameters!$B$25</f>
        <v/>
      </c>
    </row>
    <row r="2483">
      <c r="A2483" t="n">
        <v>248.1</v>
      </c>
      <c r="B2483">
        <f>IF(A2483&gt;162.1,Parameters!$B$5,Parameters!$B$4)</f>
        <v/>
      </c>
      <c r="C2483">
        <f>C2482-0.1*B2483+0</f>
        <v/>
      </c>
      <c r="D2483">
        <f>D2482-0.1*B2483+0</f>
        <v/>
      </c>
      <c r="E2483">
        <f>Parameters!$B$25</f>
        <v/>
      </c>
    </row>
    <row r="2484">
      <c r="A2484" t="n">
        <v>248.2</v>
      </c>
      <c r="B2484">
        <f>IF(A2484&gt;162.1,Parameters!$B$5,Parameters!$B$4)</f>
        <v/>
      </c>
      <c r="C2484">
        <f>C2483-0.1*B2484+0</f>
        <v/>
      </c>
      <c r="D2484">
        <f>D2483-0.1*B2484+0</f>
        <v/>
      </c>
      <c r="E2484">
        <f>Parameters!$B$25</f>
        <v/>
      </c>
    </row>
    <row r="2485">
      <c r="A2485" t="n">
        <v>248.3</v>
      </c>
      <c r="B2485">
        <f>IF(A2485&gt;162.1,Parameters!$B$5,Parameters!$B$4)</f>
        <v/>
      </c>
      <c r="C2485">
        <f>C2484-0.1*B2485+0</f>
        <v/>
      </c>
      <c r="D2485">
        <f>D2484-0.1*B2485+0</f>
        <v/>
      </c>
      <c r="E2485">
        <f>Parameters!$B$25</f>
        <v/>
      </c>
    </row>
    <row r="2486">
      <c r="A2486" t="n">
        <v>248.4</v>
      </c>
      <c r="B2486">
        <f>IF(A2486&gt;162.1,Parameters!$B$5,Parameters!$B$4)</f>
        <v/>
      </c>
      <c r="C2486">
        <f>C2485-0.1*B2486+0</f>
        <v/>
      </c>
      <c r="D2486">
        <f>D2485-0.1*B2486+0</f>
        <v/>
      </c>
      <c r="E2486">
        <f>Parameters!$B$25</f>
        <v/>
      </c>
    </row>
    <row r="2487">
      <c r="A2487" t="n">
        <v>248.5</v>
      </c>
      <c r="B2487">
        <f>IF(A2487&gt;162.1,Parameters!$B$5,Parameters!$B$4)</f>
        <v/>
      </c>
      <c r="C2487">
        <f>C2486-0.1*B2487+0</f>
        <v/>
      </c>
      <c r="D2487">
        <f>D2486-0.1*B2487+0</f>
        <v/>
      </c>
      <c r="E2487">
        <f>Parameters!$B$25</f>
        <v/>
      </c>
    </row>
    <row r="2488">
      <c r="A2488" t="n">
        <v>248.6</v>
      </c>
      <c r="B2488">
        <f>IF(A2488&gt;162.1,Parameters!$B$5,Parameters!$B$4)</f>
        <v/>
      </c>
      <c r="C2488">
        <f>C2487-0.1*B2488+0</f>
        <v/>
      </c>
      <c r="D2488">
        <f>D2487-0.1*B2488+0</f>
        <v/>
      </c>
      <c r="E2488">
        <f>Parameters!$B$25</f>
        <v/>
      </c>
    </row>
    <row r="2489">
      <c r="A2489" t="n">
        <v>248.7</v>
      </c>
      <c r="B2489">
        <f>IF(A2489&gt;162.1,Parameters!$B$5,Parameters!$B$4)</f>
        <v/>
      </c>
      <c r="C2489">
        <f>C2488-0.1*B2489+0</f>
        <v/>
      </c>
      <c r="D2489">
        <f>D2488-0.1*B2489+0</f>
        <v/>
      </c>
      <c r="E2489">
        <f>Parameters!$B$25</f>
        <v/>
      </c>
    </row>
    <row r="2490">
      <c r="A2490" t="n">
        <v>248.8</v>
      </c>
      <c r="B2490">
        <f>IF(A2490&gt;162.1,Parameters!$B$5,Parameters!$B$4)</f>
        <v/>
      </c>
      <c r="C2490">
        <f>C2489-0.1*B2490+0</f>
        <v/>
      </c>
      <c r="D2490">
        <f>D2489-0.1*B2490+0</f>
        <v/>
      </c>
      <c r="E2490">
        <f>Parameters!$B$25</f>
        <v/>
      </c>
    </row>
    <row r="2491">
      <c r="A2491" t="n">
        <v>248.9</v>
      </c>
      <c r="B2491">
        <f>IF(A2491&gt;162.1,Parameters!$B$5,Parameters!$B$4)</f>
        <v/>
      </c>
      <c r="C2491">
        <f>C2490-0.1*B2491+0</f>
        <v/>
      </c>
      <c r="D2491">
        <f>D2490-0.1*B2491+0</f>
        <v/>
      </c>
      <c r="E2491">
        <f>Parameters!$B$25</f>
        <v/>
      </c>
    </row>
    <row r="2492">
      <c r="A2492" t="n">
        <v>249</v>
      </c>
      <c r="B2492">
        <f>IF(A2492&gt;162.1,Parameters!$B$5,Parameters!$B$4)</f>
        <v/>
      </c>
      <c r="C2492">
        <f>C2491-0.1*B2492+0</f>
        <v/>
      </c>
      <c r="D2492">
        <f>D2491-0.1*B2492+0</f>
        <v/>
      </c>
      <c r="E2492">
        <f>Parameters!$B$25</f>
        <v/>
      </c>
    </row>
    <row r="2493">
      <c r="A2493" t="n">
        <v>249.1</v>
      </c>
      <c r="B2493">
        <f>IF(A2493&gt;162.1,Parameters!$B$5,Parameters!$B$4)</f>
        <v/>
      </c>
      <c r="C2493">
        <f>C2492-0.1*B2493+0</f>
        <v/>
      </c>
      <c r="D2493">
        <f>D2492-0.1*B2493+0</f>
        <v/>
      </c>
      <c r="E2493">
        <f>Parameters!$B$25</f>
        <v/>
      </c>
    </row>
    <row r="2494">
      <c r="A2494" t="n">
        <v>249.2</v>
      </c>
      <c r="B2494">
        <f>IF(A2494&gt;162.1,Parameters!$B$5,Parameters!$B$4)</f>
        <v/>
      </c>
      <c r="C2494">
        <f>C2493-0.1*B2494+0</f>
        <v/>
      </c>
      <c r="D2494">
        <f>D2493-0.1*B2494+0</f>
        <v/>
      </c>
      <c r="E2494">
        <f>Parameters!$B$25</f>
        <v/>
      </c>
    </row>
    <row r="2495">
      <c r="A2495" t="n">
        <v>249.3</v>
      </c>
      <c r="B2495">
        <f>IF(A2495&gt;162.1,Parameters!$B$5,Parameters!$B$4)</f>
        <v/>
      </c>
      <c r="C2495">
        <f>C2494-0.1*B2495+0</f>
        <v/>
      </c>
      <c r="D2495">
        <f>D2494-0.1*B2495+0</f>
        <v/>
      </c>
      <c r="E2495">
        <f>Parameters!$B$25</f>
        <v/>
      </c>
    </row>
    <row r="2496">
      <c r="A2496" t="n">
        <v>249.4</v>
      </c>
      <c r="B2496">
        <f>IF(A2496&gt;162.1,Parameters!$B$5,Parameters!$B$4)</f>
        <v/>
      </c>
      <c r="C2496">
        <f>C2495-0.1*B2496+0</f>
        <v/>
      </c>
      <c r="D2496">
        <f>D2495-0.1*B2496+0</f>
        <v/>
      </c>
      <c r="E2496">
        <f>Parameters!$B$25</f>
        <v/>
      </c>
    </row>
    <row r="2497">
      <c r="A2497" t="n">
        <v>249.5</v>
      </c>
      <c r="B2497">
        <f>IF(A2497&gt;162.1,Parameters!$B$5,Parameters!$B$4)</f>
        <v/>
      </c>
      <c r="C2497">
        <f>C2496-0.1*B2497+0</f>
        <v/>
      </c>
      <c r="D2497">
        <f>D2496-0.1*B2497+0</f>
        <v/>
      </c>
      <c r="E2497">
        <f>Parameters!$B$25</f>
        <v/>
      </c>
    </row>
    <row r="2498">
      <c r="A2498" t="n">
        <v>249.6</v>
      </c>
      <c r="B2498">
        <f>IF(A2498&gt;162.1,Parameters!$B$5,Parameters!$B$4)</f>
        <v/>
      </c>
      <c r="C2498">
        <f>C2497-0.1*B2498+0</f>
        <v/>
      </c>
      <c r="D2498">
        <f>D2497-0.1*B2498+0</f>
        <v/>
      </c>
      <c r="E2498">
        <f>Parameters!$B$25</f>
        <v/>
      </c>
    </row>
    <row r="2499">
      <c r="A2499" t="n">
        <v>249.7</v>
      </c>
      <c r="B2499">
        <f>IF(A2499&gt;162.1,Parameters!$B$5,Parameters!$B$4)</f>
        <v/>
      </c>
      <c r="C2499">
        <f>C2498-0.1*B2499+0</f>
        <v/>
      </c>
      <c r="D2499">
        <f>D2498-0.1*B2499+0</f>
        <v/>
      </c>
      <c r="E2499">
        <f>Parameters!$B$25</f>
        <v/>
      </c>
    </row>
    <row r="2500">
      <c r="A2500" t="n">
        <v>249.8</v>
      </c>
      <c r="B2500">
        <f>IF(A2500&gt;162.1,Parameters!$B$5,Parameters!$B$4)</f>
        <v/>
      </c>
      <c r="C2500">
        <f>C2499-0.1*B2500+0</f>
        <v/>
      </c>
      <c r="D2500">
        <f>D2499-0.1*B2500+0</f>
        <v/>
      </c>
      <c r="E2500">
        <f>Parameters!$B$25</f>
        <v/>
      </c>
    </row>
    <row r="2501">
      <c r="A2501" t="n">
        <v>249.9</v>
      </c>
      <c r="B2501">
        <f>IF(A2501&gt;162.1,Parameters!$B$5,Parameters!$B$4)</f>
        <v/>
      </c>
      <c r="C2501">
        <f>C2500-0.1*B2501+0</f>
        <v/>
      </c>
      <c r="D2501">
        <f>D2500-0.1*B2501+0</f>
        <v/>
      </c>
      <c r="E2501">
        <f>Parameters!$B$25</f>
        <v/>
      </c>
    </row>
    <row r="2502">
      <c r="A2502" t="n">
        <v>250</v>
      </c>
      <c r="B2502">
        <f>IF(A2502&gt;162.1,Parameters!$B$5,Parameters!$B$4)</f>
        <v/>
      </c>
      <c r="C2502">
        <f>C2501-0.1*B2502+0</f>
        <v/>
      </c>
      <c r="D2502">
        <f>D2501-0.1*B2502+0</f>
        <v/>
      </c>
      <c r="E2502">
        <f>Parameters!$B$25</f>
        <v/>
      </c>
    </row>
    <row r="2503">
      <c r="A2503" t="n">
        <v>250.1</v>
      </c>
      <c r="B2503">
        <f>IF(A2503&gt;162.1,Parameters!$B$5,Parameters!$B$4)</f>
        <v/>
      </c>
      <c r="C2503">
        <f>C2502-0.1*B2503+0</f>
        <v/>
      </c>
      <c r="D2503">
        <f>D2502-0.1*B2503+0</f>
        <v/>
      </c>
      <c r="E2503">
        <f>Parameters!$B$25</f>
        <v/>
      </c>
    </row>
    <row r="2504">
      <c r="A2504" t="n">
        <v>250.2</v>
      </c>
      <c r="B2504">
        <f>IF(A2504&gt;162.1,Parameters!$B$5,Parameters!$B$4)</f>
        <v/>
      </c>
      <c r="C2504">
        <f>C2503-0.1*B2504+0</f>
        <v/>
      </c>
      <c r="D2504">
        <f>D2503-0.1*B2504+0</f>
        <v/>
      </c>
      <c r="E2504">
        <f>Parameters!$B$25</f>
        <v/>
      </c>
    </row>
    <row r="2505">
      <c r="A2505" t="n">
        <v>250.3</v>
      </c>
      <c r="B2505">
        <f>IF(A2505&gt;162.1,Parameters!$B$5,Parameters!$B$4)</f>
        <v/>
      </c>
      <c r="C2505">
        <f>C2504-0.1*B2505+0</f>
        <v/>
      </c>
      <c r="D2505">
        <f>D2504-0.1*B2505+0</f>
        <v/>
      </c>
      <c r="E2505">
        <f>Parameters!$B$25</f>
        <v/>
      </c>
    </row>
    <row r="2506">
      <c r="A2506" t="n">
        <v>250.4</v>
      </c>
      <c r="B2506">
        <f>IF(A2506&gt;162.1,Parameters!$B$5,Parameters!$B$4)</f>
        <v/>
      </c>
      <c r="C2506">
        <f>C2505-0.1*B2506+0</f>
        <v/>
      </c>
      <c r="D2506">
        <f>D2505-0.1*B2506+0</f>
        <v/>
      </c>
      <c r="E2506">
        <f>Parameters!$B$25</f>
        <v/>
      </c>
    </row>
    <row r="2507">
      <c r="A2507" t="n">
        <v>250.5</v>
      </c>
      <c r="B2507">
        <f>IF(A2507&gt;162.1,Parameters!$B$5,Parameters!$B$4)</f>
        <v/>
      </c>
      <c r="C2507">
        <f>C2506-0.1*B2507+0</f>
        <v/>
      </c>
      <c r="D2507">
        <f>D2506-0.1*B2507+0</f>
        <v/>
      </c>
      <c r="E2507">
        <f>Parameters!$B$25</f>
        <v/>
      </c>
    </row>
    <row r="2508">
      <c r="A2508" t="n">
        <v>250.6</v>
      </c>
      <c r="B2508">
        <f>IF(A2508&gt;162.1,Parameters!$B$5,Parameters!$B$4)</f>
        <v/>
      </c>
      <c r="C2508">
        <f>C2507-0.1*B2508+0</f>
        <v/>
      </c>
      <c r="D2508">
        <f>D2507-0.1*B2508+0</f>
        <v/>
      </c>
      <c r="E2508">
        <f>Parameters!$B$25</f>
        <v/>
      </c>
    </row>
    <row r="2509">
      <c r="A2509" t="n">
        <v>250.7</v>
      </c>
      <c r="B2509">
        <f>IF(A2509&gt;162.1,Parameters!$B$5,Parameters!$B$4)</f>
        <v/>
      </c>
      <c r="C2509">
        <f>C2508-0.1*B2509+0</f>
        <v/>
      </c>
      <c r="D2509">
        <f>D2508-0.1*B2509+0</f>
        <v/>
      </c>
      <c r="E2509">
        <f>Parameters!$B$25</f>
        <v/>
      </c>
    </row>
    <row r="2510">
      <c r="A2510" t="n">
        <v>250.8</v>
      </c>
      <c r="B2510">
        <f>IF(A2510&gt;162.1,Parameters!$B$5,Parameters!$B$4)</f>
        <v/>
      </c>
      <c r="C2510">
        <f>C2509-0.1*B2510+0</f>
        <v/>
      </c>
      <c r="D2510">
        <f>D2509-0.1*B2510+0</f>
        <v/>
      </c>
      <c r="E2510">
        <f>Parameters!$B$25</f>
        <v/>
      </c>
    </row>
    <row r="2511">
      <c r="A2511" t="n">
        <v>250.9</v>
      </c>
      <c r="B2511">
        <f>IF(A2511&gt;162.1,Parameters!$B$5,Parameters!$B$4)</f>
        <v/>
      </c>
      <c r="C2511">
        <f>C2510-0.1*B2511+0</f>
        <v/>
      </c>
      <c r="D2511">
        <f>D2510-0.1*B2511+0</f>
        <v/>
      </c>
      <c r="E2511">
        <f>Parameters!$B$25</f>
        <v/>
      </c>
    </row>
    <row r="2512">
      <c r="A2512" t="n">
        <v>251</v>
      </c>
      <c r="B2512">
        <f>IF(A2512&gt;162.1,Parameters!$B$5,Parameters!$B$4)</f>
        <v/>
      </c>
      <c r="C2512">
        <f>C2511-0.1*B2512+0</f>
        <v/>
      </c>
      <c r="D2512">
        <f>D2511-0.1*B2512+0</f>
        <v/>
      </c>
      <c r="E2512">
        <f>Parameters!$B$25</f>
        <v/>
      </c>
    </row>
    <row r="2513">
      <c r="A2513" t="n">
        <v>251.1</v>
      </c>
      <c r="B2513">
        <f>IF(A2513&gt;162.1,Parameters!$B$5,Parameters!$B$4)</f>
        <v/>
      </c>
      <c r="C2513">
        <f>C2512-0.1*B2513+0</f>
        <v/>
      </c>
      <c r="D2513">
        <f>D2512-0.1*B2513+0</f>
        <v/>
      </c>
      <c r="E2513">
        <f>Parameters!$B$25</f>
        <v/>
      </c>
    </row>
    <row r="2514">
      <c r="A2514" t="n">
        <v>251.2</v>
      </c>
      <c r="B2514">
        <f>IF(A2514&gt;162.1,Parameters!$B$5,Parameters!$B$4)</f>
        <v/>
      </c>
      <c r="C2514">
        <f>C2513-0.1*B2514+0</f>
        <v/>
      </c>
      <c r="D2514">
        <f>D2513-0.1*B2514+0</f>
        <v/>
      </c>
      <c r="E2514">
        <f>Parameters!$B$25</f>
        <v/>
      </c>
    </row>
    <row r="2515">
      <c r="A2515" t="n">
        <v>251.3</v>
      </c>
      <c r="B2515">
        <f>IF(A2515&gt;162.1,Parameters!$B$5,Parameters!$B$4)</f>
        <v/>
      </c>
      <c r="C2515">
        <f>C2514-0.1*B2515+0</f>
        <v/>
      </c>
      <c r="D2515">
        <f>D2514-0.1*B2515+0</f>
        <v/>
      </c>
      <c r="E2515">
        <f>Parameters!$B$25</f>
        <v/>
      </c>
    </row>
    <row r="2516">
      <c r="A2516" t="n">
        <v>251.4</v>
      </c>
      <c r="B2516">
        <f>IF(A2516&gt;162.1,Parameters!$B$5,Parameters!$B$4)</f>
        <v/>
      </c>
      <c r="C2516">
        <f>C2515-0.1*B2516+0</f>
        <v/>
      </c>
      <c r="D2516">
        <f>D2515-0.1*B2516+0</f>
        <v/>
      </c>
      <c r="E2516">
        <f>Parameters!$B$25</f>
        <v/>
      </c>
    </row>
    <row r="2517">
      <c r="A2517" t="n">
        <v>251.5</v>
      </c>
      <c r="B2517">
        <f>IF(A2517&gt;162.1,Parameters!$B$5,Parameters!$B$4)</f>
        <v/>
      </c>
      <c r="C2517">
        <f>C2516-0.1*B2517+0</f>
        <v/>
      </c>
      <c r="D2517">
        <f>D2516-0.1*B2517+0</f>
        <v/>
      </c>
      <c r="E2517">
        <f>Parameters!$B$25</f>
        <v/>
      </c>
    </row>
    <row r="2518">
      <c r="A2518" t="n">
        <v>251.6</v>
      </c>
      <c r="B2518">
        <f>IF(A2518&gt;162.1,Parameters!$B$5,Parameters!$B$4)</f>
        <v/>
      </c>
      <c r="C2518">
        <f>C2517-0.1*B2518+0</f>
        <v/>
      </c>
      <c r="D2518">
        <f>D2517-0.1*B2518+0</f>
        <v/>
      </c>
      <c r="E2518">
        <f>Parameters!$B$25</f>
        <v/>
      </c>
    </row>
    <row r="2519">
      <c r="A2519" t="n">
        <v>251.7</v>
      </c>
      <c r="B2519">
        <f>IF(A2519&gt;162.1,Parameters!$B$5,Parameters!$B$4)</f>
        <v/>
      </c>
      <c r="C2519">
        <f>C2518-0.1*B2519+0</f>
        <v/>
      </c>
      <c r="D2519">
        <f>D2518-0.1*B2519+0</f>
        <v/>
      </c>
      <c r="E2519">
        <f>Parameters!$B$25</f>
        <v/>
      </c>
    </row>
    <row r="2520">
      <c r="A2520" t="n">
        <v>251.8</v>
      </c>
      <c r="B2520">
        <f>IF(A2520&gt;162.1,Parameters!$B$5,Parameters!$B$4)</f>
        <v/>
      </c>
      <c r="C2520">
        <f>C2519-0.1*B2520+0</f>
        <v/>
      </c>
      <c r="D2520">
        <f>D2519-0.1*B2520+0</f>
        <v/>
      </c>
      <c r="E2520">
        <f>Parameters!$B$25</f>
        <v/>
      </c>
    </row>
    <row r="2521">
      <c r="A2521" t="n">
        <v>251.9</v>
      </c>
      <c r="B2521">
        <f>IF(A2521&gt;162.1,Parameters!$B$5,Parameters!$B$4)</f>
        <v/>
      </c>
      <c r="C2521">
        <f>C2520-0.1*B2521+0</f>
        <v/>
      </c>
      <c r="D2521">
        <f>D2520-0.1*B2521+0</f>
        <v/>
      </c>
      <c r="E2521">
        <f>Parameters!$B$25</f>
        <v/>
      </c>
    </row>
    <row r="2522">
      <c r="A2522" t="n">
        <v>252</v>
      </c>
      <c r="B2522">
        <f>IF(A2522&gt;162.1,Parameters!$B$5,Parameters!$B$4)</f>
        <v/>
      </c>
      <c r="C2522">
        <f>C2521-0.1*B2522+0</f>
        <v/>
      </c>
      <c r="D2522">
        <f>D2521-0.1*B2522+0</f>
        <v/>
      </c>
      <c r="E2522">
        <f>Parameters!$B$25</f>
        <v/>
      </c>
    </row>
    <row r="2523">
      <c r="A2523" t="n">
        <v>252.1</v>
      </c>
      <c r="B2523">
        <f>IF(A2523&gt;162.1,Parameters!$B$5,Parameters!$B$4)</f>
        <v/>
      </c>
      <c r="C2523">
        <f>C2522-0.1*B2523+0</f>
        <v/>
      </c>
      <c r="D2523">
        <f>D2522-0.1*B2523+0</f>
        <v/>
      </c>
      <c r="E2523">
        <f>Parameters!$B$25</f>
        <v/>
      </c>
    </row>
    <row r="2524">
      <c r="A2524" t="n">
        <v>252.2</v>
      </c>
      <c r="B2524">
        <f>IF(A2524&gt;162.1,Parameters!$B$5,Parameters!$B$4)</f>
        <v/>
      </c>
      <c r="C2524">
        <f>C2523-0.1*B2524+0</f>
        <v/>
      </c>
      <c r="D2524">
        <f>D2523-0.1*B2524+0</f>
        <v/>
      </c>
      <c r="E2524">
        <f>Parameters!$B$25</f>
        <v/>
      </c>
    </row>
    <row r="2525">
      <c r="A2525" t="n">
        <v>252.3</v>
      </c>
      <c r="B2525">
        <f>IF(A2525&gt;162.1,Parameters!$B$5,Parameters!$B$4)</f>
        <v/>
      </c>
      <c r="C2525">
        <f>C2524-0.1*B2525+0</f>
        <v/>
      </c>
      <c r="D2525">
        <f>D2524-0.1*B2525+0</f>
        <v/>
      </c>
      <c r="E2525">
        <f>Parameters!$B$25</f>
        <v/>
      </c>
    </row>
    <row r="2526">
      <c r="A2526" t="n">
        <v>252.4</v>
      </c>
      <c r="B2526">
        <f>IF(A2526&gt;162.1,Parameters!$B$5,Parameters!$B$4)</f>
        <v/>
      </c>
      <c r="C2526">
        <f>C2525-0.1*B2526+0</f>
        <v/>
      </c>
      <c r="D2526">
        <f>D2525-0.1*B2526+0</f>
        <v/>
      </c>
      <c r="E2526">
        <f>Parameters!$B$25</f>
        <v/>
      </c>
    </row>
    <row r="2527">
      <c r="A2527" t="n">
        <v>252.5</v>
      </c>
      <c r="B2527">
        <f>IF(A2527&gt;162.1,Parameters!$B$5,Parameters!$B$4)</f>
        <v/>
      </c>
      <c r="C2527">
        <f>C2526-0.1*B2527+0</f>
        <v/>
      </c>
      <c r="D2527">
        <f>D2526-0.1*B2527+0</f>
        <v/>
      </c>
      <c r="E2527">
        <f>Parameters!$B$25</f>
        <v/>
      </c>
    </row>
    <row r="2528">
      <c r="A2528" t="n">
        <v>252.6</v>
      </c>
      <c r="B2528">
        <f>IF(A2528&gt;162.1,Parameters!$B$5,Parameters!$B$4)</f>
        <v/>
      </c>
      <c r="C2528">
        <f>C2527-0.1*B2528+0</f>
        <v/>
      </c>
      <c r="D2528">
        <f>D2527-0.1*B2528+0</f>
        <v/>
      </c>
      <c r="E2528">
        <f>Parameters!$B$25</f>
        <v/>
      </c>
    </row>
    <row r="2529">
      <c r="A2529" t="n">
        <v>252.7</v>
      </c>
      <c r="B2529">
        <f>IF(A2529&gt;162.1,Parameters!$B$5,Parameters!$B$4)</f>
        <v/>
      </c>
      <c r="C2529">
        <f>C2528-0.1*B2529+0</f>
        <v/>
      </c>
      <c r="D2529">
        <f>D2528-0.1*B2529+0</f>
        <v/>
      </c>
      <c r="E2529">
        <f>Parameters!$B$25</f>
        <v/>
      </c>
    </row>
    <row r="2530">
      <c r="A2530" t="n">
        <v>252.8</v>
      </c>
      <c r="B2530">
        <f>IF(A2530&gt;162.1,Parameters!$B$5,Parameters!$B$4)</f>
        <v/>
      </c>
      <c r="C2530">
        <f>C2529-0.1*B2530+0</f>
        <v/>
      </c>
      <c r="D2530">
        <f>D2529-0.1*B2530+0</f>
        <v/>
      </c>
      <c r="E2530">
        <f>Parameters!$B$25</f>
        <v/>
      </c>
    </row>
    <row r="2531">
      <c r="A2531" t="n">
        <v>252.9</v>
      </c>
      <c r="B2531">
        <f>IF(A2531&gt;162.1,Parameters!$B$5,Parameters!$B$4)</f>
        <v/>
      </c>
      <c r="C2531">
        <f>C2530-0.1*B2531+0</f>
        <v/>
      </c>
      <c r="D2531">
        <f>D2530-0.1*B2531+0</f>
        <v/>
      </c>
      <c r="E2531">
        <f>Parameters!$B$25</f>
        <v/>
      </c>
    </row>
    <row r="2532">
      <c r="A2532" t="n">
        <v>253</v>
      </c>
      <c r="B2532">
        <f>IF(A2532&gt;162.1,Parameters!$B$5,Parameters!$B$4)</f>
        <v/>
      </c>
      <c r="C2532">
        <f>C2531-0.1*B2532+0</f>
        <v/>
      </c>
      <c r="D2532">
        <f>D2531-0.1*B2532+0</f>
        <v/>
      </c>
      <c r="E2532">
        <f>Parameters!$B$25</f>
        <v/>
      </c>
    </row>
    <row r="2533">
      <c r="A2533" t="n">
        <v>253.1</v>
      </c>
      <c r="B2533">
        <f>IF(A2533&gt;162.1,Parameters!$B$5,Parameters!$B$4)</f>
        <v/>
      </c>
      <c r="C2533">
        <f>C2532-0.1*B2533+0</f>
        <v/>
      </c>
      <c r="D2533">
        <f>D2532-0.1*B2533+0</f>
        <v/>
      </c>
      <c r="E2533">
        <f>Parameters!$B$25</f>
        <v/>
      </c>
    </row>
    <row r="2534">
      <c r="A2534" t="n">
        <v>253.2</v>
      </c>
      <c r="B2534">
        <f>IF(A2534&gt;162.1,Parameters!$B$5,Parameters!$B$4)</f>
        <v/>
      </c>
      <c r="C2534">
        <f>C2533-0.1*B2534+0</f>
        <v/>
      </c>
      <c r="D2534">
        <f>D2533-0.1*B2534+0</f>
        <v/>
      </c>
      <c r="E2534">
        <f>Parameters!$B$25</f>
        <v/>
      </c>
    </row>
    <row r="2535">
      <c r="A2535" t="n">
        <v>253.3</v>
      </c>
      <c r="B2535">
        <f>IF(A2535&gt;162.1,Parameters!$B$5,Parameters!$B$4)</f>
        <v/>
      </c>
      <c r="C2535">
        <f>C2534-0.1*B2535+0</f>
        <v/>
      </c>
      <c r="D2535">
        <f>D2534-0.1*B2535+0</f>
        <v/>
      </c>
      <c r="E2535">
        <f>Parameters!$B$25</f>
        <v/>
      </c>
    </row>
    <row r="2536">
      <c r="A2536" t="n">
        <v>253.4</v>
      </c>
      <c r="B2536">
        <f>IF(A2536&gt;162.1,Parameters!$B$5,Parameters!$B$4)</f>
        <v/>
      </c>
      <c r="C2536">
        <f>C2535-0.1*B2536+0</f>
        <v/>
      </c>
      <c r="D2536">
        <f>D2535-0.1*B2536+0</f>
        <v/>
      </c>
      <c r="E2536">
        <f>Parameters!$B$25</f>
        <v/>
      </c>
    </row>
    <row r="2537">
      <c r="A2537" t="n">
        <v>253.5</v>
      </c>
      <c r="B2537">
        <f>IF(A2537&gt;162.1,Parameters!$B$5,Parameters!$B$4)</f>
        <v/>
      </c>
      <c r="C2537">
        <f>C2536-0.1*B2537+0</f>
        <v/>
      </c>
      <c r="D2537">
        <f>D2536-0.1*B2537+0</f>
        <v/>
      </c>
      <c r="E2537">
        <f>Parameters!$B$25</f>
        <v/>
      </c>
    </row>
    <row r="2538">
      <c r="A2538" t="n">
        <v>253.6</v>
      </c>
      <c r="B2538">
        <f>IF(A2538&gt;162.1,Parameters!$B$5,Parameters!$B$4)</f>
        <v/>
      </c>
      <c r="C2538">
        <f>C2537-0.1*B2538+0</f>
        <v/>
      </c>
      <c r="D2538">
        <f>D2537-0.1*B2538+0</f>
        <v/>
      </c>
      <c r="E2538">
        <f>Parameters!$B$25</f>
        <v/>
      </c>
    </row>
    <row r="2539">
      <c r="A2539" t="n">
        <v>253.7</v>
      </c>
      <c r="B2539">
        <f>IF(A2539&gt;162.1,Parameters!$B$5,Parameters!$B$4)</f>
        <v/>
      </c>
      <c r="C2539">
        <f>C2538-0.1*B2539+0</f>
        <v/>
      </c>
      <c r="D2539">
        <f>D2538-0.1*B2539+0</f>
        <v/>
      </c>
      <c r="E2539">
        <f>Parameters!$B$25</f>
        <v/>
      </c>
    </row>
    <row r="2540">
      <c r="A2540" t="n">
        <v>253.8</v>
      </c>
      <c r="B2540">
        <f>IF(A2540&gt;162.1,Parameters!$B$5,Parameters!$B$4)</f>
        <v/>
      </c>
      <c r="C2540">
        <f>C2539-0.1*B2540+0</f>
        <v/>
      </c>
      <c r="D2540">
        <f>D2539-0.1*B2540+0</f>
        <v/>
      </c>
      <c r="E2540">
        <f>Parameters!$B$25</f>
        <v/>
      </c>
    </row>
    <row r="2541">
      <c r="A2541" t="n">
        <v>253.9</v>
      </c>
      <c r="B2541">
        <f>IF(A2541&gt;162.1,Parameters!$B$5,Parameters!$B$4)</f>
        <v/>
      </c>
      <c r="C2541">
        <f>C2540-0.1*B2541+0</f>
        <v/>
      </c>
      <c r="D2541">
        <f>D2540-0.1*B2541+0</f>
        <v/>
      </c>
      <c r="E2541">
        <f>Parameters!$B$25</f>
        <v/>
      </c>
    </row>
    <row r="2542">
      <c r="A2542" t="n">
        <v>254</v>
      </c>
      <c r="B2542">
        <f>IF(A2542&gt;162.1,Parameters!$B$5,Parameters!$B$4)</f>
        <v/>
      </c>
      <c r="C2542">
        <f>C2541-0.1*B2542+0</f>
        <v/>
      </c>
      <c r="D2542">
        <f>D2541-0.1*B2542+0</f>
        <v/>
      </c>
      <c r="E2542">
        <f>Parameters!$B$25</f>
        <v/>
      </c>
    </row>
    <row r="2543">
      <c r="A2543" t="n">
        <v>254.1</v>
      </c>
      <c r="B2543">
        <f>IF(A2543&gt;162.1,Parameters!$B$5,Parameters!$B$4)</f>
        <v/>
      </c>
      <c r="C2543">
        <f>C2542-0.1*B2543+0</f>
        <v/>
      </c>
      <c r="D2543">
        <f>D2542-0.1*B2543+0</f>
        <v/>
      </c>
      <c r="E2543">
        <f>Parameters!$B$25</f>
        <v/>
      </c>
    </row>
    <row r="2544">
      <c r="A2544" t="n">
        <v>254.2</v>
      </c>
      <c r="B2544">
        <f>IF(A2544&gt;162.1,Parameters!$B$5,Parameters!$B$4)</f>
        <v/>
      </c>
      <c r="C2544">
        <f>C2543-0.1*B2544+0</f>
        <v/>
      </c>
      <c r="D2544">
        <f>D2543-0.1*B2544+0</f>
        <v/>
      </c>
      <c r="E2544">
        <f>Parameters!$B$25</f>
        <v/>
      </c>
    </row>
    <row r="2545">
      <c r="A2545" t="n">
        <v>254.3</v>
      </c>
      <c r="B2545">
        <f>IF(A2545&gt;162.1,Parameters!$B$5,Parameters!$B$4)</f>
        <v/>
      </c>
      <c r="C2545">
        <f>C2544-0.1*B2545+0</f>
        <v/>
      </c>
      <c r="D2545">
        <f>D2544-0.1*B2545+0</f>
        <v/>
      </c>
      <c r="E2545">
        <f>Parameters!$B$25</f>
        <v/>
      </c>
    </row>
    <row r="2546">
      <c r="A2546" t="n">
        <v>254.4</v>
      </c>
      <c r="B2546">
        <f>IF(A2546&gt;162.1,Parameters!$B$5,Parameters!$B$4)</f>
        <v/>
      </c>
      <c r="C2546">
        <f>C2545-0.1*B2546+0</f>
        <v/>
      </c>
      <c r="D2546">
        <f>D2545-0.1*B2546+0</f>
        <v/>
      </c>
      <c r="E2546">
        <f>Parameters!$B$25</f>
        <v/>
      </c>
    </row>
    <row r="2547">
      <c r="A2547" t="n">
        <v>254.5</v>
      </c>
      <c r="B2547">
        <f>IF(A2547&gt;162.1,Parameters!$B$5,Parameters!$B$4)</f>
        <v/>
      </c>
      <c r="C2547">
        <f>C2546-0.1*B2547+0</f>
        <v/>
      </c>
      <c r="D2547">
        <f>D2546-0.1*B2547+0</f>
        <v/>
      </c>
      <c r="E2547">
        <f>Parameters!$B$25</f>
        <v/>
      </c>
    </row>
    <row r="2548">
      <c r="A2548" t="n">
        <v>254.6</v>
      </c>
      <c r="B2548">
        <f>IF(A2548&gt;162.1,Parameters!$B$5,Parameters!$B$4)</f>
        <v/>
      </c>
      <c r="C2548">
        <f>C2547-0.1*B2548+0</f>
        <v/>
      </c>
      <c r="D2548">
        <f>D2547-0.1*B2548+0</f>
        <v/>
      </c>
      <c r="E2548">
        <f>Parameters!$B$25</f>
        <v/>
      </c>
    </row>
    <row r="2549">
      <c r="A2549" t="n">
        <v>254.7</v>
      </c>
      <c r="B2549">
        <f>IF(A2549&gt;162.1,Parameters!$B$5,Parameters!$B$4)</f>
        <v/>
      </c>
      <c r="C2549">
        <f>C2548-0.1*B2549+0</f>
        <v/>
      </c>
      <c r="D2549">
        <f>D2548-0.1*B2549+0</f>
        <v/>
      </c>
      <c r="E2549">
        <f>Parameters!$B$25</f>
        <v/>
      </c>
    </row>
    <row r="2550">
      <c r="A2550" t="n">
        <v>254.8</v>
      </c>
      <c r="B2550">
        <f>IF(A2550&gt;162.1,Parameters!$B$5,Parameters!$B$4)</f>
        <v/>
      </c>
      <c r="C2550">
        <f>C2549-0.1*B2550+0</f>
        <v/>
      </c>
      <c r="D2550">
        <f>D2549-0.1*B2550+0</f>
        <v/>
      </c>
      <c r="E2550">
        <f>Parameters!$B$25</f>
        <v/>
      </c>
    </row>
    <row r="2551">
      <c r="A2551" t="n">
        <v>254.9</v>
      </c>
      <c r="B2551">
        <f>IF(A2551&gt;162.1,Parameters!$B$5,Parameters!$B$4)</f>
        <v/>
      </c>
      <c r="C2551">
        <f>C2550-0.1*B2551+0</f>
        <v/>
      </c>
      <c r="D2551">
        <f>D2550-0.1*B2551+0</f>
        <v/>
      </c>
      <c r="E2551">
        <f>Parameters!$B$25</f>
        <v/>
      </c>
    </row>
    <row r="2552">
      <c r="A2552" t="n">
        <v>255</v>
      </c>
      <c r="B2552">
        <f>IF(A2552&gt;162.1,Parameters!$B$5,Parameters!$B$4)</f>
        <v/>
      </c>
      <c r="C2552">
        <f>C2551-0.1*B2552+0</f>
        <v/>
      </c>
      <c r="D2552">
        <f>D2551-0.1*B2552+0</f>
        <v/>
      </c>
      <c r="E2552">
        <f>Parameters!$B$25</f>
        <v/>
      </c>
    </row>
    <row r="2553">
      <c r="A2553" t="n">
        <v>255.1</v>
      </c>
      <c r="B2553">
        <f>IF(A2553&gt;162.1,Parameters!$B$5,Parameters!$B$4)</f>
        <v/>
      </c>
      <c r="C2553">
        <f>C2552-0.1*B2553+0</f>
        <v/>
      </c>
      <c r="D2553">
        <f>D2552-0.1*B2553+0</f>
        <v/>
      </c>
      <c r="E2553">
        <f>Parameters!$B$25</f>
        <v/>
      </c>
    </row>
    <row r="2554">
      <c r="A2554" t="n">
        <v>255.2</v>
      </c>
      <c r="B2554">
        <f>IF(A2554&gt;162.1,Parameters!$B$5,Parameters!$B$4)</f>
        <v/>
      </c>
      <c r="C2554">
        <f>C2553-0.1*B2554+0</f>
        <v/>
      </c>
      <c r="D2554">
        <f>D2553-0.1*B2554+0</f>
        <v/>
      </c>
      <c r="E2554">
        <f>Parameters!$B$25</f>
        <v/>
      </c>
    </row>
    <row r="2555">
      <c r="A2555" t="n">
        <v>255.3</v>
      </c>
      <c r="B2555">
        <f>IF(A2555&gt;162.1,Parameters!$B$5,Parameters!$B$4)</f>
        <v/>
      </c>
      <c r="C2555">
        <f>C2554-0.1*B2555+0</f>
        <v/>
      </c>
      <c r="D2555">
        <f>D2554-0.1*B2555+0</f>
        <v/>
      </c>
      <c r="E2555">
        <f>Parameters!$B$25</f>
        <v/>
      </c>
    </row>
    <row r="2556">
      <c r="A2556" t="n">
        <v>255.4</v>
      </c>
      <c r="B2556">
        <f>IF(A2556&gt;162.1,Parameters!$B$5,Parameters!$B$4)</f>
        <v/>
      </c>
      <c r="C2556">
        <f>C2555-0.1*B2556+0</f>
        <v/>
      </c>
      <c r="D2556">
        <f>D2555-0.1*B2556+0</f>
        <v/>
      </c>
      <c r="E2556">
        <f>Parameters!$B$25</f>
        <v/>
      </c>
    </row>
    <row r="2557">
      <c r="A2557" t="n">
        <v>255.5</v>
      </c>
      <c r="B2557">
        <f>IF(A2557&gt;162.1,Parameters!$B$5,Parameters!$B$4)</f>
        <v/>
      </c>
      <c r="C2557">
        <f>C2556-0.1*B2557+0</f>
        <v/>
      </c>
      <c r="D2557">
        <f>D2556-0.1*B2557+0</f>
        <v/>
      </c>
      <c r="E2557">
        <f>Parameters!$B$25</f>
        <v/>
      </c>
    </row>
    <row r="2558">
      <c r="A2558" t="n">
        <v>255.6</v>
      </c>
      <c r="B2558">
        <f>IF(A2558&gt;162.1,Parameters!$B$5,Parameters!$B$4)</f>
        <v/>
      </c>
      <c r="C2558">
        <f>C2557-0.1*B2558+0</f>
        <v/>
      </c>
      <c r="D2558">
        <f>D2557-0.1*B2558+0</f>
        <v/>
      </c>
      <c r="E2558">
        <f>Parameters!$B$25</f>
        <v/>
      </c>
    </row>
    <row r="2559">
      <c r="A2559" t="n">
        <v>255.7</v>
      </c>
      <c r="B2559">
        <f>IF(A2559&gt;162.1,Parameters!$B$5,Parameters!$B$4)</f>
        <v/>
      </c>
      <c r="C2559">
        <f>C2558-0.1*B2559+0</f>
        <v/>
      </c>
      <c r="D2559">
        <f>D2558-0.1*B2559+0</f>
        <v/>
      </c>
      <c r="E2559">
        <f>Parameters!$B$25</f>
        <v/>
      </c>
    </row>
    <row r="2560">
      <c r="A2560" t="n">
        <v>255.8</v>
      </c>
      <c r="B2560">
        <f>IF(A2560&gt;162.1,Parameters!$B$5,Parameters!$B$4)</f>
        <v/>
      </c>
      <c r="C2560">
        <f>C2559-0.1*B2560+0</f>
        <v/>
      </c>
      <c r="D2560">
        <f>D2559-0.1*B2560+0</f>
        <v/>
      </c>
      <c r="E2560">
        <f>Parameters!$B$25</f>
        <v/>
      </c>
    </row>
    <row r="2561">
      <c r="A2561" t="n">
        <v>255.9</v>
      </c>
      <c r="B2561">
        <f>IF(A2561&gt;162.1,Parameters!$B$5,Parameters!$B$4)</f>
        <v/>
      </c>
      <c r="C2561">
        <f>C2560-0.1*B2561+0</f>
        <v/>
      </c>
      <c r="D2561">
        <f>D2560-0.1*B2561+0</f>
        <v/>
      </c>
      <c r="E2561">
        <f>Parameters!$B$25</f>
        <v/>
      </c>
    </row>
    <row r="2562">
      <c r="A2562" t="n">
        <v>256</v>
      </c>
      <c r="B2562">
        <f>IF(A2562&gt;162.1,Parameters!$B$5,Parameters!$B$4)</f>
        <v/>
      </c>
      <c r="C2562">
        <f>C2561-0.1*B2562+0</f>
        <v/>
      </c>
      <c r="D2562">
        <f>D2561-0.1*B2562+0</f>
        <v/>
      </c>
      <c r="E2562">
        <f>Parameters!$B$25</f>
        <v/>
      </c>
    </row>
    <row r="2563">
      <c r="A2563" t="n">
        <v>256.1</v>
      </c>
      <c r="B2563">
        <f>IF(A2563&gt;162.1,Parameters!$B$5,Parameters!$B$4)</f>
        <v/>
      </c>
      <c r="C2563">
        <f>C2562-0.1*B2563+0</f>
        <v/>
      </c>
      <c r="D2563">
        <f>D2562-0.1*B2563+0</f>
        <v/>
      </c>
      <c r="E2563">
        <f>Parameters!$B$25</f>
        <v/>
      </c>
    </row>
    <row r="2564">
      <c r="A2564" t="n">
        <v>256.2</v>
      </c>
      <c r="B2564">
        <f>IF(A2564&gt;162.1,Parameters!$B$5,Parameters!$B$4)</f>
        <v/>
      </c>
      <c r="C2564">
        <f>C2563-0.1*B2564+0</f>
        <v/>
      </c>
      <c r="D2564">
        <f>D2563-0.1*B2564+0</f>
        <v/>
      </c>
      <c r="E2564">
        <f>Parameters!$B$25</f>
        <v/>
      </c>
    </row>
    <row r="2565">
      <c r="A2565" t="n">
        <v>256.3</v>
      </c>
      <c r="B2565">
        <f>IF(A2565&gt;162.1,Parameters!$B$5,Parameters!$B$4)</f>
        <v/>
      </c>
      <c r="C2565">
        <f>C2564-0.1*B2565+0</f>
        <v/>
      </c>
      <c r="D2565">
        <f>D2564-0.1*B2565+0</f>
        <v/>
      </c>
      <c r="E2565">
        <f>Parameters!$B$25</f>
        <v/>
      </c>
    </row>
    <row r="2566">
      <c r="A2566" t="n">
        <v>256.4</v>
      </c>
      <c r="B2566">
        <f>IF(A2566&gt;162.1,Parameters!$B$5,Parameters!$B$4)</f>
        <v/>
      </c>
      <c r="C2566">
        <f>C2565-0.1*B2566+0</f>
        <v/>
      </c>
      <c r="D2566">
        <f>D2565-0.1*B2566+0</f>
        <v/>
      </c>
      <c r="E2566">
        <f>Parameters!$B$25</f>
        <v/>
      </c>
    </row>
    <row r="2567">
      <c r="A2567" t="n">
        <v>256.5</v>
      </c>
      <c r="B2567">
        <f>IF(A2567&gt;162.1,Parameters!$B$5,Parameters!$B$4)</f>
        <v/>
      </c>
      <c r="C2567">
        <f>C2566-0.1*B2567+0</f>
        <v/>
      </c>
      <c r="D2567">
        <f>D2566-0.1*B2567+0</f>
        <v/>
      </c>
      <c r="E2567">
        <f>Parameters!$B$25</f>
        <v/>
      </c>
    </row>
    <row r="2568">
      <c r="A2568" t="n">
        <v>256.6</v>
      </c>
      <c r="B2568">
        <f>IF(A2568&gt;162.1,Parameters!$B$5,Parameters!$B$4)</f>
        <v/>
      </c>
      <c r="C2568">
        <f>C2567-0.1*B2568+0</f>
        <v/>
      </c>
      <c r="D2568">
        <f>D2567-0.1*B2568+0</f>
        <v/>
      </c>
      <c r="E2568">
        <f>Parameters!$B$25</f>
        <v/>
      </c>
    </row>
    <row r="2569">
      <c r="A2569" t="n">
        <v>256.7</v>
      </c>
      <c r="B2569">
        <f>IF(A2569&gt;162.1,Parameters!$B$5,Parameters!$B$4)</f>
        <v/>
      </c>
      <c r="C2569">
        <f>C2568-0.1*B2569+0</f>
        <v/>
      </c>
      <c r="D2569">
        <f>D2568-0.1*B2569+0</f>
        <v/>
      </c>
      <c r="E2569">
        <f>Parameters!$B$25</f>
        <v/>
      </c>
    </row>
    <row r="2570">
      <c r="A2570" t="n">
        <v>256.8</v>
      </c>
      <c r="B2570">
        <f>IF(A2570&gt;162.1,Parameters!$B$5,Parameters!$B$4)</f>
        <v/>
      </c>
      <c r="C2570">
        <f>C2569-0.1*B2570+0</f>
        <v/>
      </c>
      <c r="D2570">
        <f>D2569-0.1*B2570+0</f>
        <v/>
      </c>
      <c r="E2570">
        <f>Parameters!$B$25</f>
        <v/>
      </c>
    </row>
    <row r="2571">
      <c r="A2571" t="n">
        <v>256.9</v>
      </c>
      <c r="B2571">
        <f>IF(A2571&gt;162.1,Parameters!$B$5,Parameters!$B$4)</f>
        <v/>
      </c>
      <c r="C2571">
        <f>C2570-0.1*B2571+0</f>
        <v/>
      </c>
      <c r="D2571">
        <f>D2570-0.1*B2571+0</f>
        <v/>
      </c>
      <c r="E2571">
        <f>Parameters!$B$25</f>
        <v/>
      </c>
    </row>
    <row r="2572">
      <c r="A2572" t="n">
        <v>257</v>
      </c>
      <c r="B2572">
        <f>IF(A2572&gt;162.1,Parameters!$B$5,Parameters!$B$4)</f>
        <v/>
      </c>
      <c r="C2572">
        <f>C2571-0.1*B2572+0</f>
        <v/>
      </c>
      <c r="D2572">
        <f>D2571-0.1*B2572+0</f>
        <v/>
      </c>
      <c r="E2572">
        <f>Parameters!$B$25</f>
        <v/>
      </c>
    </row>
    <row r="2573">
      <c r="A2573" t="n">
        <v>257.1</v>
      </c>
      <c r="B2573">
        <f>IF(A2573&gt;162.1,Parameters!$B$5,Parameters!$B$4)</f>
        <v/>
      </c>
      <c r="C2573">
        <f>C2572-0.1*B2573+0</f>
        <v/>
      </c>
      <c r="D2573">
        <f>D2572-0.1*B2573+0</f>
        <v/>
      </c>
      <c r="E2573">
        <f>Parameters!$B$25</f>
        <v/>
      </c>
    </row>
    <row r="2574">
      <c r="A2574" t="n">
        <v>257.2</v>
      </c>
      <c r="B2574">
        <f>IF(A2574&gt;162.1,Parameters!$B$5,Parameters!$B$4)</f>
        <v/>
      </c>
      <c r="C2574">
        <f>C2573-0.1*B2574+0</f>
        <v/>
      </c>
      <c r="D2574">
        <f>D2573-0.1*B2574+0</f>
        <v/>
      </c>
      <c r="E2574">
        <f>Parameters!$B$25</f>
        <v/>
      </c>
    </row>
    <row r="2575">
      <c r="A2575" t="n">
        <v>257.3</v>
      </c>
      <c r="B2575">
        <f>IF(A2575&gt;162.1,Parameters!$B$5,Parameters!$B$4)</f>
        <v/>
      </c>
      <c r="C2575">
        <f>C2574-0.1*B2575+0</f>
        <v/>
      </c>
      <c r="D2575">
        <f>D2574-0.1*B2575+0</f>
        <v/>
      </c>
      <c r="E2575">
        <f>Parameters!$B$25</f>
        <v/>
      </c>
    </row>
    <row r="2576">
      <c r="A2576" t="n">
        <v>257.4</v>
      </c>
      <c r="B2576">
        <f>IF(A2576&gt;162.1,Parameters!$B$5,Parameters!$B$4)</f>
        <v/>
      </c>
      <c r="C2576">
        <f>C2575-0.1*B2576+0</f>
        <v/>
      </c>
      <c r="D2576">
        <f>D2575-0.1*B2576+0</f>
        <v/>
      </c>
      <c r="E2576">
        <f>Parameters!$B$25</f>
        <v/>
      </c>
    </row>
    <row r="2577">
      <c r="A2577" t="n">
        <v>257.5</v>
      </c>
      <c r="B2577">
        <f>IF(A2577&gt;162.1,Parameters!$B$5,Parameters!$B$4)</f>
        <v/>
      </c>
      <c r="C2577">
        <f>C2576-0.1*B2577+0</f>
        <v/>
      </c>
      <c r="D2577">
        <f>D2576-0.1*B2577+0</f>
        <v/>
      </c>
      <c r="E2577">
        <f>Parameters!$B$25</f>
        <v/>
      </c>
    </row>
    <row r="2578">
      <c r="A2578" t="n">
        <v>257.6</v>
      </c>
      <c r="B2578">
        <f>IF(A2578&gt;162.1,Parameters!$B$5,Parameters!$B$4)</f>
        <v/>
      </c>
      <c r="C2578">
        <f>C2577-0.1*B2578+0</f>
        <v/>
      </c>
      <c r="D2578">
        <f>D2577-0.1*B2578+0</f>
        <v/>
      </c>
      <c r="E2578">
        <f>Parameters!$B$25</f>
        <v/>
      </c>
    </row>
    <row r="2579">
      <c r="A2579" t="n">
        <v>257.7</v>
      </c>
      <c r="B2579">
        <f>IF(A2579&gt;162.1,Parameters!$B$5,Parameters!$B$4)</f>
        <v/>
      </c>
      <c r="C2579">
        <f>C2578-0.1*B2579+0</f>
        <v/>
      </c>
      <c r="D2579">
        <f>D2578-0.1*B2579+0</f>
        <v/>
      </c>
      <c r="E2579">
        <f>Parameters!$B$25</f>
        <v/>
      </c>
    </row>
    <row r="2580">
      <c r="A2580" t="n">
        <v>257.8</v>
      </c>
      <c r="B2580">
        <f>IF(A2580&gt;162.1,Parameters!$B$5,Parameters!$B$4)</f>
        <v/>
      </c>
      <c r="C2580">
        <f>C2579-0.1*B2580+0</f>
        <v/>
      </c>
      <c r="D2580">
        <f>D2579-0.1*B2580+0</f>
        <v/>
      </c>
      <c r="E2580">
        <f>Parameters!$B$25</f>
        <v/>
      </c>
    </row>
    <row r="2581">
      <c r="A2581" t="n">
        <v>257.9</v>
      </c>
      <c r="B2581">
        <f>IF(A2581&gt;162.1,Parameters!$B$5,Parameters!$B$4)</f>
        <v/>
      </c>
      <c r="C2581">
        <f>C2580-0.1*B2581+0</f>
        <v/>
      </c>
      <c r="D2581">
        <f>D2580-0.1*B2581+0</f>
        <v/>
      </c>
      <c r="E2581">
        <f>Parameters!$B$25</f>
        <v/>
      </c>
    </row>
    <row r="2582">
      <c r="A2582" t="n">
        <v>258</v>
      </c>
      <c r="B2582">
        <f>IF(A2582&gt;162.1,Parameters!$B$5,Parameters!$B$4)</f>
        <v/>
      </c>
      <c r="C2582">
        <f>C2581-0.1*B2582+0</f>
        <v/>
      </c>
      <c r="D2582">
        <f>D2581-0.1*B2582+0</f>
        <v/>
      </c>
      <c r="E2582">
        <f>Parameters!$B$25</f>
        <v/>
      </c>
    </row>
    <row r="2583">
      <c r="A2583" t="n">
        <v>258.1</v>
      </c>
      <c r="B2583">
        <f>IF(A2583&gt;162.1,Parameters!$B$5,Parameters!$B$4)</f>
        <v/>
      </c>
      <c r="C2583">
        <f>C2582-0.1*B2583+0</f>
        <v/>
      </c>
      <c r="D2583">
        <f>D2582-0.1*B2583+0</f>
        <v/>
      </c>
      <c r="E2583">
        <f>Parameters!$B$25</f>
        <v/>
      </c>
    </row>
    <row r="2584">
      <c r="A2584" t="n">
        <v>258.2</v>
      </c>
      <c r="B2584">
        <f>IF(A2584&gt;162.1,Parameters!$B$5,Parameters!$B$4)</f>
        <v/>
      </c>
      <c r="C2584">
        <f>C2583-0.1*B2584+0</f>
        <v/>
      </c>
      <c r="D2584">
        <f>D2583-0.1*B2584+0</f>
        <v/>
      </c>
      <c r="E2584">
        <f>Parameters!$B$25</f>
        <v/>
      </c>
    </row>
    <row r="2585">
      <c r="A2585" t="n">
        <v>258.3</v>
      </c>
      <c r="B2585">
        <f>IF(A2585&gt;162.1,Parameters!$B$5,Parameters!$B$4)</f>
        <v/>
      </c>
      <c r="C2585">
        <f>C2584-0.1*B2585+0</f>
        <v/>
      </c>
      <c r="D2585">
        <f>D2584-0.1*B2585+0</f>
        <v/>
      </c>
      <c r="E2585">
        <f>Parameters!$B$25</f>
        <v/>
      </c>
    </row>
    <row r="2586">
      <c r="A2586" t="n">
        <v>258.4</v>
      </c>
      <c r="B2586">
        <f>IF(A2586&gt;162.1,Parameters!$B$5,Parameters!$B$4)</f>
        <v/>
      </c>
      <c r="C2586">
        <f>C2585-0.1*B2586+0</f>
        <v/>
      </c>
      <c r="D2586">
        <f>D2585-0.1*B2586+0</f>
        <v/>
      </c>
      <c r="E2586">
        <f>Parameters!$B$25</f>
        <v/>
      </c>
    </row>
    <row r="2587">
      <c r="A2587" t="n">
        <v>258.5</v>
      </c>
      <c r="B2587">
        <f>IF(A2587&gt;162.1,Parameters!$B$5,Parameters!$B$4)</f>
        <v/>
      </c>
      <c r="C2587">
        <f>C2586-0.1*B2587+0</f>
        <v/>
      </c>
      <c r="D2587">
        <f>D2586-0.1*B2587+0</f>
        <v/>
      </c>
      <c r="E2587">
        <f>Parameters!$B$25</f>
        <v/>
      </c>
    </row>
    <row r="2588">
      <c r="A2588" t="n">
        <v>258.6</v>
      </c>
      <c r="B2588">
        <f>IF(A2588&gt;162.1,Parameters!$B$5,Parameters!$B$4)</f>
        <v/>
      </c>
      <c r="C2588">
        <f>C2587-0.1*B2588+0</f>
        <v/>
      </c>
      <c r="D2588">
        <f>D2587-0.1*B2588+0</f>
        <v/>
      </c>
      <c r="E2588">
        <f>Parameters!$B$25</f>
        <v/>
      </c>
    </row>
    <row r="2589">
      <c r="A2589" t="n">
        <v>258.7</v>
      </c>
      <c r="B2589">
        <f>IF(A2589&gt;162.1,Parameters!$B$5,Parameters!$B$4)</f>
        <v/>
      </c>
      <c r="C2589">
        <f>C2588-0.1*B2589+0</f>
        <v/>
      </c>
      <c r="D2589">
        <f>D2588-0.1*B2589+0</f>
        <v/>
      </c>
      <c r="E2589">
        <f>Parameters!$B$25</f>
        <v/>
      </c>
    </row>
    <row r="2590">
      <c r="A2590" t="n">
        <v>258.8</v>
      </c>
      <c r="B2590">
        <f>IF(A2590&gt;162.1,Parameters!$B$5,Parameters!$B$4)</f>
        <v/>
      </c>
      <c r="C2590">
        <f>C2589-0.1*B2590+0</f>
        <v/>
      </c>
      <c r="D2590">
        <f>D2589-0.1*B2590+0</f>
        <v/>
      </c>
      <c r="E2590">
        <f>Parameters!$B$25</f>
        <v/>
      </c>
    </row>
    <row r="2591">
      <c r="A2591" t="n">
        <v>258.9</v>
      </c>
      <c r="B2591">
        <f>IF(A2591&gt;162.1,Parameters!$B$5,Parameters!$B$4)</f>
        <v/>
      </c>
      <c r="C2591">
        <f>C2590-0.1*B2591+0</f>
        <v/>
      </c>
      <c r="D2591">
        <f>D2590-0.1*B2591+0</f>
        <v/>
      </c>
      <c r="E2591">
        <f>Parameters!$B$25</f>
        <v/>
      </c>
    </row>
    <row r="2592">
      <c r="A2592" t="n">
        <v>259</v>
      </c>
      <c r="B2592">
        <f>IF(A2592&gt;162.1,Parameters!$B$5,Parameters!$B$4)</f>
        <v/>
      </c>
      <c r="C2592">
        <f>C2591-0.1*B2592+0</f>
        <v/>
      </c>
      <c r="D2592">
        <f>D2591-0.1*B2592+0</f>
        <v/>
      </c>
      <c r="E2592">
        <f>Parameters!$B$25</f>
        <v/>
      </c>
    </row>
    <row r="2593">
      <c r="A2593" t="n">
        <v>259.1</v>
      </c>
      <c r="B2593">
        <f>IF(A2593&gt;162.1,Parameters!$B$5,Parameters!$B$4)</f>
        <v/>
      </c>
      <c r="C2593">
        <f>C2592-0.1*B2593+0</f>
        <v/>
      </c>
      <c r="D2593">
        <f>D2592-0.1*B2593+0</f>
        <v/>
      </c>
      <c r="E2593">
        <f>Parameters!$B$25</f>
        <v/>
      </c>
    </row>
    <row r="2594">
      <c r="A2594" t="n">
        <v>259.2</v>
      </c>
      <c r="B2594">
        <f>IF(A2594&gt;162.1,Parameters!$B$5,Parameters!$B$4)</f>
        <v/>
      </c>
      <c r="C2594">
        <f>C2593-0.1*B2594+0</f>
        <v/>
      </c>
      <c r="D2594">
        <f>D2593-0.1*B2594+0</f>
        <v/>
      </c>
      <c r="E2594">
        <f>Parameters!$B$25</f>
        <v/>
      </c>
    </row>
    <row r="2595">
      <c r="A2595" t="n">
        <v>259.3</v>
      </c>
      <c r="B2595">
        <f>IF(A2595&gt;162.1,Parameters!$B$5,Parameters!$B$4)</f>
        <v/>
      </c>
      <c r="C2595">
        <f>C2594-0.1*B2595+0</f>
        <v/>
      </c>
      <c r="D2595">
        <f>D2594-0.1*B2595+0</f>
        <v/>
      </c>
      <c r="E2595">
        <f>Parameters!$B$25</f>
        <v/>
      </c>
    </row>
    <row r="2596">
      <c r="A2596" t="n">
        <v>259.4</v>
      </c>
      <c r="B2596">
        <f>IF(A2596&gt;162.1,Parameters!$B$5,Parameters!$B$4)</f>
        <v/>
      </c>
      <c r="C2596">
        <f>C2595-0.1*B2596+0</f>
        <v/>
      </c>
      <c r="D2596">
        <f>D2595-0.1*B2596+0</f>
        <v/>
      </c>
      <c r="E2596">
        <f>Parameters!$B$25</f>
        <v/>
      </c>
    </row>
    <row r="2597">
      <c r="A2597" t="n">
        <v>259.5</v>
      </c>
      <c r="B2597">
        <f>IF(A2597&gt;162.1,Parameters!$B$5,Parameters!$B$4)</f>
        <v/>
      </c>
      <c r="C2597">
        <f>C2596-0.1*B2597+0</f>
        <v/>
      </c>
      <c r="D2597">
        <f>D2596-0.1*B2597+0</f>
        <v/>
      </c>
      <c r="E2597">
        <f>Parameters!$B$25</f>
        <v/>
      </c>
    </row>
    <row r="2598">
      <c r="A2598" t="n">
        <v>259.6</v>
      </c>
      <c r="B2598">
        <f>IF(A2598&gt;162.1,Parameters!$B$5,Parameters!$B$4)</f>
        <v/>
      </c>
      <c r="C2598">
        <f>C2597-0.1*B2598+0</f>
        <v/>
      </c>
      <c r="D2598">
        <f>D2597-0.1*B2598+0</f>
        <v/>
      </c>
      <c r="E2598">
        <f>Parameters!$B$25</f>
        <v/>
      </c>
    </row>
    <row r="2599">
      <c r="A2599" t="n">
        <v>259.7</v>
      </c>
      <c r="B2599">
        <f>IF(A2599&gt;162.1,Parameters!$B$5,Parameters!$B$4)</f>
        <v/>
      </c>
      <c r="C2599">
        <f>C2598-0.1*B2599+0</f>
        <v/>
      </c>
      <c r="D2599">
        <f>D2598-0.1*B2599+0</f>
        <v/>
      </c>
      <c r="E2599">
        <f>Parameters!$B$25</f>
        <v/>
      </c>
    </row>
    <row r="2600">
      <c r="A2600" t="n">
        <v>259.8</v>
      </c>
      <c r="B2600">
        <f>IF(A2600&gt;162.1,Parameters!$B$5,Parameters!$B$4)</f>
        <v/>
      </c>
      <c r="C2600">
        <f>C2599-0.1*B2600+0</f>
        <v/>
      </c>
      <c r="D2600">
        <f>D2599-0.1*B2600+0</f>
        <v/>
      </c>
      <c r="E2600">
        <f>Parameters!$B$25</f>
        <v/>
      </c>
    </row>
    <row r="2601">
      <c r="A2601" t="n">
        <v>259.9</v>
      </c>
      <c r="B2601">
        <f>IF(A2601&gt;162.1,Parameters!$B$5,Parameters!$B$4)</f>
        <v/>
      </c>
      <c r="C2601">
        <f>C2600-0.1*B2601+0</f>
        <v/>
      </c>
      <c r="D2601">
        <f>D2600-0.1*B2601+0</f>
        <v/>
      </c>
      <c r="E2601">
        <f>Parameters!$B$25</f>
        <v/>
      </c>
    </row>
    <row r="2602">
      <c r="A2602" t="n">
        <v>260</v>
      </c>
      <c r="B2602">
        <f>IF(A2602&gt;162.1,Parameters!$B$5,Parameters!$B$4)</f>
        <v/>
      </c>
      <c r="C2602">
        <f>C2601-0.1*B2602+0</f>
        <v/>
      </c>
      <c r="D2602">
        <f>D2601-0.1*B2602+0</f>
        <v/>
      </c>
      <c r="E2602">
        <f>Parameters!$B$25</f>
        <v/>
      </c>
    </row>
    <row r="2603">
      <c r="A2603" t="n">
        <v>260.1</v>
      </c>
      <c r="B2603">
        <f>IF(A2603&gt;162.1,Parameters!$B$5,Parameters!$B$4)</f>
        <v/>
      </c>
      <c r="C2603">
        <f>C2602-0.1*B2603+0</f>
        <v/>
      </c>
      <c r="D2603">
        <f>D2602-0.1*B2603+0</f>
        <v/>
      </c>
      <c r="E2603">
        <f>Parameters!$B$25</f>
        <v/>
      </c>
    </row>
    <row r="2604">
      <c r="A2604" t="n">
        <v>260.2</v>
      </c>
      <c r="B2604">
        <f>IF(A2604&gt;162.1,Parameters!$B$5,Parameters!$B$4)</f>
        <v/>
      </c>
      <c r="C2604">
        <f>C2603-0.1*B2604+0</f>
        <v/>
      </c>
      <c r="D2604">
        <f>D2603-0.1*B2604+0</f>
        <v/>
      </c>
      <c r="E2604">
        <f>Parameters!$B$25</f>
        <v/>
      </c>
    </row>
    <row r="2605">
      <c r="A2605" t="n">
        <v>260.3</v>
      </c>
      <c r="B2605">
        <f>IF(A2605&gt;162.1,Parameters!$B$5,Parameters!$B$4)</f>
        <v/>
      </c>
      <c r="C2605">
        <f>C2604-0.1*B2605+0</f>
        <v/>
      </c>
      <c r="D2605">
        <f>D2604-0.1*B2605+0</f>
        <v/>
      </c>
      <c r="E2605">
        <f>Parameters!$B$25</f>
        <v/>
      </c>
    </row>
    <row r="2606">
      <c r="A2606" t="n">
        <v>260.4</v>
      </c>
      <c r="B2606">
        <f>IF(A2606&gt;162.1,Parameters!$B$5,Parameters!$B$4)</f>
        <v/>
      </c>
      <c r="C2606">
        <f>C2605-0.1*B2606+0</f>
        <v/>
      </c>
      <c r="D2606">
        <f>D2605-0.1*B2606+0</f>
        <v/>
      </c>
      <c r="E2606">
        <f>Parameters!$B$25</f>
        <v/>
      </c>
    </row>
    <row r="2607">
      <c r="A2607" t="n">
        <v>260.5</v>
      </c>
      <c r="B2607">
        <f>IF(A2607&gt;162.1,Parameters!$B$5,Parameters!$B$4)</f>
        <v/>
      </c>
      <c r="C2607">
        <f>C2606-0.1*B2607+0</f>
        <v/>
      </c>
      <c r="D2607">
        <f>D2606-0.1*B2607+0</f>
        <v/>
      </c>
      <c r="E2607">
        <f>Parameters!$B$25</f>
        <v/>
      </c>
    </row>
    <row r="2608">
      <c r="A2608" t="n">
        <v>260.6</v>
      </c>
      <c r="B2608">
        <f>IF(A2608&gt;162.1,Parameters!$B$5,Parameters!$B$4)</f>
        <v/>
      </c>
      <c r="C2608">
        <f>C2607-0.1*B2608+0</f>
        <v/>
      </c>
      <c r="D2608">
        <f>D2607-0.1*B2608+0</f>
        <v/>
      </c>
      <c r="E2608">
        <f>Parameters!$B$25</f>
        <v/>
      </c>
    </row>
    <row r="2609">
      <c r="A2609" t="n">
        <v>260.7</v>
      </c>
      <c r="B2609">
        <f>IF(A2609&gt;162.1,Parameters!$B$5,Parameters!$B$4)</f>
        <v/>
      </c>
      <c r="C2609">
        <f>C2608-0.1*B2609+0</f>
        <v/>
      </c>
      <c r="D2609">
        <f>D2608-0.1*B2609+0</f>
        <v/>
      </c>
      <c r="E2609">
        <f>Parameters!$B$25</f>
        <v/>
      </c>
    </row>
    <row r="2610">
      <c r="A2610" t="n">
        <v>260.8</v>
      </c>
      <c r="B2610">
        <f>IF(A2610&gt;162.1,Parameters!$B$5,Parameters!$B$4)</f>
        <v/>
      </c>
      <c r="C2610">
        <f>C2609-0.1*B2610+0</f>
        <v/>
      </c>
      <c r="D2610">
        <f>D2609-0.1*B2610+0</f>
        <v/>
      </c>
      <c r="E2610">
        <f>Parameters!$B$25</f>
        <v/>
      </c>
    </row>
    <row r="2611">
      <c r="A2611" t="n">
        <v>260.9</v>
      </c>
      <c r="B2611">
        <f>IF(A2611&gt;162.1,Parameters!$B$5,Parameters!$B$4)</f>
        <v/>
      </c>
      <c r="C2611">
        <f>C2610-0.1*B2611+0</f>
        <v/>
      </c>
      <c r="D2611">
        <f>D2610-0.1*B2611+0</f>
        <v/>
      </c>
      <c r="E2611">
        <f>Parameters!$B$25</f>
        <v/>
      </c>
    </row>
    <row r="2612">
      <c r="A2612" t="n">
        <v>261</v>
      </c>
      <c r="B2612">
        <f>IF(A2612&gt;162.1,Parameters!$B$5,Parameters!$B$4)</f>
        <v/>
      </c>
      <c r="C2612">
        <f>C2611-0.1*B2612+0</f>
        <v/>
      </c>
      <c r="D2612">
        <f>D2611-0.1*B2612+0</f>
        <v/>
      </c>
      <c r="E2612">
        <f>Parameters!$B$25</f>
        <v/>
      </c>
    </row>
    <row r="2613">
      <c r="A2613" t="n">
        <v>261.1</v>
      </c>
      <c r="B2613">
        <f>IF(A2613&gt;162.1,Parameters!$B$5,Parameters!$B$4)</f>
        <v/>
      </c>
      <c r="C2613">
        <f>C2612-0.1*B2613+0</f>
        <v/>
      </c>
      <c r="D2613">
        <f>D2612-0.1*B2613+0</f>
        <v/>
      </c>
      <c r="E2613">
        <f>Parameters!$B$25</f>
        <v/>
      </c>
    </row>
    <row r="2614">
      <c r="A2614" t="n">
        <v>261.2</v>
      </c>
      <c r="B2614">
        <f>IF(A2614&gt;162.1,Parameters!$B$5,Parameters!$B$4)</f>
        <v/>
      </c>
      <c r="C2614">
        <f>C2613-0.1*B2614+0</f>
        <v/>
      </c>
      <c r="D2614">
        <f>D2613-0.1*B2614+0</f>
        <v/>
      </c>
      <c r="E2614">
        <f>Parameters!$B$25</f>
        <v/>
      </c>
    </row>
    <row r="2615">
      <c r="A2615" t="n">
        <v>261.3</v>
      </c>
      <c r="B2615">
        <f>IF(A2615&gt;162.1,Parameters!$B$5,Parameters!$B$4)</f>
        <v/>
      </c>
      <c r="C2615">
        <f>C2614-0.1*B2615+0</f>
        <v/>
      </c>
      <c r="D2615">
        <f>D2614-0.1*B2615+0</f>
        <v/>
      </c>
      <c r="E2615">
        <f>Parameters!$B$25</f>
        <v/>
      </c>
    </row>
    <row r="2616">
      <c r="A2616" t="n">
        <v>261.4</v>
      </c>
      <c r="B2616">
        <f>IF(A2616&gt;162.1,Parameters!$B$5,Parameters!$B$4)</f>
        <v/>
      </c>
      <c r="C2616">
        <f>C2615-0.1*B2616+0</f>
        <v/>
      </c>
      <c r="D2616">
        <f>D2615-0.1*B2616+0</f>
        <v/>
      </c>
      <c r="E2616">
        <f>Parameters!$B$25</f>
        <v/>
      </c>
    </row>
    <row r="2617">
      <c r="A2617" t="n">
        <v>261.5</v>
      </c>
      <c r="B2617">
        <f>IF(A2617&gt;162.1,Parameters!$B$5,Parameters!$B$4)</f>
        <v/>
      </c>
      <c r="C2617">
        <f>C2616-0.1*B2617+0</f>
        <v/>
      </c>
      <c r="D2617">
        <f>D2616-0.1*B2617+0</f>
        <v/>
      </c>
      <c r="E2617">
        <f>Parameters!$B$25</f>
        <v/>
      </c>
    </row>
    <row r="2618">
      <c r="A2618" t="n">
        <v>261.6</v>
      </c>
      <c r="B2618">
        <f>IF(A2618&gt;162.1,Parameters!$B$5,Parameters!$B$4)</f>
        <v/>
      </c>
      <c r="C2618">
        <f>C2617-0.1*B2618+0</f>
        <v/>
      </c>
      <c r="D2618">
        <f>D2617-0.1*B2618+0</f>
        <v/>
      </c>
      <c r="E2618">
        <f>Parameters!$B$25</f>
        <v/>
      </c>
    </row>
    <row r="2619">
      <c r="A2619" t="n">
        <v>261.7</v>
      </c>
      <c r="B2619">
        <f>IF(A2619&gt;162.1,Parameters!$B$5,Parameters!$B$4)</f>
        <v/>
      </c>
      <c r="C2619">
        <f>C2618-0.1*B2619+0</f>
        <v/>
      </c>
      <c r="D2619">
        <f>D2618-0.1*B2619+0</f>
        <v/>
      </c>
      <c r="E2619">
        <f>Parameters!$B$25</f>
        <v/>
      </c>
    </row>
    <row r="2620">
      <c r="A2620" t="n">
        <v>261.8</v>
      </c>
      <c r="B2620">
        <f>IF(A2620&gt;162.1,Parameters!$B$5,Parameters!$B$4)</f>
        <v/>
      </c>
      <c r="C2620">
        <f>C2619-0.1*B2620+0</f>
        <v/>
      </c>
      <c r="D2620">
        <f>D2619-0.1*B2620+0</f>
        <v/>
      </c>
      <c r="E2620">
        <f>Parameters!$B$25</f>
        <v/>
      </c>
    </row>
    <row r="2621">
      <c r="A2621" t="n">
        <v>261.9</v>
      </c>
      <c r="B2621">
        <f>IF(A2621&gt;162.1,Parameters!$B$5,Parameters!$B$4)</f>
        <v/>
      </c>
      <c r="C2621">
        <f>C2620-0.1*B2621+0</f>
        <v/>
      </c>
      <c r="D2621">
        <f>D2620-0.1*B2621+0</f>
        <v/>
      </c>
      <c r="E2621">
        <f>Parameters!$B$25</f>
        <v/>
      </c>
    </row>
    <row r="2622">
      <c r="A2622" t="n">
        <v>262</v>
      </c>
      <c r="B2622">
        <f>IF(A2622&gt;162.1,Parameters!$B$5,Parameters!$B$4)</f>
        <v/>
      </c>
      <c r="C2622">
        <f>C2621-0.1*B2622+0</f>
        <v/>
      </c>
      <c r="D2622">
        <f>D2621-0.1*B2622+0</f>
        <v/>
      </c>
      <c r="E2622">
        <f>Parameters!$B$25</f>
        <v/>
      </c>
    </row>
    <row r="2623">
      <c r="A2623" t="n">
        <v>262.1</v>
      </c>
      <c r="B2623">
        <f>IF(A2623&gt;162.1,Parameters!$B$5,Parameters!$B$4)</f>
        <v/>
      </c>
      <c r="C2623">
        <f>C2622-0.1*B2623+0</f>
        <v/>
      </c>
      <c r="D2623">
        <f>D2622-0.1*B2623+0</f>
        <v/>
      </c>
      <c r="E2623">
        <f>Parameters!$B$25</f>
        <v/>
      </c>
    </row>
    <row r="2624">
      <c r="A2624" t="n">
        <v>262.2</v>
      </c>
      <c r="B2624">
        <f>IF(A2624&gt;162.1,Parameters!$B$5,Parameters!$B$4)</f>
        <v/>
      </c>
      <c r="C2624">
        <f>C2623-0.1*B2624+0</f>
        <v/>
      </c>
      <c r="D2624">
        <f>D2623-0.1*B2624+0</f>
        <v/>
      </c>
      <c r="E2624">
        <f>Parameters!$B$25</f>
        <v/>
      </c>
    </row>
    <row r="2625">
      <c r="A2625" t="n">
        <v>262.3</v>
      </c>
      <c r="B2625">
        <f>IF(A2625&gt;162.1,Parameters!$B$5,Parameters!$B$4)</f>
        <v/>
      </c>
      <c r="C2625">
        <f>C2624-0.1*B2625+0</f>
        <v/>
      </c>
      <c r="D2625">
        <f>D2624-0.1*B2625+0</f>
        <v/>
      </c>
      <c r="E2625">
        <f>Parameters!$B$25</f>
        <v/>
      </c>
    </row>
    <row r="2626">
      <c r="A2626" t="n">
        <v>262.4</v>
      </c>
      <c r="B2626">
        <f>IF(A2626&gt;162.1,Parameters!$B$5,Parameters!$B$4)</f>
        <v/>
      </c>
      <c r="C2626">
        <f>C2625-0.1*B2626+0</f>
        <v/>
      </c>
      <c r="D2626">
        <f>D2625-0.1*B2626+0</f>
        <v/>
      </c>
      <c r="E2626">
        <f>Parameters!$B$25</f>
        <v/>
      </c>
    </row>
    <row r="2627">
      <c r="A2627" t="n">
        <v>262.5</v>
      </c>
      <c r="B2627">
        <f>IF(A2627&gt;162.1,Parameters!$B$5,Parameters!$B$4)</f>
        <v/>
      </c>
      <c r="C2627">
        <f>C2626-0.1*B2627+0</f>
        <v/>
      </c>
      <c r="D2627">
        <f>D2626-0.1*B2627+0</f>
        <v/>
      </c>
      <c r="E2627">
        <f>Parameters!$B$25</f>
        <v/>
      </c>
    </row>
    <row r="2628">
      <c r="A2628" t="n">
        <v>262.6</v>
      </c>
      <c r="B2628">
        <f>IF(A2628&gt;162.1,Parameters!$B$5,Parameters!$B$4)</f>
        <v/>
      </c>
      <c r="C2628">
        <f>C2627-0.1*B2628+0</f>
        <v/>
      </c>
      <c r="D2628">
        <f>D2627-0.1*B2628+0</f>
        <v/>
      </c>
      <c r="E2628">
        <f>Parameters!$B$25</f>
        <v/>
      </c>
    </row>
    <row r="2629">
      <c r="A2629" t="n">
        <v>262.7</v>
      </c>
      <c r="B2629">
        <f>IF(A2629&gt;162.1,Parameters!$B$5,Parameters!$B$4)</f>
        <v/>
      </c>
      <c r="C2629">
        <f>C2628-0.1*B2629+0</f>
        <v/>
      </c>
      <c r="D2629">
        <f>D2628-0.1*B2629+0</f>
        <v/>
      </c>
      <c r="E2629">
        <f>Parameters!$B$25</f>
        <v/>
      </c>
    </row>
    <row r="2630">
      <c r="A2630" t="n">
        <v>262.8</v>
      </c>
      <c r="B2630">
        <f>IF(A2630&gt;162.1,Parameters!$B$5,Parameters!$B$4)</f>
        <v/>
      </c>
      <c r="C2630">
        <f>C2629-0.1*B2630+0</f>
        <v/>
      </c>
      <c r="D2630">
        <f>D2629-0.1*B2630+0</f>
        <v/>
      </c>
      <c r="E2630">
        <f>Parameters!$B$25</f>
        <v/>
      </c>
    </row>
    <row r="2631">
      <c r="A2631" t="n">
        <v>262.9</v>
      </c>
      <c r="B2631">
        <f>IF(A2631&gt;162.1,Parameters!$B$5,Parameters!$B$4)</f>
        <v/>
      </c>
      <c r="C2631">
        <f>C2630-0.1*B2631+0</f>
        <v/>
      </c>
      <c r="D2631">
        <f>D2630-0.1*B2631+0</f>
        <v/>
      </c>
      <c r="E2631">
        <f>Parameters!$B$25</f>
        <v/>
      </c>
    </row>
    <row r="2632">
      <c r="A2632" t="n">
        <v>263</v>
      </c>
      <c r="B2632">
        <f>IF(A2632&gt;162.1,Parameters!$B$5,Parameters!$B$4)</f>
        <v/>
      </c>
      <c r="C2632">
        <f>C2631-0.1*B2632+0</f>
        <v/>
      </c>
      <c r="D2632">
        <f>D2631-0.1*B2632+0</f>
        <v/>
      </c>
      <c r="E2632">
        <f>Parameters!$B$25</f>
        <v/>
      </c>
    </row>
    <row r="2633">
      <c r="A2633" t="n">
        <v>263.1</v>
      </c>
      <c r="B2633">
        <f>IF(A2633&gt;162.1,Parameters!$B$5,Parameters!$B$4)</f>
        <v/>
      </c>
      <c r="C2633">
        <f>C2632-0.1*B2633+0</f>
        <v/>
      </c>
      <c r="D2633">
        <f>D2632-0.1*B2633+0</f>
        <v/>
      </c>
      <c r="E2633">
        <f>Parameters!$B$25</f>
        <v/>
      </c>
    </row>
    <row r="2634">
      <c r="A2634" t="n">
        <v>263.2</v>
      </c>
      <c r="B2634">
        <f>IF(A2634&gt;162.1,Parameters!$B$5,Parameters!$B$4)</f>
        <v/>
      </c>
      <c r="C2634">
        <f>C2633-0.1*B2634+0</f>
        <v/>
      </c>
      <c r="D2634">
        <f>D2633-0.1*B2634+0</f>
        <v/>
      </c>
      <c r="E2634">
        <f>Parameters!$B$25</f>
        <v/>
      </c>
    </row>
    <row r="2635">
      <c r="A2635" t="n">
        <v>263.3</v>
      </c>
      <c r="B2635">
        <f>IF(A2635&gt;162.1,Parameters!$B$5,Parameters!$B$4)</f>
        <v/>
      </c>
      <c r="C2635">
        <f>C2634-0.1*B2635+0</f>
        <v/>
      </c>
      <c r="D2635">
        <f>D2634-0.1*B2635+0</f>
        <v/>
      </c>
      <c r="E2635">
        <f>Parameters!$B$25</f>
        <v/>
      </c>
    </row>
    <row r="2636">
      <c r="A2636" t="n">
        <v>263.4</v>
      </c>
      <c r="B2636">
        <f>IF(A2636&gt;162.1,Parameters!$B$5,Parameters!$B$4)</f>
        <v/>
      </c>
      <c r="C2636">
        <f>C2635-0.1*B2636+0</f>
        <v/>
      </c>
      <c r="D2636">
        <f>D2635-0.1*B2636+0</f>
        <v/>
      </c>
      <c r="E2636">
        <f>Parameters!$B$25</f>
        <v/>
      </c>
    </row>
    <row r="2637">
      <c r="A2637" t="n">
        <v>263.5</v>
      </c>
      <c r="B2637">
        <f>IF(A2637&gt;162.1,Parameters!$B$5,Parameters!$B$4)</f>
        <v/>
      </c>
      <c r="C2637">
        <f>C2636-0.1*B2637+0</f>
        <v/>
      </c>
      <c r="D2637">
        <f>D2636-0.1*B2637+0</f>
        <v/>
      </c>
      <c r="E2637">
        <f>Parameters!$B$25</f>
        <v/>
      </c>
    </row>
    <row r="2638">
      <c r="A2638" t="n">
        <v>263.6</v>
      </c>
      <c r="B2638">
        <f>IF(A2638&gt;162.1,Parameters!$B$5,Parameters!$B$4)</f>
        <v/>
      </c>
      <c r="C2638">
        <f>C2637-0.1*B2638+0</f>
        <v/>
      </c>
      <c r="D2638">
        <f>D2637-0.1*B2638+0</f>
        <v/>
      </c>
      <c r="E2638">
        <f>Parameters!$B$25</f>
        <v/>
      </c>
    </row>
    <row r="2639">
      <c r="A2639" t="n">
        <v>263.7</v>
      </c>
      <c r="B2639">
        <f>IF(A2639&gt;162.1,Parameters!$B$5,Parameters!$B$4)</f>
        <v/>
      </c>
      <c r="C2639">
        <f>C2638-0.1*B2639+0</f>
        <v/>
      </c>
      <c r="D2639">
        <f>D2638-0.1*B2639+0</f>
        <v/>
      </c>
      <c r="E2639">
        <f>Parameters!$B$25</f>
        <v/>
      </c>
    </row>
    <row r="2640">
      <c r="A2640" t="n">
        <v>263.8</v>
      </c>
      <c r="B2640">
        <f>IF(A2640&gt;162.1,Parameters!$B$5,Parameters!$B$4)</f>
        <v/>
      </c>
      <c r="C2640">
        <f>C2639-0.1*B2640+0</f>
        <v/>
      </c>
      <c r="D2640">
        <f>D2639-0.1*B2640+0</f>
        <v/>
      </c>
      <c r="E2640">
        <f>Parameters!$B$25</f>
        <v/>
      </c>
    </row>
    <row r="2641">
      <c r="A2641" t="n">
        <v>263.9</v>
      </c>
      <c r="B2641">
        <f>IF(A2641&gt;162.1,Parameters!$B$5,Parameters!$B$4)</f>
        <v/>
      </c>
      <c r="C2641">
        <f>C2640-0.1*B2641+0</f>
        <v/>
      </c>
      <c r="D2641">
        <f>D2640-0.1*B2641+0</f>
        <v/>
      </c>
      <c r="E2641">
        <f>Parameters!$B$25</f>
        <v/>
      </c>
    </row>
    <row r="2642">
      <c r="A2642" t="n">
        <v>264</v>
      </c>
      <c r="B2642">
        <f>IF(A2642&gt;162.1,Parameters!$B$5,Parameters!$B$4)</f>
        <v/>
      </c>
      <c r="C2642">
        <f>C2641-0.1*B2642+0</f>
        <v/>
      </c>
      <c r="D2642">
        <f>D2641-0.1*B2642+0</f>
        <v/>
      </c>
      <c r="E2642">
        <f>Parameters!$B$25</f>
        <v/>
      </c>
    </row>
    <row r="2643">
      <c r="A2643" t="n">
        <v>264.1</v>
      </c>
      <c r="B2643">
        <f>IF(A2643&gt;162.1,Parameters!$B$5,Parameters!$B$4)</f>
        <v/>
      </c>
      <c r="C2643">
        <f>C2642-0.1*B2643+0</f>
        <v/>
      </c>
      <c r="D2643">
        <f>D2642-0.1*B2643+0</f>
        <v/>
      </c>
      <c r="E2643">
        <f>Parameters!$B$25</f>
        <v/>
      </c>
    </row>
    <row r="2644">
      <c r="A2644" t="n">
        <v>264.2</v>
      </c>
      <c r="B2644">
        <f>IF(A2644&gt;162.1,Parameters!$B$5,Parameters!$B$4)</f>
        <v/>
      </c>
      <c r="C2644">
        <f>C2643-0.1*B2644+0</f>
        <v/>
      </c>
      <c r="D2644">
        <f>D2643-0.1*B2644+0</f>
        <v/>
      </c>
      <c r="E2644">
        <f>Parameters!$B$25</f>
        <v/>
      </c>
    </row>
    <row r="2645">
      <c r="A2645" t="n">
        <v>264.3</v>
      </c>
      <c r="B2645">
        <f>IF(A2645&gt;162.1,Parameters!$B$5,Parameters!$B$4)</f>
        <v/>
      </c>
      <c r="C2645">
        <f>C2644-0.1*B2645+0</f>
        <v/>
      </c>
      <c r="D2645">
        <f>D2644-0.1*B2645+0</f>
        <v/>
      </c>
      <c r="E2645">
        <f>Parameters!$B$25</f>
        <v/>
      </c>
    </row>
    <row r="2646">
      <c r="A2646" t="n">
        <v>264.4</v>
      </c>
      <c r="B2646">
        <f>IF(A2646&gt;162.1,Parameters!$B$5,Parameters!$B$4)</f>
        <v/>
      </c>
      <c r="C2646">
        <f>C2645-0.1*B2646+0</f>
        <v/>
      </c>
      <c r="D2646">
        <f>D2645-0.1*B2646+0</f>
        <v/>
      </c>
      <c r="E2646">
        <f>Parameters!$B$25</f>
        <v/>
      </c>
    </row>
    <row r="2647">
      <c r="A2647" t="n">
        <v>264.5</v>
      </c>
      <c r="B2647">
        <f>IF(A2647&gt;162.1,Parameters!$B$5,Parameters!$B$4)</f>
        <v/>
      </c>
      <c r="C2647">
        <f>C2646-0.1*B2647+0</f>
        <v/>
      </c>
      <c r="D2647">
        <f>D2646-0.1*B2647+0</f>
        <v/>
      </c>
      <c r="E2647">
        <f>Parameters!$B$25</f>
        <v/>
      </c>
    </row>
    <row r="2648">
      <c r="A2648" t="n">
        <v>264.6</v>
      </c>
      <c r="B2648">
        <f>IF(A2648&gt;162.1,Parameters!$B$5,Parameters!$B$4)</f>
        <v/>
      </c>
      <c r="C2648">
        <f>C2647-0.1*B2648+0</f>
        <v/>
      </c>
      <c r="D2648">
        <f>D2647-0.1*B2648+0</f>
        <v/>
      </c>
      <c r="E2648">
        <f>Parameters!$B$25</f>
        <v/>
      </c>
    </row>
    <row r="2649">
      <c r="A2649" t="n">
        <v>264.7</v>
      </c>
      <c r="B2649">
        <f>IF(A2649&gt;162.1,Parameters!$B$5,Parameters!$B$4)</f>
        <v/>
      </c>
      <c r="C2649">
        <f>C2648-0.1*B2649+0</f>
        <v/>
      </c>
      <c r="D2649">
        <f>D2648-0.1*B2649+0</f>
        <v/>
      </c>
      <c r="E2649">
        <f>Parameters!$B$25</f>
        <v/>
      </c>
    </row>
    <row r="2650">
      <c r="A2650" t="n">
        <v>264.8</v>
      </c>
      <c r="B2650">
        <f>IF(A2650&gt;162.1,Parameters!$B$5,Parameters!$B$4)</f>
        <v/>
      </c>
      <c r="C2650">
        <f>C2649-0.1*B2650+0</f>
        <v/>
      </c>
      <c r="D2650">
        <f>D2649-0.1*B2650+0</f>
        <v/>
      </c>
      <c r="E2650">
        <f>Parameters!$B$25</f>
        <v/>
      </c>
    </row>
    <row r="2651">
      <c r="A2651" t="n">
        <v>264.9</v>
      </c>
      <c r="B2651">
        <f>IF(A2651&gt;162.1,Parameters!$B$5,Parameters!$B$4)</f>
        <v/>
      </c>
      <c r="C2651">
        <f>C2650-0.1*B2651+0</f>
        <v/>
      </c>
      <c r="D2651">
        <f>D2650-0.1*B2651+0</f>
        <v/>
      </c>
      <c r="E2651">
        <f>Parameters!$B$25</f>
        <v/>
      </c>
    </row>
    <row r="2652">
      <c r="A2652" t="n">
        <v>265</v>
      </c>
      <c r="B2652">
        <f>IF(A2652&gt;162.1,Parameters!$B$5,Parameters!$B$4)</f>
        <v/>
      </c>
      <c r="C2652">
        <f>C2651-0.1*B2652+0</f>
        <v/>
      </c>
      <c r="D2652">
        <f>D2651-0.1*B2652+0</f>
        <v/>
      </c>
      <c r="E2652">
        <f>Parameters!$B$25</f>
        <v/>
      </c>
    </row>
    <row r="2653">
      <c r="A2653" t="n">
        <v>265.1</v>
      </c>
      <c r="B2653">
        <f>IF(A2653&gt;162.1,Parameters!$B$5,Parameters!$B$4)</f>
        <v/>
      </c>
      <c r="C2653">
        <f>C2652-0.1*B2653+0</f>
        <v/>
      </c>
      <c r="D2653">
        <f>D2652-0.1*B2653+0</f>
        <v/>
      </c>
      <c r="E2653">
        <f>Parameters!$B$25</f>
        <v/>
      </c>
    </row>
    <row r="2654">
      <c r="A2654" t="n">
        <v>265.2</v>
      </c>
      <c r="B2654">
        <f>IF(A2654&gt;162.1,Parameters!$B$5,Parameters!$B$4)</f>
        <v/>
      </c>
      <c r="C2654">
        <f>C2653-0.1*B2654+0</f>
        <v/>
      </c>
      <c r="D2654">
        <f>D2653-0.1*B2654+0</f>
        <v/>
      </c>
      <c r="E2654">
        <f>Parameters!$B$25</f>
        <v/>
      </c>
    </row>
    <row r="2655">
      <c r="A2655" t="n">
        <v>265.3</v>
      </c>
      <c r="B2655">
        <f>IF(A2655&gt;162.1,Parameters!$B$5,Parameters!$B$4)</f>
        <v/>
      </c>
      <c r="C2655">
        <f>C2654-0.1*B2655+0</f>
        <v/>
      </c>
      <c r="D2655">
        <f>D2654-0.1*B2655+0</f>
        <v/>
      </c>
      <c r="E2655">
        <f>Parameters!$B$25</f>
        <v/>
      </c>
    </row>
    <row r="2656">
      <c r="A2656" t="n">
        <v>265.4</v>
      </c>
      <c r="B2656">
        <f>IF(A2656&gt;162.1,Parameters!$B$5,Parameters!$B$4)</f>
        <v/>
      </c>
      <c r="C2656">
        <f>C2655-0.1*B2656+0</f>
        <v/>
      </c>
      <c r="D2656">
        <f>D2655-0.1*B2656+0</f>
        <v/>
      </c>
      <c r="E2656">
        <f>Parameters!$B$25</f>
        <v/>
      </c>
    </row>
    <row r="2657">
      <c r="A2657" t="n">
        <v>265.5</v>
      </c>
      <c r="B2657">
        <f>IF(A2657&gt;162.1,Parameters!$B$5,Parameters!$B$4)</f>
        <v/>
      </c>
      <c r="C2657">
        <f>C2656-0.1*B2657+0</f>
        <v/>
      </c>
      <c r="D2657">
        <f>D2656-0.1*B2657+0</f>
        <v/>
      </c>
      <c r="E2657">
        <f>Parameters!$B$25</f>
        <v/>
      </c>
    </row>
    <row r="2658">
      <c r="A2658" t="n">
        <v>265.6</v>
      </c>
      <c r="B2658">
        <f>IF(A2658&gt;162.1,Parameters!$B$5,Parameters!$B$4)</f>
        <v/>
      </c>
      <c r="C2658">
        <f>C2657-0.1*B2658+0</f>
        <v/>
      </c>
      <c r="D2658">
        <f>D2657-0.1*B2658+0</f>
        <v/>
      </c>
      <c r="E2658">
        <f>Parameters!$B$25</f>
        <v/>
      </c>
    </row>
    <row r="2659">
      <c r="A2659" t="n">
        <v>265.7</v>
      </c>
      <c r="B2659">
        <f>IF(A2659&gt;162.1,Parameters!$B$5,Parameters!$B$4)</f>
        <v/>
      </c>
      <c r="C2659">
        <f>C2658-0.1*B2659+0</f>
        <v/>
      </c>
      <c r="D2659">
        <f>D2658-0.1*B2659+0</f>
        <v/>
      </c>
      <c r="E2659">
        <f>Parameters!$B$25</f>
        <v/>
      </c>
    </row>
    <row r="2660">
      <c r="A2660" t="n">
        <v>265.8</v>
      </c>
      <c r="B2660">
        <f>IF(A2660&gt;162.1,Parameters!$B$5,Parameters!$B$4)</f>
        <v/>
      </c>
      <c r="C2660">
        <f>C2659-0.1*B2660+0</f>
        <v/>
      </c>
      <c r="D2660">
        <f>D2659-0.1*B2660+0</f>
        <v/>
      </c>
      <c r="E2660">
        <f>Parameters!$B$25</f>
        <v/>
      </c>
    </row>
    <row r="2661">
      <c r="A2661" t="n">
        <v>265.9</v>
      </c>
      <c r="B2661">
        <f>IF(A2661&gt;162.1,Parameters!$B$5,Parameters!$B$4)</f>
        <v/>
      </c>
      <c r="C2661">
        <f>C2660-0.1*B2661+0</f>
        <v/>
      </c>
      <c r="D2661">
        <f>D2660-0.1*B2661+0</f>
        <v/>
      </c>
      <c r="E2661">
        <f>Parameters!$B$25</f>
        <v/>
      </c>
    </row>
    <row r="2662">
      <c r="A2662" t="n">
        <v>266</v>
      </c>
      <c r="B2662">
        <f>IF(A2662&gt;162.1,Parameters!$B$5,Parameters!$B$4)</f>
        <v/>
      </c>
      <c r="C2662">
        <f>C2661-0.1*B2662+0</f>
        <v/>
      </c>
      <c r="D2662">
        <f>D2661-0.1*B2662+0</f>
        <v/>
      </c>
      <c r="E2662">
        <f>Parameters!$B$25</f>
        <v/>
      </c>
    </row>
    <row r="2663">
      <c r="A2663" t="n">
        <v>266.1</v>
      </c>
      <c r="B2663">
        <f>IF(A2663&gt;162.1,Parameters!$B$5,Parameters!$B$4)</f>
        <v/>
      </c>
      <c r="C2663">
        <f>C2662-0.1*B2663+0</f>
        <v/>
      </c>
      <c r="D2663">
        <f>D2662-0.1*B2663+0</f>
        <v/>
      </c>
      <c r="E2663">
        <f>Parameters!$B$25</f>
        <v/>
      </c>
    </row>
    <row r="2664">
      <c r="A2664" t="n">
        <v>266.2</v>
      </c>
      <c r="B2664">
        <f>IF(A2664&gt;162.1,Parameters!$B$5,Parameters!$B$4)</f>
        <v/>
      </c>
      <c r="C2664">
        <f>C2663-0.1*B2664+0</f>
        <v/>
      </c>
      <c r="D2664">
        <f>D2663-0.1*B2664+0</f>
        <v/>
      </c>
      <c r="E2664">
        <f>Parameters!$B$25</f>
        <v/>
      </c>
    </row>
    <row r="2665">
      <c r="A2665" t="n">
        <v>266.3</v>
      </c>
      <c r="B2665">
        <f>IF(A2665&gt;162.1,Parameters!$B$5,Parameters!$B$4)</f>
        <v/>
      </c>
      <c r="C2665">
        <f>C2664-0.1*B2665+0</f>
        <v/>
      </c>
      <c r="D2665">
        <f>D2664-0.1*B2665+0</f>
        <v/>
      </c>
      <c r="E2665">
        <f>Parameters!$B$25</f>
        <v/>
      </c>
    </row>
    <row r="2666">
      <c r="A2666" t="n">
        <v>266.4</v>
      </c>
      <c r="B2666">
        <f>IF(A2666&gt;162.1,Parameters!$B$5,Parameters!$B$4)</f>
        <v/>
      </c>
      <c r="C2666">
        <f>C2665-0.1*B2666+0</f>
        <v/>
      </c>
      <c r="D2666">
        <f>D2665-0.1*B2666+0</f>
        <v/>
      </c>
      <c r="E2666">
        <f>Parameters!$B$25</f>
        <v/>
      </c>
    </row>
    <row r="2667">
      <c r="A2667" t="n">
        <v>266.5</v>
      </c>
      <c r="B2667">
        <f>IF(A2667&gt;162.1,Parameters!$B$5,Parameters!$B$4)</f>
        <v/>
      </c>
      <c r="C2667">
        <f>C2666-0.1*B2667+0</f>
        <v/>
      </c>
      <c r="D2667">
        <f>D2666-0.1*B2667+0</f>
        <v/>
      </c>
      <c r="E2667">
        <f>Parameters!$B$25</f>
        <v/>
      </c>
    </row>
    <row r="2668">
      <c r="A2668" t="n">
        <v>266.6</v>
      </c>
      <c r="B2668">
        <f>IF(A2668&gt;162.1,Parameters!$B$5,Parameters!$B$4)</f>
        <v/>
      </c>
      <c r="C2668">
        <f>C2667-0.1*B2668+0</f>
        <v/>
      </c>
      <c r="D2668">
        <f>D2667-0.1*B2668+0</f>
        <v/>
      </c>
      <c r="E2668">
        <f>Parameters!$B$25</f>
        <v/>
      </c>
    </row>
    <row r="2669">
      <c r="A2669" t="n">
        <v>266.7</v>
      </c>
      <c r="B2669">
        <f>IF(A2669&gt;162.1,Parameters!$B$5,Parameters!$B$4)</f>
        <v/>
      </c>
      <c r="C2669">
        <f>C2668-0.1*B2669+0</f>
        <v/>
      </c>
      <c r="D2669">
        <f>D2668-0.1*B2669+0</f>
        <v/>
      </c>
      <c r="E2669">
        <f>Parameters!$B$25</f>
        <v/>
      </c>
    </row>
    <row r="2670">
      <c r="A2670" t="n">
        <v>266.8</v>
      </c>
      <c r="B2670">
        <f>IF(A2670&gt;162.1,Parameters!$B$5,Parameters!$B$4)</f>
        <v/>
      </c>
      <c r="C2670">
        <f>C2669-0.1*B2670+0</f>
        <v/>
      </c>
      <c r="D2670">
        <f>D2669-0.1*B2670+0</f>
        <v/>
      </c>
      <c r="E2670">
        <f>Parameters!$B$25</f>
        <v/>
      </c>
    </row>
    <row r="2671">
      <c r="A2671" t="n">
        <v>266.9</v>
      </c>
      <c r="B2671">
        <f>IF(A2671&gt;162.1,Parameters!$B$5,Parameters!$B$4)</f>
        <v/>
      </c>
      <c r="C2671">
        <f>C2670-0.1*B2671+0</f>
        <v/>
      </c>
      <c r="D2671">
        <f>D2670-0.1*B2671+0</f>
        <v/>
      </c>
      <c r="E2671">
        <f>Parameters!$B$25</f>
        <v/>
      </c>
    </row>
    <row r="2672">
      <c r="A2672" t="n">
        <v>267</v>
      </c>
      <c r="B2672">
        <f>IF(A2672&gt;162.1,Parameters!$B$5,Parameters!$B$4)</f>
        <v/>
      </c>
      <c r="C2672">
        <f>C2671-0.1*B2672+0</f>
        <v/>
      </c>
      <c r="D2672">
        <f>D2671-0.1*B2672+0</f>
        <v/>
      </c>
      <c r="E2672">
        <f>Parameters!$B$25</f>
        <v/>
      </c>
    </row>
    <row r="2673">
      <c r="A2673" t="n">
        <v>267.1</v>
      </c>
      <c r="B2673">
        <f>IF(A2673&gt;162.1,Parameters!$B$5,Parameters!$B$4)</f>
        <v/>
      </c>
      <c r="C2673">
        <f>C2672-0.1*B2673+0</f>
        <v/>
      </c>
      <c r="D2673">
        <f>D2672-0.1*B2673+0</f>
        <v/>
      </c>
      <c r="E2673">
        <f>Parameters!$B$25</f>
        <v/>
      </c>
    </row>
    <row r="2674">
      <c r="A2674" t="n">
        <v>267.2</v>
      </c>
      <c r="B2674">
        <f>IF(A2674&gt;162.1,Parameters!$B$5,Parameters!$B$4)</f>
        <v/>
      </c>
      <c r="C2674">
        <f>C2673-0.1*B2674+0</f>
        <v/>
      </c>
      <c r="D2674">
        <f>D2673-0.1*B2674+0</f>
        <v/>
      </c>
      <c r="E2674">
        <f>Parameters!$B$25</f>
        <v/>
      </c>
    </row>
    <row r="2675">
      <c r="A2675" t="n">
        <v>267.3</v>
      </c>
      <c r="B2675">
        <f>IF(A2675&gt;162.1,Parameters!$B$5,Parameters!$B$4)</f>
        <v/>
      </c>
      <c r="C2675">
        <f>C2674-0.1*B2675+0</f>
        <v/>
      </c>
      <c r="D2675">
        <f>D2674-0.1*B2675+0</f>
        <v/>
      </c>
      <c r="E2675">
        <f>Parameters!$B$25</f>
        <v/>
      </c>
    </row>
    <row r="2676">
      <c r="A2676" t="n">
        <v>267.4</v>
      </c>
      <c r="B2676">
        <f>IF(A2676&gt;162.1,Parameters!$B$5,Parameters!$B$4)</f>
        <v/>
      </c>
      <c r="C2676">
        <f>C2675-0.1*B2676+0</f>
        <v/>
      </c>
      <c r="D2676">
        <f>D2675-0.1*B2676+0</f>
        <v/>
      </c>
      <c r="E2676">
        <f>Parameters!$B$25</f>
        <v/>
      </c>
    </row>
    <row r="2677">
      <c r="A2677" t="n">
        <v>267.5</v>
      </c>
      <c r="B2677">
        <f>IF(A2677&gt;162.1,Parameters!$B$5,Parameters!$B$4)</f>
        <v/>
      </c>
      <c r="C2677">
        <f>C2676-0.1*B2677+0</f>
        <v/>
      </c>
      <c r="D2677">
        <f>D2676-0.1*B2677+0</f>
        <v/>
      </c>
      <c r="E2677">
        <f>Parameters!$B$25</f>
        <v/>
      </c>
    </row>
    <row r="2678">
      <c r="A2678" t="n">
        <v>267.6</v>
      </c>
      <c r="B2678">
        <f>IF(A2678&gt;162.1,Parameters!$B$5,Parameters!$B$4)</f>
        <v/>
      </c>
      <c r="C2678">
        <f>C2677-0.1*B2678+0</f>
        <v/>
      </c>
      <c r="D2678">
        <f>D2677-0.1*B2678+0</f>
        <v/>
      </c>
      <c r="E2678">
        <f>Parameters!$B$25</f>
        <v/>
      </c>
    </row>
    <row r="2679">
      <c r="A2679" t="n">
        <v>267.7</v>
      </c>
      <c r="B2679">
        <f>IF(A2679&gt;162.1,Parameters!$B$5,Parameters!$B$4)</f>
        <v/>
      </c>
      <c r="C2679">
        <f>C2678-0.1*B2679+0</f>
        <v/>
      </c>
      <c r="D2679">
        <f>D2678-0.1*B2679+0</f>
        <v/>
      </c>
      <c r="E2679">
        <f>Parameters!$B$25</f>
        <v/>
      </c>
    </row>
    <row r="2680">
      <c r="A2680" t="n">
        <v>267.8</v>
      </c>
      <c r="B2680">
        <f>IF(A2680&gt;162.1,Parameters!$B$5,Parameters!$B$4)</f>
        <v/>
      </c>
      <c r="C2680">
        <f>C2679-0.1*B2680+0</f>
        <v/>
      </c>
      <c r="D2680">
        <f>D2679-0.1*B2680+0</f>
        <v/>
      </c>
      <c r="E2680">
        <f>Parameters!$B$25</f>
        <v/>
      </c>
    </row>
    <row r="2681">
      <c r="A2681" t="n">
        <v>267.9</v>
      </c>
      <c r="B2681">
        <f>IF(A2681&gt;162.1,Parameters!$B$5,Parameters!$B$4)</f>
        <v/>
      </c>
      <c r="C2681">
        <f>C2680-0.1*B2681+0</f>
        <v/>
      </c>
      <c r="D2681">
        <f>D2680-0.1*B2681+0</f>
        <v/>
      </c>
      <c r="E2681">
        <f>Parameters!$B$25</f>
        <v/>
      </c>
    </row>
    <row r="2682">
      <c r="A2682" t="n">
        <v>268</v>
      </c>
      <c r="B2682">
        <f>IF(A2682&gt;162.1,Parameters!$B$5,Parameters!$B$4)</f>
        <v/>
      </c>
      <c r="C2682">
        <f>C2681-0.1*B2682+0</f>
        <v/>
      </c>
      <c r="D2682">
        <f>D2681-0.1*B2682+0</f>
        <v/>
      </c>
      <c r="E2682">
        <f>Parameters!$B$25</f>
        <v/>
      </c>
    </row>
    <row r="2683">
      <c r="A2683" t="n">
        <v>268.1</v>
      </c>
      <c r="B2683">
        <f>IF(A2683&gt;162.1,Parameters!$B$5,Parameters!$B$4)</f>
        <v/>
      </c>
      <c r="C2683">
        <f>C2682-0.1*B2683+0</f>
        <v/>
      </c>
      <c r="D2683">
        <f>D2682-0.1*B2683+0</f>
        <v/>
      </c>
      <c r="E2683">
        <f>Parameters!$B$25</f>
        <v/>
      </c>
    </row>
    <row r="2684">
      <c r="A2684" t="n">
        <v>268.2</v>
      </c>
      <c r="B2684">
        <f>IF(A2684&gt;162.1,Parameters!$B$5,Parameters!$B$4)</f>
        <v/>
      </c>
      <c r="C2684">
        <f>C2683-0.1*B2684+0</f>
        <v/>
      </c>
      <c r="D2684">
        <f>D2683-0.1*B2684+0</f>
        <v/>
      </c>
      <c r="E2684">
        <f>Parameters!$B$25</f>
        <v/>
      </c>
    </row>
    <row r="2685">
      <c r="A2685" t="n">
        <v>268.3</v>
      </c>
      <c r="B2685">
        <f>IF(A2685&gt;162.1,Parameters!$B$5,Parameters!$B$4)</f>
        <v/>
      </c>
      <c r="C2685">
        <f>C2684-0.1*B2685+0</f>
        <v/>
      </c>
      <c r="D2685">
        <f>D2684-0.1*B2685+0</f>
        <v/>
      </c>
      <c r="E2685">
        <f>Parameters!$B$25</f>
        <v/>
      </c>
    </row>
    <row r="2686">
      <c r="A2686" t="n">
        <v>268.4</v>
      </c>
      <c r="B2686">
        <f>IF(A2686&gt;162.1,Parameters!$B$5,Parameters!$B$4)</f>
        <v/>
      </c>
      <c r="C2686">
        <f>C2685-0.1*B2686+0</f>
        <v/>
      </c>
      <c r="D2686">
        <f>D2685-0.1*B2686+0</f>
        <v/>
      </c>
      <c r="E2686">
        <f>Parameters!$B$25</f>
        <v/>
      </c>
    </row>
    <row r="2687">
      <c r="A2687" t="n">
        <v>268.5</v>
      </c>
      <c r="B2687">
        <f>IF(A2687&gt;162.1,Parameters!$B$5,Parameters!$B$4)</f>
        <v/>
      </c>
      <c r="C2687">
        <f>C2686-0.1*B2687+0</f>
        <v/>
      </c>
      <c r="D2687">
        <f>D2686-0.1*B2687+0</f>
        <v/>
      </c>
      <c r="E2687">
        <f>Parameters!$B$25</f>
        <v/>
      </c>
    </row>
    <row r="2688">
      <c r="A2688" t="n">
        <v>268.6</v>
      </c>
      <c r="B2688">
        <f>IF(A2688&gt;162.1,Parameters!$B$5,Parameters!$B$4)</f>
        <v/>
      </c>
      <c r="C2688">
        <f>C2687-0.1*B2688+0</f>
        <v/>
      </c>
      <c r="D2688">
        <f>D2687-0.1*B2688+0</f>
        <v/>
      </c>
      <c r="E2688">
        <f>Parameters!$B$25</f>
        <v/>
      </c>
    </row>
    <row r="2689">
      <c r="A2689" t="n">
        <v>268.7</v>
      </c>
      <c r="B2689">
        <f>IF(A2689&gt;162.1,Parameters!$B$5,Parameters!$B$4)</f>
        <v/>
      </c>
      <c r="C2689">
        <f>C2688-0.1*B2689+0</f>
        <v/>
      </c>
      <c r="D2689">
        <f>D2688-0.1*B2689+0</f>
        <v/>
      </c>
      <c r="E2689">
        <f>Parameters!$B$25</f>
        <v/>
      </c>
    </row>
    <row r="2690">
      <c r="A2690" t="n">
        <v>268.8</v>
      </c>
      <c r="B2690">
        <f>IF(A2690&gt;162.1,Parameters!$B$5,Parameters!$B$4)</f>
        <v/>
      </c>
      <c r="C2690">
        <f>C2689-0.1*B2690+0</f>
        <v/>
      </c>
      <c r="D2690">
        <f>D2689-0.1*B2690+0</f>
        <v/>
      </c>
      <c r="E2690">
        <f>Parameters!$B$25</f>
        <v/>
      </c>
    </row>
    <row r="2691">
      <c r="A2691" t="n">
        <v>268.9</v>
      </c>
      <c r="B2691">
        <f>IF(A2691&gt;162.1,Parameters!$B$5,Parameters!$B$4)</f>
        <v/>
      </c>
      <c r="C2691">
        <f>C2690-0.1*B2691+0</f>
        <v/>
      </c>
      <c r="D2691">
        <f>D2690-0.1*B2691+0</f>
        <v/>
      </c>
      <c r="E2691">
        <f>Parameters!$B$25</f>
        <v/>
      </c>
    </row>
    <row r="2692">
      <c r="A2692" t="n">
        <v>269</v>
      </c>
      <c r="B2692">
        <f>IF(A2692&gt;162.1,Parameters!$B$5,Parameters!$B$4)</f>
        <v/>
      </c>
      <c r="C2692">
        <f>C2691-0.1*B2692+0</f>
        <v/>
      </c>
      <c r="D2692">
        <f>D2691-0.1*B2692+0</f>
        <v/>
      </c>
      <c r="E2692">
        <f>Parameters!$B$25</f>
        <v/>
      </c>
    </row>
    <row r="2693">
      <c r="A2693" t="n">
        <v>269.1</v>
      </c>
      <c r="B2693">
        <f>IF(A2693&gt;162.1,Parameters!$B$5,Parameters!$B$4)</f>
        <v/>
      </c>
      <c r="C2693">
        <f>C2692-0.1*B2693+0</f>
        <v/>
      </c>
      <c r="D2693">
        <f>D2692-0.1*B2693+0</f>
        <v/>
      </c>
      <c r="E2693">
        <f>Parameters!$B$25</f>
        <v/>
      </c>
    </row>
    <row r="2694">
      <c r="A2694" t="n">
        <v>269.2</v>
      </c>
      <c r="B2694">
        <f>IF(A2694&gt;162.1,Parameters!$B$5,Parameters!$B$4)</f>
        <v/>
      </c>
      <c r="C2694">
        <f>C2693-0.1*B2694+0</f>
        <v/>
      </c>
      <c r="D2694">
        <f>D2693-0.1*B2694+0</f>
        <v/>
      </c>
      <c r="E2694">
        <f>Parameters!$B$25</f>
        <v/>
      </c>
    </row>
    <row r="2695">
      <c r="A2695" t="n">
        <v>269.3</v>
      </c>
      <c r="B2695">
        <f>IF(A2695&gt;162.1,Parameters!$B$5,Parameters!$B$4)</f>
        <v/>
      </c>
      <c r="C2695">
        <f>C2694-0.1*B2695+0</f>
        <v/>
      </c>
      <c r="D2695">
        <f>D2694-0.1*B2695+0</f>
        <v/>
      </c>
      <c r="E2695">
        <f>Parameters!$B$25</f>
        <v/>
      </c>
    </row>
    <row r="2696">
      <c r="A2696" t="n">
        <v>269.4</v>
      </c>
      <c r="B2696">
        <f>IF(A2696&gt;162.1,Parameters!$B$5,Parameters!$B$4)</f>
        <v/>
      </c>
      <c r="C2696">
        <f>C2695-0.1*B2696+0</f>
        <v/>
      </c>
      <c r="D2696">
        <f>D2695-0.1*B2696+0</f>
        <v/>
      </c>
      <c r="E2696">
        <f>Parameters!$B$25</f>
        <v/>
      </c>
    </row>
    <row r="2697">
      <c r="A2697" t="n">
        <v>269.5</v>
      </c>
      <c r="B2697">
        <f>IF(A2697&gt;162.1,Parameters!$B$5,Parameters!$B$4)</f>
        <v/>
      </c>
      <c r="C2697">
        <f>C2696-0.1*B2697+0</f>
        <v/>
      </c>
      <c r="D2697">
        <f>D2696-0.1*B2697+0</f>
        <v/>
      </c>
      <c r="E2697">
        <f>Parameters!$B$25</f>
        <v/>
      </c>
    </row>
    <row r="2698">
      <c r="A2698" t="n">
        <v>269.6</v>
      </c>
      <c r="B2698">
        <f>IF(A2698&gt;162.1,Parameters!$B$5,Parameters!$B$4)</f>
        <v/>
      </c>
      <c r="C2698">
        <f>C2697-0.1*B2698+0</f>
        <v/>
      </c>
      <c r="D2698">
        <f>D2697-0.1*B2698+0</f>
        <v/>
      </c>
      <c r="E2698">
        <f>Parameters!$B$25</f>
        <v/>
      </c>
    </row>
    <row r="2699">
      <c r="A2699" t="n">
        <v>269.7</v>
      </c>
      <c r="B2699">
        <f>IF(A2699&gt;162.1,Parameters!$B$5,Parameters!$B$4)</f>
        <v/>
      </c>
      <c r="C2699">
        <f>C2698-0.1*B2699+0</f>
        <v/>
      </c>
      <c r="D2699">
        <f>D2698-0.1*B2699+0</f>
        <v/>
      </c>
      <c r="E2699">
        <f>Parameters!$B$25</f>
        <v/>
      </c>
    </row>
    <row r="2700">
      <c r="A2700" t="n">
        <v>269.8</v>
      </c>
      <c r="B2700">
        <f>IF(A2700&gt;162.1,Parameters!$B$5,Parameters!$B$4)</f>
        <v/>
      </c>
      <c r="C2700">
        <f>C2699-0.1*B2700+0</f>
        <v/>
      </c>
      <c r="D2700">
        <f>D2699-0.1*B2700+0</f>
        <v/>
      </c>
      <c r="E2700">
        <f>Parameters!$B$25</f>
        <v/>
      </c>
    </row>
    <row r="2701">
      <c r="A2701" t="n">
        <v>269.9</v>
      </c>
      <c r="B2701">
        <f>IF(A2701&gt;162.1,Parameters!$B$5,Parameters!$B$4)</f>
        <v/>
      </c>
      <c r="C2701">
        <f>C2700-0.1*B2701+0</f>
        <v/>
      </c>
      <c r="D2701">
        <f>D2700-0.1*B2701+0</f>
        <v/>
      </c>
      <c r="E2701">
        <f>Parameters!$B$25</f>
        <v/>
      </c>
    </row>
    <row r="2702">
      <c r="A2702" t="n">
        <v>270</v>
      </c>
      <c r="B2702">
        <f>IF(A2702&gt;162.1,Parameters!$B$5,Parameters!$B$4)</f>
        <v/>
      </c>
      <c r="C2702">
        <f>C2701-0.1*B2702+0</f>
        <v/>
      </c>
      <c r="D2702">
        <f>D2701-0.1*B2702+0</f>
        <v/>
      </c>
      <c r="E2702">
        <f>Parameters!$B$25</f>
        <v/>
      </c>
    </row>
    <row r="2703">
      <c r="A2703" t="n">
        <v>270.1</v>
      </c>
      <c r="B2703">
        <f>IF(A2703&gt;162.1,Parameters!$B$5,Parameters!$B$4)</f>
        <v/>
      </c>
      <c r="C2703">
        <f>C2702-0.1*B2703+0</f>
        <v/>
      </c>
      <c r="D2703">
        <f>D2702-0.1*B2703+0</f>
        <v/>
      </c>
      <c r="E2703">
        <f>Parameters!$B$25</f>
        <v/>
      </c>
    </row>
    <row r="2704">
      <c r="A2704" t="n">
        <v>270.2</v>
      </c>
      <c r="B2704">
        <f>IF(A2704&gt;162.1,Parameters!$B$5,Parameters!$B$4)</f>
        <v/>
      </c>
      <c r="C2704">
        <f>C2703-0.1*B2704+0</f>
        <v/>
      </c>
      <c r="D2704">
        <f>D2703-0.1*B2704+0</f>
        <v/>
      </c>
      <c r="E2704">
        <f>Parameters!$B$25</f>
        <v/>
      </c>
    </row>
    <row r="2705">
      <c r="A2705" t="n">
        <v>270.3</v>
      </c>
      <c r="B2705">
        <f>IF(A2705&gt;162.1,Parameters!$B$5,Parameters!$B$4)</f>
        <v/>
      </c>
      <c r="C2705">
        <f>C2704-0.1*B2705+0</f>
        <v/>
      </c>
      <c r="D2705">
        <f>D2704-0.1*B2705+0</f>
        <v/>
      </c>
      <c r="E2705">
        <f>Parameters!$B$25</f>
        <v/>
      </c>
    </row>
    <row r="2706">
      <c r="A2706" t="n">
        <v>270.4</v>
      </c>
      <c r="B2706">
        <f>IF(A2706&gt;162.1,Parameters!$B$5,Parameters!$B$4)</f>
        <v/>
      </c>
      <c r="C2706">
        <f>C2705-0.1*B2706+0</f>
        <v/>
      </c>
      <c r="D2706">
        <f>D2705-0.1*B2706+0</f>
        <v/>
      </c>
      <c r="E2706">
        <f>Parameters!$B$25</f>
        <v/>
      </c>
    </row>
    <row r="2707">
      <c r="A2707" t="n">
        <v>270.5</v>
      </c>
      <c r="B2707">
        <f>IF(A2707&gt;162.1,Parameters!$B$5,Parameters!$B$4)</f>
        <v/>
      </c>
      <c r="C2707">
        <f>C2706-0.1*B2707+0</f>
        <v/>
      </c>
      <c r="D2707">
        <f>D2706-0.1*B2707+0</f>
        <v/>
      </c>
      <c r="E2707">
        <f>Parameters!$B$25</f>
        <v/>
      </c>
    </row>
    <row r="2708">
      <c r="A2708" t="n">
        <v>270.6</v>
      </c>
      <c r="B2708">
        <f>IF(A2708&gt;162.1,Parameters!$B$5,Parameters!$B$4)</f>
        <v/>
      </c>
      <c r="C2708">
        <f>C2707-0.1*B2708+0</f>
        <v/>
      </c>
      <c r="D2708">
        <f>D2707-0.1*B2708+0</f>
        <v/>
      </c>
      <c r="E2708">
        <f>Parameters!$B$25</f>
        <v/>
      </c>
    </row>
    <row r="2709">
      <c r="A2709" t="n">
        <v>270.7</v>
      </c>
      <c r="B2709">
        <f>IF(A2709&gt;162.1,Parameters!$B$5,Parameters!$B$4)</f>
        <v/>
      </c>
      <c r="C2709">
        <f>C2708-0.1*B2709+0</f>
        <v/>
      </c>
      <c r="D2709">
        <f>D2708-0.1*B2709+0</f>
        <v/>
      </c>
      <c r="E2709">
        <f>Parameters!$B$25</f>
        <v/>
      </c>
    </row>
    <row r="2710">
      <c r="A2710" t="n">
        <v>270.8</v>
      </c>
      <c r="B2710">
        <f>IF(A2710&gt;162.1,Parameters!$B$5,Parameters!$B$4)</f>
        <v/>
      </c>
      <c r="C2710">
        <f>C2709-0.1*B2710+0</f>
        <v/>
      </c>
      <c r="D2710">
        <f>D2709-0.1*B2710+0</f>
        <v/>
      </c>
      <c r="E2710">
        <f>Parameters!$B$25</f>
        <v/>
      </c>
    </row>
    <row r="2711">
      <c r="A2711" t="n">
        <v>270.9</v>
      </c>
      <c r="B2711">
        <f>IF(A2711&gt;162.1,Parameters!$B$5,Parameters!$B$4)</f>
        <v/>
      </c>
      <c r="C2711">
        <f>C2710-0.1*B2711+0</f>
        <v/>
      </c>
      <c r="D2711">
        <f>D2710-0.1*B2711+0</f>
        <v/>
      </c>
      <c r="E2711">
        <f>Parameters!$B$25</f>
        <v/>
      </c>
    </row>
    <row r="2712">
      <c r="A2712" t="n">
        <v>271</v>
      </c>
      <c r="B2712">
        <f>IF(A2712&gt;162.1,Parameters!$B$5,Parameters!$B$4)</f>
        <v/>
      </c>
      <c r="C2712">
        <f>C2711-0.1*B2712+0</f>
        <v/>
      </c>
      <c r="D2712">
        <f>D2711-0.1*B2712+0</f>
        <v/>
      </c>
      <c r="E2712">
        <f>Parameters!$B$25</f>
        <v/>
      </c>
    </row>
    <row r="2713">
      <c r="A2713" t="n">
        <v>271.1</v>
      </c>
      <c r="B2713">
        <f>IF(A2713&gt;162.1,Parameters!$B$5,Parameters!$B$4)</f>
        <v/>
      </c>
      <c r="C2713">
        <f>C2712-0.1*B2713+0</f>
        <v/>
      </c>
      <c r="D2713">
        <f>D2712-0.1*B2713+0</f>
        <v/>
      </c>
      <c r="E2713">
        <f>Parameters!$B$25</f>
        <v/>
      </c>
    </row>
    <row r="2714">
      <c r="A2714" t="n">
        <v>271.2</v>
      </c>
      <c r="B2714">
        <f>IF(A2714&gt;162.1,Parameters!$B$5,Parameters!$B$4)</f>
        <v/>
      </c>
      <c r="C2714">
        <f>C2713-0.1*B2714+0</f>
        <v/>
      </c>
      <c r="D2714">
        <f>D2713-0.1*B2714+0</f>
        <v/>
      </c>
      <c r="E2714">
        <f>Parameters!$B$25</f>
        <v/>
      </c>
    </row>
    <row r="2715">
      <c r="A2715" t="n">
        <v>271.3</v>
      </c>
      <c r="B2715">
        <f>IF(A2715&gt;162.1,Parameters!$B$5,Parameters!$B$4)</f>
        <v/>
      </c>
      <c r="C2715">
        <f>C2714-0.1*B2715+0</f>
        <v/>
      </c>
      <c r="D2715">
        <f>D2714-0.1*B2715+0</f>
        <v/>
      </c>
      <c r="E2715">
        <f>Parameters!$B$25</f>
        <v/>
      </c>
    </row>
    <row r="2716">
      <c r="A2716" t="n">
        <v>271.4</v>
      </c>
      <c r="B2716">
        <f>IF(A2716&gt;162.1,Parameters!$B$5,Parameters!$B$4)</f>
        <v/>
      </c>
      <c r="C2716">
        <f>C2715-0.1*B2716+0</f>
        <v/>
      </c>
      <c r="D2716">
        <f>D2715-0.1*B2716+0</f>
        <v/>
      </c>
      <c r="E2716">
        <f>Parameters!$B$25</f>
        <v/>
      </c>
    </row>
    <row r="2717">
      <c r="A2717" t="n">
        <v>271.5</v>
      </c>
      <c r="B2717">
        <f>IF(A2717&gt;162.1,Parameters!$B$5,Parameters!$B$4)</f>
        <v/>
      </c>
      <c r="C2717">
        <f>C2716-0.1*B2717+0</f>
        <v/>
      </c>
      <c r="D2717">
        <f>D2716-0.1*B2717+0</f>
        <v/>
      </c>
      <c r="E2717">
        <f>Parameters!$B$25</f>
        <v/>
      </c>
    </row>
    <row r="2718">
      <c r="A2718" t="n">
        <v>271.6</v>
      </c>
      <c r="B2718">
        <f>IF(A2718&gt;162.1,Parameters!$B$5,Parameters!$B$4)</f>
        <v/>
      </c>
      <c r="C2718">
        <f>C2717-0.1*B2718+0</f>
        <v/>
      </c>
      <c r="D2718">
        <f>D2717-0.1*B2718+0</f>
        <v/>
      </c>
      <c r="E2718">
        <f>Parameters!$B$25</f>
        <v/>
      </c>
    </row>
    <row r="2719">
      <c r="A2719" t="n">
        <v>271.7</v>
      </c>
      <c r="B2719">
        <f>IF(A2719&gt;162.1,Parameters!$B$5,Parameters!$B$4)</f>
        <v/>
      </c>
      <c r="C2719">
        <f>C2718-0.1*B2719+0</f>
        <v/>
      </c>
      <c r="D2719">
        <f>D2718-0.1*B2719+0</f>
        <v/>
      </c>
      <c r="E2719">
        <f>Parameters!$B$25</f>
        <v/>
      </c>
    </row>
    <row r="2720">
      <c r="A2720" t="n">
        <v>271.8</v>
      </c>
      <c r="B2720">
        <f>IF(A2720&gt;162.1,Parameters!$B$5,Parameters!$B$4)</f>
        <v/>
      </c>
      <c r="C2720">
        <f>C2719-0.1*B2720+0</f>
        <v/>
      </c>
      <c r="D2720">
        <f>D2719-0.1*B2720+0</f>
        <v/>
      </c>
      <c r="E2720">
        <f>Parameters!$B$25</f>
        <v/>
      </c>
    </row>
    <row r="2721">
      <c r="A2721" t="n">
        <v>271.9</v>
      </c>
      <c r="B2721">
        <f>IF(A2721&gt;162.1,Parameters!$B$5,Parameters!$B$4)</f>
        <v/>
      </c>
      <c r="C2721">
        <f>C2720-0.1*B2721+0</f>
        <v/>
      </c>
      <c r="D2721">
        <f>D2720-0.1*B2721+0</f>
        <v/>
      </c>
      <c r="E2721">
        <f>Parameters!$B$25</f>
        <v/>
      </c>
    </row>
    <row r="2722">
      <c r="A2722" t="n">
        <v>272</v>
      </c>
      <c r="B2722">
        <f>IF(A2722&gt;162.1,Parameters!$B$5,Parameters!$B$4)</f>
        <v/>
      </c>
      <c r="C2722">
        <f>C2721-0.1*B2722+0</f>
        <v/>
      </c>
      <c r="D2722">
        <f>D2721-0.1*B2722+0</f>
        <v/>
      </c>
      <c r="E2722">
        <f>Parameters!$B$25</f>
        <v/>
      </c>
    </row>
    <row r="2723">
      <c r="A2723" t="n">
        <v>272.1</v>
      </c>
      <c r="B2723">
        <f>IF(A2723&gt;162.1,Parameters!$B$5,Parameters!$B$4)</f>
        <v/>
      </c>
      <c r="C2723">
        <f>C2722-0.1*B2723+0</f>
        <v/>
      </c>
      <c r="D2723">
        <f>D2722-0.1*B2723+0</f>
        <v/>
      </c>
      <c r="E2723">
        <f>Parameters!$B$25</f>
        <v/>
      </c>
    </row>
    <row r="2724">
      <c r="A2724" t="n">
        <v>272.2</v>
      </c>
      <c r="B2724">
        <f>IF(A2724&gt;162.1,Parameters!$B$5,Parameters!$B$4)</f>
        <v/>
      </c>
      <c r="C2724">
        <f>C2723-0.1*B2724+0</f>
        <v/>
      </c>
      <c r="D2724">
        <f>D2723-0.1*B2724+0</f>
        <v/>
      </c>
      <c r="E2724">
        <f>Parameters!$B$25</f>
        <v/>
      </c>
    </row>
    <row r="2725">
      <c r="A2725" t="n">
        <v>272.3</v>
      </c>
      <c r="B2725">
        <f>IF(A2725&gt;162.1,Parameters!$B$5,Parameters!$B$4)</f>
        <v/>
      </c>
      <c r="C2725">
        <f>C2724-0.1*B2725+0</f>
        <v/>
      </c>
      <c r="D2725">
        <f>D2724-0.1*B2725+0</f>
        <v/>
      </c>
      <c r="E2725">
        <f>Parameters!$B$25</f>
        <v/>
      </c>
    </row>
    <row r="2726">
      <c r="A2726" t="n">
        <v>272.4</v>
      </c>
      <c r="B2726">
        <f>IF(A2726&gt;162.1,Parameters!$B$5,Parameters!$B$4)</f>
        <v/>
      </c>
      <c r="C2726">
        <f>C2725-0.1*B2726+0</f>
        <v/>
      </c>
      <c r="D2726">
        <f>D2725-0.1*B2726+0</f>
        <v/>
      </c>
      <c r="E2726">
        <f>Parameters!$B$25</f>
        <v/>
      </c>
    </row>
    <row r="2727">
      <c r="A2727" t="n">
        <v>272.5</v>
      </c>
      <c r="B2727">
        <f>IF(A2727&gt;162.1,Parameters!$B$5,Parameters!$B$4)</f>
        <v/>
      </c>
      <c r="C2727">
        <f>C2726-0.1*B2727+0</f>
        <v/>
      </c>
      <c r="D2727">
        <f>D2726-0.1*B2727+0</f>
        <v/>
      </c>
      <c r="E2727">
        <f>Parameters!$B$25</f>
        <v/>
      </c>
    </row>
    <row r="2728">
      <c r="A2728" t="n">
        <v>272.6</v>
      </c>
      <c r="B2728">
        <f>IF(A2728&gt;162.1,Parameters!$B$5,Parameters!$B$4)</f>
        <v/>
      </c>
      <c r="C2728">
        <f>C2727-0.1*B2728+0</f>
        <v/>
      </c>
      <c r="D2728">
        <f>D2727-0.1*B2728+0</f>
        <v/>
      </c>
      <c r="E2728">
        <f>Parameters!$B$25</f>
        <v/>
      </c>
    </row>
    <row r="2729">
      <c r="A2729" t="n">
        <v>272.7</v>
      </c>
      <c r="B2729">
        <f>IF(A2729&gt;162.1,Parameters!$B$5,Parameters!$B$4)</f>
        <v/>
      </c>
      <c r="C2729">
        <f>C2728-0.1*B2729+0</f>
        <v/>
      </c>
      <c r="D2729">
        <f>D2728-0.1*B2729+0</f>
        <v/>
      </c>
      <c r="E2729">
        <f>Parameters!$B$25</f>
        <v/>
      </c>
    </row>
    <row r="2730">
      <c r="A2730" t="n">
        <v>272.8</v>
      </c>
      <c r="B2730">
        <f>IF(A2730&gt;162.1,Parameters!$B$5,Parameters!$B$4)</f>
        <v/>
      </c>
      <c r="C2730">
        <f>C2729-0.1*B2730+0</f>
        <v/>
      </c>
      <c r="D2730">
        <f>D2729-0.1*B2730+0</f>
        <v/>
      </c>
      <c r="E2730">
        <f>Parameters!$B$25</f>
        <v/>
      </c>
    </row>
    <row r="2731">
      <c r="A2731" t="n">
        <v>272.9</v>
      </c>
      <c r="B2731">
        <f>IF(A2731&gt;162.1,Parameters!$B$5,Parameters!$B$4)</f>
        <v/>
      </c>
      <c r="C2731">
        <f>C2730-0.1*B2731+0</f>
        <v/>
      </c>
      <c r="D2731">
        <f>D2730-0.1*B2731+0</f>
        <v/>
      </c>
      <c r="E2731">
        <f>Parameters!$B$25</f>
        <v/>
      </c>
    </row>
    <row r="2732">
      <c r="A2732" t="n">
        <v>273</v>
      </c>
      <c r="B2732">
        <f>IF(A2732&gt;162.1,Parameters!$B$5,Parameters!$B$4)</f>
        <v/>
      </c>
      <c r="C2732">
        <f>C2731-0.1*B2732+0</f>
        <v/>
      </c>
      <c r="D2732">
        <f>D2731-0.1*B2732+0</f>
        <v/>
      </c>
      <c r="E2732">
        <f>Parameters!$B$25</f>
        <v/>
      </c>
    </row>
    <row r="2733">
      <c r="A2733" t="n">
        <v>273.1</v>
      </c>
      <c r="B2733">
        <f>IF(A2733&gt;162.1,Parameters!$B$5,Parameters!$B$4)</f>
        <v/>
      </c>
      <c r="C2733">
        <f>C2732-0.1*B2733+0</f>
        <v/>
      </c>
      <c r="D2733">
        <f>D2732-0.1*B2733+0</f>
        <v/>
      </c>
      <c r="E2733">
        <f>Parameters!$B$25</f>
        <v/>
      </c>
    </row>
    <row r="2734">
      <c r="A2734" t="n">
        <v>273.2</v>
      </c>
      <c r="B2734">
        <f>IF(A2734&gt;162.1,Parameters!$B$5,Parameters!$B$4)</f>
        <v/>
      </c>
      <c r="C2734">
        <f>C2733-0.1*B2734+0</f>
        <v/>
      </c>
      <c r="D2734">
        <f>D2733-0.1*B2734+0</f>
        <v/>
      </c>
      <c r="E2734">
        <f>Parameters!$B$25</f>
        <v/>
      </c>
    </row>
    <row r="2735">
      <c r="A2735" t="n">
        <v>273.3</v>
      </c>
      <c r="B2735">
        <f>IF(A2735&gt;162.1,Parameters!$B$5,Parameters!$B$4)</f>
        <v/>
      </c>
      <c r="C2735">
        <f>C2734-0.1*B2735+0</f>
        <v/>
      </c>
      <c r="D2735">
        <f>D2734-0.1*B2735+0</f>
        <v/>
      </c>
      <c r="E2735">
        <f>Parameters!$B$25</f>
        <v/>
      </c>
    </row>
    <row r="2736">
      <c r="A2736" t="n">
        <v>273.4</v>
      </c>
      <c r="B2736">
        <f>IF(A2736&gt;162.1,Parameters!$B$5,Parameters!$B$4)</f>
        <v/>
      </c>
      <c r="C2736">
        <f>C2735-0.1*B2736+0</f>
        <v/>
      </c>
      <c r="D2736">
        <f>D2735-0.1*B2736+0</f>
        <v/>
      </c>
      <c r="E2736">
        <f>Parameters!$B$25</f>
        <v/>
      </c>
    </row>
    <row r="2737">
      <c r="A2737" t="n">
        <v>273.5</v>
      </c>
      <c r="B2737">
        <f>IF(A2737&gt;162.1,Parameters!$B$5,Parameters!$B$4)</f>
        <v/>
      </c>
      <c r="C2737">
        <f>C2736-0.1*B2737+0</f>
        <v/>
      </c>
      <c r="D2737">
        <f>D2736-0.1*B2737+0</f>
        <v/>
      </c>
      <c r="E2737">
        <f>Parameters!$B$25</f>
        <v/>
      </c>
    </row>
    <row r="2738">
      <c r="A2738" t="n">
        <v>273.6</v>
      </c>
      <c r="B2738">
        <f>IF(A2738&gt;162.1,Parameters!$B$5,Parameters!$B$4)</f>
        <v/>
      </c>
      <c r="C2738">
        <f>C2737-0.1*B2738+0</f>
        <v/>
      </c>
      <c r="D2738">
        <f>D2737-0.1*B2738+0</f>
        <v/>
      </c>
      <c r="E2738">
        <f>Parameters!$B$25</f>
        <v/>
      </c>
    </row>
    <row r="2739">
      <c r="A2739" t="n">
        <v>273.7</v>
      </c>
      <c r="B2739">
        <f>IF(A2739&gt;162.1,Parameters!$B$5,Parameters!$B$4)</f>
        <v/>
      </c>
      <c r="C2739">
        <f>C2738-0.1*B2739+0</f>
        <v/>
      </c>
      <c r="D2739">
        <f>D2738-0.1*B2739+0</f>
        <v/>
      </c>
      <c r="E2739">
        <f>Parameters!$B$25</f>
        <v/>
      </c>
    </row>
    <row r="2740">
      <c r="A2740" t="n">
        <v>273.8</v>
      </c>
      <c r="B2740">
        <f>IF(A2740&gt;162.1,Parameters!$B$5,Parameters!$B$4)</f>
        <v/>
      </c>
      <c r="C2740">
        <f>C2739-0.1*B2740+0</f>
        <v/>
      </c>
      <c r="D2740">
        <f>D2739-0.1*B2740+0</f>
        <v/>
      </c>
      <c r="E2740">
        <f>Parameters!$B$25</f>
        <v/>
      </c>
    </row>
    <row r="2741">
      <c r="A2741" t="n">
        <v>273.9</v>
      </c>
      <c r="B2741">
        <f>IF(A2741&gt;162.1,Parameters!$B$5,Parameters!$B$4)</f>
        <v/>
      </c>
      <c r="C2741">
        <f>C2740-0.1*B2741+0</f>
        <v/>
      </c>
      <c r="D2741">
        <f>D2740-0.1*B2741+0</f>
        <v/>
      </c>
      <c r="E2741">
        <f>Parameters!$B$25</f>
        <v/>
      </c>
    </row>
    <row r="2742">
      <c r="A2742" t="n">
        <v>274</v>
      </c>
      <c r="B2742">
        <f>IF(A2742&gt;162.1,Parameters!$B$5,Parameters!$B$4)</f>
        <v/>
      </c>
      <c r="C2742">
        <f>C2741-0.1*B2742+0</f>
        <v/>
      </c>
      <c r="D2742">
        <f>D2741-0.1*B2742+0</f>
        <v/>
      </c>
      <c r="E2742">
        <f>Parameters!$B$25</f>
        <v/>
      </c>
    </row>
    <row r="2743">
      <c r="A2743" t="n">
        <v>274.1</v>
      </c>
      <c r="B2743">
        <f>IF(A2743&gt;162.1,Parameters!$B$5,Parameters!$B$4)</f>
        <v/>
      </c>
      <c r="C2743">
        <f>C2742-0.1*B2743+0</f>
        <v/>
      </c>
      <c r="D2743">
        <f>D2742-0.1*B2743+0</f>
        <v/>
      </c>
      <c r="E2743">
        <f>Parameters!$B$25</f>
        <v/>
      </c>
    </row>
    <row r="2744">
      <c r="A2744" t="n">
        <v>274.2</v>
      </c>
      <c r="B2744">
        <f>IF(A2744&gt;162.1,Parameters!$B$5,Parameters!$B$4)</f>
        <v/>
      </c>
      <c r="C2744">
        <f>C2743-0.1*B2744+0</f>
        <v/>
      </c>
      <c r="D2744">
        <f>D2743-0.1*B2744+0</f>
        <v/>
      </c>
      <c r="E2744">
        <f>Parameters!$B$25</f>
        <v/>
      </c>
    </row>
    <row r="2745">
      <c r="A2745" t="n">
        <v>274.3</v>
      </c>
      <c r="B2745">
        <f>IF(A2745&gt;162.1,Parameters!$B$5,Parameters!$B$4)</f>
        <v/>
      </c>
      <c r="C2745">
        <f>C2744-0.1*B2745+0</f>
        <v/>
      </c>
      <c r="D2745">
        <f>D2744-0.1*B2745+0</f>
        <v/>
      </c>
      <c r="E2745">
        <f>Parameters!$B$25</f>
        <v/>
      </c>
    </row>
    <row r="2746">
      <c r="A2746" t="n">
        <v>274.4</v>
      </c>
      <c r="B2746">
        <f>IF(A2746&gt;162.1,Parameters!$B$5,Parameters!$B$4)</f>
        <v/>
      </c>
      <c r="C2746">
        <f>C2745-0.1*B2746+0</f>
        <v/>
      </c>
      <c r="D2746">
        <f>D2745-0.1*B2746+0</f>
        <v/>
      </c>
      <c r="E2746">
        <f>Parameters!$B$25</f>
        <v/>
      </c>
    </row>
    <row r="2747">
      <c r="A2747" t="n">
        <v>274.5</v>
      </c>
      <c r="B2747">
        <f>IF(A2747&gt;162.1,Parameters!$B$5,Parameters!$B$4)</f>
        <v/>
      </c>
      <c r="C2747">
        <f>C2746-0.1*B2747+0</f>
        <v/>
      </c>
      <c r="D2747">
        <f>D2746-0.1*B2747+0</f>
        <v/>
      </c>
      <c r="E2747">
        <f>Parameters!$B$25</f>
        <v/>
      </c>
    </row>
    <row r="2748">
      <c r="A2748" t="n">
        <v>274.6</v>
      </c>
      <c r="B2748">
        <f>IF(A2748&gt;162.1,Parameters!$B$5,Parameters!$B$4)</f>
        <v/>
      </c>
      <c r="C2748">
        <f>C2747-0.1*B2748+0</f>
        <v/>
      </c>
      <c r="D2748">
        <f>D2747-0.1*B2748+0</f>
        <v/>
      </c>
      <c r="E2748">
        <f>Parameters!$B$25</f>
        <v/>
      </c>
    </row>
    <row r="2749">
      <c r="A2749" t="n">
        <v>274.7</v>
      </c>
      <c r="B2749">
        <f>IF(A2749&gt;162.1,Parameters!$B$5,Parameters!$B$4)</f>
        <v/>
      </c>
      <c r="C2749">
        <f>C2748-0.1*B2749+0</f>
        <v/>
      </c>
      <c r="D2749">
        <f>D2748-0.1*B2749+0</f>
        <v/>
      </c>
      <c r="E2749">
        <f>Parameters!$B$25</f>
        <v/>
      </c>
    </row>
    <row r="2750">
      <c r="A2750" t="n">
        <v>274.8</v>
      </c>
      <c r="B2750">
        <f>IF(A2750&gt;162.1,Parameters!$B$5,Parameters!$B$4)</f>
        <v/>
      </c>
      <c r="C2750">
        <f>C2749-0.1*B2750+0</f>
        <v/>
      </c>
      <c r="D2750">
        <f>D2749-0.1*B2750+0</f>
        <v/>
      </c>
      <c r="E2750">
        <f>Parameters!$B$25</f>
        <v/>
      </c>
    </row>
    <row r="2751">
      <c r="A2751" t="n">
        <v>274.9</v>
      </c>
      <c r="B2751">
        <f>IF(A2751&gt;162.1,Parameters!$B$5,Parameters!$B$4)</f>
        <v/>
      </c>
      <c r="C2751">
        <f>C2750-0.1*B2751+0</f>
        <v/>
      </c>
      <c r="D2751">
        <f>D2750-0.1*B2751+0</f>
        <v/>
      </c>
      <c r="E2751">
        <f>Parameters!$B$25</f>
        <v/>
      </c>
    </row>
    <row r="2752">
      <c r="A2752" t="n">
        <v>275</v>
      </c>
      <c r="B2752">
        <f>IF(A2752&gt;162.1,Parameters!$B$5,Parameters!$B$4)</f>
        <v/>
      </c>
      <c r="C2752">
        <f>C2751-0.1*B2752+0</f>
        <v/>
      </c>
      <c r="D2752">
        <f>D2751-0.1*B2752+0</f>
        <v/>
      </c>
      <c r="E2752">
        <f>Parameters!$B$25</f>
        <v/>
      </c>
    </row>
    <row r="2753">
      <c r="A2753" t="n">
        <v>275.1</v>
      </c>
      <c r="B2753">
        <f>IF(A2753&gt;162.1,Parameters!$B$5,Parameters!$B$4)</f>
        <v/>
      </c>
      <c r="C2753">
        <f>C2752-0.1*B2753+0</f>
        <v/>
      </c>
      <c r="D2753">
        <f>D2752-0.1*B2753+0</f>
        <v/>
      </c>
      <c r="E2753">
        <f>Parameters!$B$25</f>
        <v/>
      </c>
    </row>
    <row r="2754">
      <c r="A2754" t="n">
        <v>275.2</v>
      </c>
      <c r="B2754">
        <f>IF(A2754&gt;162.1,Parameters!$B$5,Parameters!$B$4)</f>
        <v/>
      </c>
      <c r="C2754">
        <f>C2753-0.1*B2754+0</f>
        <v/>
      </c>
      <c r="D2754">
        <f>D2753-0.1*B2754+0</f>
        <v/>
      </c>
      <c r="E2754">
        <f>Parameters!$B$25</f>
        <v/>
      </c>
    </row>
    <row r="2755">
      <c r="A2755" t="n">
        <v>275.3</v>
      </c>
      <c r="B2755">
        <f>IF(A2755&gt;162.1,Parameters!$B$5,Parameters!$B$4)</f>
        <v/>
      </c>
      <c r="C2755">
        <f>C2754-0.1*B2755+0</f>
        <v/>
      </c>
      <c r="D2755">
        <f>D2754-0.1*B2755+0</f>
        <v/>
      </c>
      <c r="E2755">
        <f>Parameters!$B$25</f>
        <v/>
      </c>
    </row>
    <row r="2756">
      <c r="A2756" t="n">
        <v>275.4</v>
      </c>
      <c r="B2756">
        <f>IF(A2756&gt;162.1,Parameters!$B$5,Parameters!$B$4)</f>
        <v/>
      </c>
      <c r="C2756">
        <f>C2755-0.1*B2756+0</f>
        <v/>
      </c>
      <c r="D2756">
        <f>D2755-0.1*B2756+0</f>
        <v/>
      </c>
      <c r="E2756">
        <f>Parameters!$B$25</f>
        <v/>
      </c>
    </row>
    <row r="2757">
      <c r="A2757" t="n">
        <v>275.5</v>
      </c>
      <c r="B2757">
        <f>IF(A2757&gt;162.1,Parameters!$B$5,Parameters!$B$4)</f>
        <v/>
      </c>
      <c r="C2757">
        <f>C2756-0.1*B2757+0</f>
        <v/>
      </c>
      <c r="D2757">
        <f>D2756-0.1*B2757+0</f>
        <v/>
      </c>
      <c r="E2757">
        <f>Parameters!$B$25</f>
        <v/>
      </c>
    </row>
    <row r="2758">
      <c r="A2758" t="n">
        <v>275.6</v>
      </c>
      <c r="B2758">
        <f>IF(A2758&gt;162.1,Parameters!$B$5,Parameters!$B$4)</f>
        <v/>
      </c>
      <c r="C2758">
        <f>C2757-0.1*B2758+0</f>
        <v/>
      </c>
      <c r="D2758">
        <f>D2757-0.1*B2758+0</f>
        <v/>
      </c>
      <c r="E2758">
        <f>Parameters!$B$25</f>
        <v/>
      </c>
    </row>
    <row r="2759">
      <c r="A2759" t="n">
        <v>275.7</v>
      </c>
      <c r="B2759">
        <f>IF(A2759&gt;162.1,Parameters!$B$5,Parameters!$B$4)</f>
        <v/>
      </c>
      <c r="C2759">
        <f>C2758-0.1*B2759+0</f>
        <v/>
      </c>
      <c r="D2759">
        <f>D2758-0.1*B2759+0</f>
        <v/>
      </c>
      <c r="E2759">
        <f>Parameters!$B$25</f>
        <v/>
      </c>
    </row>
    <row r="2760">
      <c r="A2760" t="n">
        <v>275.8</v>
      </c>
      <c r="B2760">
        <f>IF(A2760&gt;162.1,Parameters!$B$5,Parameters!$B$4)</f>
        <v/>
      </c>
      <c r="C2760">
        <f>C2759-0.1*B2760+0</f>
        <v/>
      </c>
      <c r="D2760">
        <f>D2759-0.1*B2760+0</f>
        <v/>
      </c>
      <c r="E2760">
        <f>Parameters!$B$25</f>
        <v/>
      </c>
    </row>
    <row r="2761">
      <c r="A2761" t="n">
        <v>275.9</v>
      </c>
      <c r="B2761">
        <f>IF(A2761&gt;162.1,Parameters!$B$5,Parameters!$B$4)</f>
        <v/>
      </c>
      <c r="C2761">
        <f>C2760-0.1*B2761+0</f>
        <v/>
      </c>
      <c r="D2761">
        <f>D2760-0.1*B2761+0</f>
        <v/>
      </c>
      <c r="E2761">
        <f>Parameters!$B$25</f>
        <v/>
      </c>
    </row>
    <row r="2762">
      <c r="A2762" t="n">
        <v>276</v>
      </c>
      <c r="B2762">
        <f>IF(A2762&gt;162.1,Parameters!$B$5,Parameters!$B$4)</f>
        <v/>
      </c>
      <c r="C2762">
        <f>C2761-0.1*B2762+0</f>
        <v/>
      </c>
      <c r="D2762">
        <f>D2761-0.1*B2762+0</f>
        <v/>
      </c>
      <c r="E2762">
        <f>Parameters!$B$25</f>
        <v/>
      </c>
    </row>
    <row r="2763">
      <c r="A2763" t="n">
        <v>276.1</v>
      </c>
      <c r="B2763">
        <f>IF(A2763&gt;162.1,Parameters!$B$5,Parameters!$B$4)</f>
        <v/>
      </c>
      <c r="C2763">
        <f>C2762-0.1*B2763+0</f>
        <v/>
      </c>
      <c r="D2763">
        <f>D2762-0.1*B2763+0</f>
        <v/>
      </c>
      <c r="E2763">
        <f>Parameters!$B$25</f>
        <v/>
      </c>
    </row>
    <row r="2764">
      <c r="A2764" t="n">
        <v>276.2</v>
      </c>
      <c r="B2764">
        <f>IF(A2764&gt;162.1,Parameters!$B$5,Parameters!$B$4)</f>
        <v/>
      </c>
      <c r="C2764">
        <f>C2763-0.1*B2764+0</f>
        <v/>
      </c>
      <c r="D2764">
        <f>D2763-0.1*B2764+0</f>
        <v/>
      </c>
      <c r="E2764">
        <f>Parameters!$B$25</f>
        <v/>
      </c>
    </row>
    <row r="2765">
      <c r="A2765" t="n">
        <v>276.3</v>
      </c>
      <c r="B2765">
        <f>IF(A2765&gt;162.1,Parameters!$B$5,Parameters!$B$4)</f>
        <v/>
      </c>
      <c r="C2765">
        <f>C2764-0.1*B2765+0</f>
        <v/>
      </c>
      <c r="D2765">
        <f>D2764-0.1*B2765+0</f>
        <v/>
      </c>
      <c r="E2765">
        <f>Parameters!$B$25</f>
        <v/>
      </c>
    </row>
    <row r="2766">
      <c r="A2766" t="n">
        <v>276.4</v>
      </c>
      <c r="B2766">
        <f>IF(A2766&gt;162.1,Parameters!$B$5,Parameters!$B$4)</f>
        <v/>
      </c>
      <c r="C2766">
        <f>C2765-0.1*B2766+0</f>
        <v/>
      </c>
      <c r="D2766">
        <f>D2765-0.1*B2766+0</f>
        <v/>
      </c>
      <c r="E2766">
        <f>Parameters!$B$25</f>
        <v/>
      </c>
    </row>
    <row r="2767">
      <c r="A2767" t="n">
        <v>276.5</v>
      </c>
      <c r="B2767">
        <f>IF(A2767&gt;162.1,Parameters!$B$5,Parameters!$B$4)</f>
        <v/>
      </c>
      <c r="C2767">
        <f>C2766-0.1*B2767+0</f>
        <v/>
      </c>
      <c r="D2767">
        <f>D2766-0.1*B2767+0</f>
        <v/>
      </c>
      <c r="E2767">
        <f>Parameters!$B$25</f>
        <v/>
      </c>
    </row>
    <row r="2768">
      <c r="A2768" t="n">
        <v>276.6</v>
      </c>
      <c r="B2768">
        <f>IF(A2768&gt;162.1,Parameters!$B$5,Parameters!$B$4)</f>
        <v/>
      </c>
      <c r="C2768">
        <f>C2767-0.1*B2768+0</f>
        <v/>
      </c>
      <c r="D2768">
        <f>D2767-0.1*B2768+0</f>
        <v/>
      </c>
      <c r="E2768">
        <f>Parameters!$B$25</f>
        <v/>
      </c>
    </row>
    <row r="2769">
      <c r="A2769" t="n">
        <v>276.7</v>
      </c>
      <c r="B2769">
        <f>IF(A2769&gt;162.1,Parameters!$B$5,Parameters!$B$4)</f>
        <v/>
      </c>
      <c r="C2769">
        <f>C2768-0.1*B2769+0</f>
        <v/>
      </c>
      <c r="D2769">
        <f>D2768-0.1*B2769+0</f>
        <v/>
      </c>
      <c r="E2769">
        <f>Parameters!$B$25</f>
        <v/>
      </c>
    </row>
    <row r="2770">
      <c r="A2770" t="n">
        <v>276.8</v>
      </c>
      <c r="B2770">
        <f>IF(A2770&gt;162.1,Parameters!$B$5,Parameters!$B$4)</f>
        <v/>
      </c>
      <c r="C2770">
        <f>C2769-0.1*B2770+0</f>
        <v/>
      </c>
      <c r="D2770">
        <f>D2769-0.1*B2770+0</f>
        <v/>
      </c>
      <c r="E2770">
        <f>Parameters!$B$25</f>
        <v/>
      </c>
    </row>
    <row r="2771">
      <c r="A2771" t="n">
        <v>276.9</v>
      </c>
      <c r="B2771">
        <f>IF(A2771&gt;162.1,Parameters!$B$5,Parameters!$B$4)</f>
        <v/>
      </c>
      <c r="C2771">
        <f>C2770-0.1*B2771+0</f>
        <v/>
      </c>
      <c r="D2771">
        <f>D2770-0.1*B2771+0</f>
        <v/>
      </c>
      <c r="E2771">
        <f>Parameters!$B$25</f>
        <v/>
      </c>
    </row>
    <row r="2772">
      <c r="A2772" t="n">
        <v>277</v>
      </c>
      <c r="B2772">
        <f>IF(A2772&gt;162.1,Parameters!$B$5,Parameters!$B$4)</f>
        <v/>
      </c>
      <c r="C2772">
        <f>C2771-0.1*B2772+0</f>
        <v/>
      </c>
      <c r="D2772">
        <f>D2771-0.1*B2772+0</f>
        <v/>
      </c>
      <c r="E2772">
        <f>Parameters!$B$25</f>
        <v/>
      </c>
    </row>
    <row r="2773">
      <c r="A2773" t="n">
        <v>277.1</v>
      </c>
      <c r="B2773">
        <f>IF(A2773&gt;162.1,Parameters!$B$5,Parameters!$B$4)</f>
        <v/>
      </c>
      <c r="C2773">
        <f>C2772-0.1*B2773+0</f>
        <v/>
      </c>
      <c r="D2773">
        <f>D2772-0.1*B2773+0</f>
        <v/>
      </c>
      <c r="E2773">
        <f>Parameters!$B$25</f>
        <v/>
      </c>
    </row>
    <row r="2774">
      <c r="A2774" t="n">
        <v>277.2</v>
      </c>
      <c r="B2774">
        <f>IF(A2774&gt;162.1,Parameters!$B$5,Parameters!$B$4)</f>
        <v/>
      </c>
      <c r="C2774">
        <f>C2773-0.1*B2774+0</f>
        <v/>
      </c>
      <c r="D2774">
        <f>D2773-0.1*B2774+0</f>
        <v/>
      </c>
      <c r="E2774">
        <f>Parameters!$B$25</f>
        <v/>
      </c>
    </row>
    <row r="2775">
      <c r="A2775" t="n">
        <v>277.3</v>
      </c>
      <c r="B2775">
        <f>IF(A2775&gt;162.1,Parameters!$B$5,Parameters!$B$4)</f>
        <v/>
      </c>
      <c r="C2775">
        <f>C2774-0.1*B2775+0</f>
        <v/>
      </c>
      <c r="D2775">
        <f>D2774-0.1*B2775+0</f>
        <v/>
      </c>
      <c r="E2775">
        <f>Parameters!$B$25</f>
        <v/>
      </c>
    </row>
    <row r="2776">
      <c r="A2776" t="n">
        <v>277.4</v>
      </c>
      <c r="B2776">
        <f>IF(A2776&gt;162.1,Parameters!$B$5,Parameters!$B$4)</f>
        <v/>
      </c>
      <c r="C2776">
        <f>C2775-0.1*B2776+0</f>
        <v/>
      </c>
      <c r="D2776">
        <f>D2775-0.1*B2776+0</f>
        <v/>
      </c>
      <c r="E2776">
        <f>Parameters!$B$25</f>
        <v/>
      </c>
    </row>
    <row r="2777">
      <c r="A2777" t="n">
        <v>277.5</v>
      </c>
      <c r="B2777">
        <f>IF(A2777&gt;162.1,Parameters!$B$5,Parameters!$B$4)</f>
        <v/>
      </c>
      <c r="C2777">
        <f>C2776-0.1*B2777+0</f>
        <v/>
      </c>
      <c r="D2777">
        <f>D2776-0.1*B2777+0</f>
        <v/>
      </c>
      <c r="E2777">
        <f>Parameters!$B$25</f>
        <v/>
      </c>
    </row>
    <row r="2778">
      <c r="A2778" t="n">
        <v>277.6</v>
      </c>
      <c r="B2778">
        <f>IF(A2778&gt;162.1,Parameters!$B$5,Parameters!$B$4)</f>
        <v/>
      </c>
      <c r="C2778">
        <f>C2777-0.1*B2778+0</f>
        <v/>
      </c>
      <c r="D2778">
        <f>D2777-0.1*B2778+0</f>
        <v/>
      </c>
      <c r="E2778">
        <f>Parameters!$B$25</f>
        <v/>
      </c>
    </row>
    <row r="2779">
      <c r="A2779" t="n">
        <v>277.7</v>
      </c>
      <c r="B2779">
        <f>IF(A2779&gt;162.1,Parameters!$B$5,Parameters!$B$4)</f>
        <v/>
      </c>
      <c r="C2779">
        <f>C2778-0.1*B2779+0</f>
        <v/>
      </c>
      <c r="D2779">
        <f>D2778-0.1*B2779+0</f>
        <v/>
      </c>
      <c r="E2779">
        <f>Parameters!$B$25</f>
        <v/>
      </c>
    </row>
    <row r="2780">
      <c r="A2780" t="n">
        <v>277.8</v>
      </c>
      <c r="B2780">
        <f>IF(A2780&gt;162.1,Parameters!$B$5,Parameters!$B$4)</f>
        <v/>
      </c>
      <c r="C2780">
        <f>C2779-0.1*B2780+0</f>
        <v/>
      </c>
      <c r="D2780">
        <f>D2779-0.1*B2780+0</f>
        <v/>
      </c>
      <c r="E2780">
        <f>Parameters!$B$25</f>
        <v/>
      </c>
    </row>
    <row r="2781">
      <c r="A2781" t="n">
        <v>277.9</v>
      </c>
      <c r="B2781">
        <f>IF(A2781&gt;162.1,Parameters!$B$5,Parameters!$B$4)</f>
        <v/>
      </c>
      <c r="C2781">
        <f>C2780-0.1*B2781+0</f>
        <v/>
      </c>
      <c r="D2781">
        <f>D2780-0.1*B2781+0</f>
        <v/>
      </c>
      <c r="E2781">
        <f>Parameters!$B$25</f>
        <v/>
      </c>
    </row>
    <row r="2782">
      <c r="A2782" t="n">
        <v>278</v>
      </c>
      <c r="B2782">
        <f>IF(A2782&gt;162.1,Parameters!$B$5,Parameters!$B$4)</f>
        <v/>
      </c>
      <c r="C2782">
        <f>C2781-0.1*B2782+0</f>
        <v/>
      </c>
      <c r="D2782">
        <f>D2781-0.1*B2782+0</f>
        <v/>
      </c>
      <c r="E2782">
        <f>Parameters!$B$25</f>
        <v/>
      </c>
    </row>
    <row r="2783">
      <c r="A2783" t="n">
        <v>278.1</v>
      </c>
      <c r="B2783">
        <f>IF(A2783&gt;162.1,Parameters!$B$5,Parameters!$B$4)</f>
        <v/>
      </c>
      <c r="C2783">
        <f>C2782-0.1*B2783+0</f>
        <v/>
      </c>
      <c r="D2783">
        <f>D2782-0.1*B2783+0</f>
        <v/>
      </c>
      <c r="E2783">
        <f>Parameters!$B$25</f>
        <v/>
      </c>
    </row>
    <row r="2784">
      <c r="A2784" t="n">
        <v>278.2</v>
      </c>
      <c r="B2784">
        <f>IF(A2784&gt;162.1,Parameters!$B$5,Parameters!$B$4)</f>
        <v/>
      </c>
      <c r="C2784">
        <f>C2783-0.1*B2784+0</f>
        <v/>
      </c>
      <c r="D2784">
        <f>D2783-0.1*B2784+0</f>
        <v/>
      </c>
      <c r="E2784">
        <f>Parameters!$B$25</f>
        <v/>
      </c>
    </row>
    <row r="2785">
      <c r="A2785" t="n">
        <v>278.3</v>
      </c>
      <c r="B2785">
        <f>IF(A2785&gt;162.1,Parameters!$B$5,Parameters!$B$4)</f>
        <v/>
      </c>
      <c r="C2785">
        <f>C2784-0.1*B2785+0</f>
        <v/>
      </c>
      <c r="D2785">
        <f>D2784-0.1*B2785+0</f>
        <v/>
      </c>
      <c r="E2785">
        <f>Parameters!$B$25</f>
        <v/>
      </c>
    </row>
    <row r="2786">
      <c r="A2786" t="n">
        <v>278.4</v>
      </c>
      <c r="B2786">
        <f>IF(A2786&gt;162.1,Parameters!$B$5,Parameters!$B$4)</f>
        <v/>
      </c>
      <c r="C2786">
        <f>C2785-0.1*B2786+0</f>
        <v/>
      </c>
      <c r="D2786">
        <f>D2785-0.1*B2786+0</f>
        <v/>
      </c>
      <c r="E2786">
        <f>Parameters!$B$25</f>
        <v/>
      </c>
    </row>
    <row r="2787">
      <c r="A2787" t="n">
        <v>278.5</v>
      </c>
      <c r="B2787">
        <f>IF(A2787&gt;162.1,Parameters!$B$5,Parameters!$B$4)</f>
        <v/>
      </c>
      <c r="C2787">
        <f>C2786-0.1*B2787+0</f>
        <v/>
      </c>
      <c r="D2787">
        <f>D2786-0.1*B2787+0</f>
        <v/>
      </c>
      <c r="E2787">
        <f>Parameters!$B$25</f>
        <v/>
      </c>
    </row>
    <row r="2788">
      <c r="A2788" t="n">
        <v>278.6</v>
      </c>
      <c r="B2788">
        <f>IF(A2788&gt;162.1,Parameters!$B$5,Parameters!$B$4)</f>
        <v/>
      </c>
      <c r="C2788">
        <f>C2787-0.1*B2788+0</f>
        <v/>
      </c>
      <c r="D2788">
        <f>D2787-0.1*B2788+0</f>
        <v/>
      </c>
      <c r="E2788">
        <f>Parameters!$B$25</f>
        <v/>
      </c>
    </row>
    <row r="2789">
      <c r="A2789" t="n">
        <v>278.7</v>
      </c>
      <c r="B2789">
        <f>IF(A2789&gt;162.1,Parameters!$B$5,Parameters!$B$4)</f>
        <v/>
      </c>
      <c r="C2789">
        <f>C2788-0.1*B2789+0</f>
        <v/>
      </c>
      <c r="D2789">
        <f>D2788-0.1*B2789+0</f>
        <v/>
      </c>
      <c r="E2789">
        <f>Parameters!$B$25</f>
        <v/>
      </c>
    </row>
    <row r="2790">
      <c r="A2790" t="n">
        <v>278.8</v>
      </c>
      <c r="B2790">
        <f>IF(A2790&gt;162.1,Parameters!$B$5,Parameters!$B$4)</f>
        <v/>
      </c>
      <c r="C2790">
        <f>C2789-0.1*B2790+0</f>
        <v/>
      </c>
      <c r="D2790">
        <f>D2789-0.1*B2790+0</f>
        <v/>
      </c>
      <c r="E2790">
        <f>Parameters!$B$25</f>
        <v/>
      </c>
    </row>
    <row r="2791">
      <c r="A2791" t="n">
        <v>278.9</v>
      </c>
      <c r="B2791">
        <f>IF(A2791&gt;162.1,Parameters!$B$5,Parameters!$B$4)</f>
        <v/>
      </c>
      <c r="C2791">
        <f>C2790-0.1*B2791+0</f>
        <v/>
      </c>
      <c r="D2791">
        <f>D2790-0.1*B2791+0</f>
        <v/>
      </c>
      <c r="E2791">
        <f>Parameters!$B$25</f>
        <v/>
      </c>
    </row>
    <row r="2792">
      <c r="A2792" t="n">
        <v>279</v>
      </c>
      <c r="B2792">
        <f>IF(A2792&gt;162.1,Parameters!$B$5,Parameters!$B$4)</f>
        <v/>
      </c>
      <c r="C2792">
        <f>C2791-0.1*B2792+0</f>
        <v/>
      </c>
      <c r="D2792">
        <f>D2791-0.1*B2792+0</f>
        <v/>
      </c>
      <c r="E2792">
        <f>Parameters!$B$25</f>
        <v/>
      </c>
    </row>
    <row r="2793">
      <c r="A2793" t="n">
        <v>279.1</v>
      </c>
      <c r="B2793">
        <f>IF(A2793&gt;162.1,Parameters!$B$5,Parameters!$B$4)</f>
        <v/>
      </c>
      <c r="C2793">
        <f>C2792-0.1*B2793+0</f>
        <v/>
      </c>
      <c r="D2793">
        <f>D2792-0.1*B2793+0</f>
        <v/>
      </c>
      <c r="E2793">
        <f>Parameters!$B$25</f>
        <v/>
      </c>
    </row>
    <row r="2794">
      <c r="A2794" t="n">
        <v>279.2</v>
      </c>
      <c r="B2794">
        <f>IF(A2794&gt;162.1,Parameters!$B$5,Parameters!$B$4)</f>
        <v/>
      </c>
      <c r="C2794">
        <f>C2793-0.1*B2794+0</f>
        <v/>
      </c>
      <c r="D2794">
        <f>D2793-0.1*B2794+0</f>
        <v/>
      </c>
      <c r="E2794">
        <f>Parameters!$B$25</f>
        <v/>
      </c>
    </row>
    <row r="2795">
      <c r="A2795" t="n">
        <v>279.3</v>
      </c>
      <c r="B2795">
        <f>IF(A2795&gt;162.1,Parameters!$B$5,Parameters!$B$4)</f>
        <v/>
      </c>
      <c r="C2795">
        <f>C2794-0.1*B2795+0</f>
        <v/>
      </c>
      <c r="D2795">
        <f>D2794-0.1*B2795+0</f>
        <v/>
      </c>
      <c r="E2795">
        <f>Parameters!$B$25</f>
        <v/>
      </c>
    </row>
    <row r="2796">
      <c r="A2796" t="n">
        <v>279.4</v>
      </c>
      <c r="B2796">
        <f>IF(A2796&gt;162.1,Parameters!$B$5,Parameters!$B$4)</f>
        <v/>
      </c>
      <c r="C2796">
        <f>C2795-0.1*B2796+0</f>
        <v/>
      </c>
      <c r="D2796">
        <f>D2795-0.1*B2796+0</f>
        <v/>
      </c>
      <c r="E2796">
        <f>Parameters!$B$25</f>
        <v/>
      </c>
    </row>
    <row r="2797">
      <c r="A2797" t="n">
        <v>279.5</v>
      </c>
      <c r="B2797">
        <f>IF(A2797&gt;162.1,Parameters!$B$5,Parameters!$B$4)</f>
        <v/>
      </c>
      <c r="C2797">
        <f>C2796-0.1*B2797+0</f>
        <v/>
      </c>
      <c r="D2797">
        <f>D2796-0.1*B2797+0</f>
        <v/>
      </c>
      <c r="E2797">
        <f>Parameters!$B$25</f>
        <v/>
      </c>
    </row>
    <row r="2798">
      <c r="A2798" t="n">
        <v>279.6</v>
      </c>
      <c r="B2798">
        <f>IF(A2798&gt;162.1,Parameters!$B$5,Parameters!$B$4)</f>
        <v/>
      </c>
      <c r="C2798">
        <f>C2797-0.1*B2798+0</f>
        <v/>
      </c>
      <c r="D2798">
        <f>D2797-0.1*B2798+0</f>
        <v/>
      </c>
      <c r="E2798">
        <f>Parameters!$B$25</f>
        <v/>
      </c>
    </row>
    <row r="2799">
      <c r="A2799" t="n">
        <v>279.7</v>
      </c>
      <c r="B2799">
        <f>IF(A2799&gt;162.1,Parameters!$B$5,Parameters!$B$4)</f>
        <v/>
      </c>
      <c r="C2799">
        <f>C2798-0.1*B2799+0</f>
        <v/>
      </c>
      <c r="D2799">
        <f>D2798-0.1*B2799+0</f>
        <v/>
      </c>
      <c r="E2799">
        <f>Parameters!$B$25</f>
        <v/>
      </c>
    </row>
    <row r="2800">
      <c r="A2800" t="n">
        <v>279.8</v>
      </c>
      <c r="B2800">
        <f>IF(A2800&gt;162.1,Parameters!$B$5,Parameters!$B$4)</f>
        <v/>
      </c>
      <c r="C2800">
        <f>C2799-0.1*B2800+0</f>
        <v/>
      </c>
      <c r="D2800">
        <f>D2799-0.1*B2800+0</f>
        <v/>
      </c>
      <c r="E2800">
        <f>Parameters!$B$25</f>
        <v/>
      </c>
    </row>
    <row r="2801">
      <c r="A2801" t="n">
        <v>279.9</v>
      </c>
      <c r="B2801">
        <f>IF(A2801&gt;162.1,Parameters!$B$5,Parameters!$B$4)</f>
        <v/>
      </c>
      <c r="C2801">
        <f>C2800-0.1*B2801+0</f>
        <v/>
      </c>
      <c r="D2801">
        <f>D2800-0.1*B2801+0</f>
        <v/>
      </c>
      <c r="E2801">
        <f>Parameters!$B$25</f>
        <v/>
      </c>
    </row>
    <row r="2802">
      <c r="A2802" t="n">
        <v>280</v>
      </c>
      <c r="B2802">
        <f>IF(A2802&gt;162.1,Parameters!$B$5,Parameters!$B$4)</f>
        <v/>
      </c>
      <c r="C2802">
        <f>C2801-0.1*B2802+0</f>
        <v/>
      </c>
      <c r="D2802">
        <f>D2801-0.1*B2802+0</f>
        <v/>
      </c>
      <c r="E2802">
        <f>Parameters!$B$25</f>
        <v/>
      </c>
    </row>
    <row r="2803">
      <c r="A2803" t="n">
        <v>280.1</v>
      </c>
      <c r="B2803">
        <f>IF(A2803&gt;162.1,Parameters!$B$5,Parameters!$B$4)</f>
        <v/>
      </c>
      <c r="C2803">
        <f>C2802-0.1*B2803+0</f>
        <v/>
      </c>
      <c r="D2803">
        <f>D2802-0.1*B2803+0</f>
        <v/>
      </c>
      <c r="E2803">
        <f>Parameters!$B$25</f>
        <v/>
      </c>
    </row>
    <row r="2804">
      <c r="A2804" t="n">
        <v>280.2</v>
      </c>
      <c r="B2804">
        <f>IF(A2804&gt;162.1,Parameters!$B$5,Parameters!$B$4)</f>
        <v/>
      </c>
      <c r="C2804">
        <f>C2803-0.1*B2804+0</f>
        <v/>
      </c>
      <c r="D2804">
        <f>D2803-0.1*B2804+0</f>
        <v/>
      </c>
      <c r="E2804">
        <f>Parameters!$B$25</f>
        <v/>
      </c>
    </row>
    <row r="2805">
      <c r="A2805" t="n">
        <v>280.3</v>
      </c>
      <c r="B2805">
        <f>IF(A2805&gt;162.1,Parameters!$B$5,Parameters!$B$4)</f>
        <v/>
      </c>
      <c r="C2805">
        <f>C2804-0.1*B2805+0</f>
        <v/>
      </c>
      <c r="D2805">
        <f>D2804-0.1*B2805+0</f>
        <v/>
      </c>
      <c r="E2805">
        <f>Parameters!$B$25</f>
        <v/>
      </c>
    </row>
    <row r="2806">
      <c r="A2806" t="n">
        <v>280.4</v>
      </c>
      <c r="B2806">
        <f>IF(A2806&gt;162.1,Parameters!$B$5,Parameters!$B$4)</f>
        <v/>
      </c>
      <c r="C2806">
        <f>C2805-0.1*B2806+0</f>
        <v/>
      </c>
      <c r="D2806">
        <f>D2805-0.1*B2806+0</f>
        <v/>
      </c>
      <c r="E2806">
        <f>Parameters!$B$25</f>
        <v/>
      </c>
    </row>
    <row r="2807">
      <c r="A2807" t="n">
        <v>280.5</v>
      </c>
      <c r="B2807">
        <f>IF(A2807&gt;162.1,Parameters!$B$5,Parameters!$B$4)</f>
        <v/>
      </c>
      <c r="C2807">
        <f>C2806-0.1*B2807+0</f>
        <v/>
      </c>
      <c r="D2807">
        <f>D2806-0.1*B2807+0</f>
        <v/>
      </c>
      <c r="E2807">
        <f>Parameters!$B$25</f>
        <v/>
      </c>
    </row>
    <row r="2808">
      <c r="A2808" t="n">
        <v>280.6</v>
      </c>
      <c r="B2808">
        <f>IF(A2808&gt;162.1,Parameters!$B$5,Parameters!$B$4)</f>
        <v/>
      </c>
      <c r="C2808">
        <f>C2807-0.1*B2808+0</f>
        <v/>
      </c>
      <c r="D2808">
        <f>D2807-0.1*B2808+0</f>
        <v/>
      </c>
      <c r="E2808">
        <f>Parameters!$B$25</f>
        <v/>
      </c>
    </row>
    <row r="2809">
      <c r="A2809" t="n">
        <v>280.7</v>
      </c>
      <c r="B2809">
        <f>IF(A2809&gt;162.1,Parameters!$B$5,Parameters!$B$4)</f>
        <v/>
      </c>
      <c r="C2809">
        <f>C2808-0.1*B2809+0</f>
        <v/>
      </c>
      <c r="D2809">
        <f>D2808-0.1*B2809+0</f>
        <v/>
      </c>
      <c r="E2809">
        <f>Parameters!$B$25</f>
        <v/>
      </c>
    </row>
    <row r="2810">
      <c r="A2810" t="n">
        <v>280.8</v>
      </c>
      <c r="B2810">
        <f>IF(A2810&gt;162.1,Parameters!$B$5,Parameters!$B$4)</f>
        <v/>
      </c>
      <c r="C2810">
        <f>C2809-0.1*B2810+0</f>
        <v/>
      </c>
      <c r="D2810">
        <f>D2809-0.1*B2810+0</f>
        <v/>
      </c>
      <c r="E2810">
        <f>Parameters!$B$25</f>
        <v/>
      </c>
    </row>
    <row r="2811">
      <c r="A2811" t="n">
        <v>280.9</v>
      </c>
      <c r="B2811">
        <f>IF(A2811&gt;162.1,Parameters!$B$5,Parameters!$B$4)</f>
        <v/>
      </c>
      <c r="C2811">
        <f>C2810-0.1*B2811+0</f>
        <v/>
      </c>
      <c r="D2811">
        <f>D2810-0.1*B2811+0</f>
        <v/>
      </c>
      <c r="E2811">
        <f>Parameters!$B$25</f>
        <v/>
      </c>
    </row>
    <row r="2812">
      <c r="A2812" t="n">
        <v>281</v>
      </c>
      <c r="B2812">
        <f>IF(A2812&gt;162.1,Parameters!$B$5,Parameters!$B$4)</f>
        <v/>
      </c>
      <c r="C2812">
        <f>C2811-0.1*B2812+0</f>
        <v/>
      </c>
      <c r="D2812">
        <f>D2811-0.1*B2812+0</f>
        <v/>
      </c>
      <c r="E2812">
        <f>Parameters!$B$25</f>
        <v/>
      </c>
    </row>
    <row r="2813">
      <c r="A2813" t="n">
        <v>281.1</v>
      </c>
      <c r="B2813">
        <f>IF(A2813&gt;162.1,Parameters!$B$5,Parameters!$B$4)</f>
        <v/>
      </c>
      <c r="C2813">
        <f>C2812-0.1*B2813+0</f>
        <v/>
      </c>
      <c r="D2813">
        <f>D2812-0.1*B2813+0</f>
        <v/>
      </c>
      <c r="E2813">
        <f>Parameters!$B$25</f>
        <v/>
      </c>
    </row>
    <row r="2814">
      <c r="A2814" t="n">
        <v>281.2</v>
      </c>
      <c r="B2814">
        <f>IF(A2814&gt;162.1,Parameters!$B$5,Parameters!$B$4)</f>
        <v/>
      </c>
      <c r="C2814">
        <f>C2813-0.1*B2814+0</f>
        <v/>
      </c>
      <c r="D2814">
        <f>D2813-0.1*B2814+0</f>
        <v/>
      </c>
      <c r="E2814">
        <f>Parameters!$B$25</f>
        <v/>
      </c>
    </row>
    <row r="2815">
      <c r="A2815" t="n">
        <v>281.3</v>
      </c>
      <c r="B2815">
        <f>IF(A2815&gt;162.1,Parameters!$B$5,Parameters!$B$4)</f>
        <v/>
      </c>
      <c r="C2815">
        <f>C2814-0.1*B2815+0</f>
        <v/>
      </c>
      <c r="D2815">
        <f>D2814-0.1*B2815+0</f>
        <v/>
      </c>
      <c r="E2815">
        <f>Parameters!$B$25</f>
        <v/>
      </c>
    </row>
    <row r="2816">
      <c r="A2816" t="n">
        <v>281.4</v>
      </c>
      <c r="B2816">
        <f>IF(A2816&gt;162.1,Parameters!$B$5,Parameters!$B$4)</f>
        <v/>
      </c>
      <c r="C2816">
        <f>C2815-0.1*B2816+0</f>
        <v/>
      </c>
      <c r="D2816">
        <f>D2815-0.1*B2816+0</f>
        <v/>
      </c>
      <c r="E2816">
        <f>Parameters!$B$25</f>
        <v/>
      </c>
    </row>
    <row r="2817">
      <c r="A2817" t="n">
        <v>281.5</v>
      </c>
      <c r="B2817">
        <f>IF(A2817&gt;162.1,Parameters!$B$5,Parameters!$B$4)</f>
        <v/>
      </c>
      <c r="C2817">
        <f>C2816-0.1*B2817+0</f>
        <v/>
      </c>
      <c r="D2817">
        <f>D2816-0.1*B2817+0</f>
        <v/>
      </c>
      <c r="E2817">
        <f>Parameters!$B$25</f>
        <v/>
      </c>
    </row>
    <row r="2818">
      <c r="A2818" t="n">
        <v>281.6</v>
      </c>
      <c r="B2818">
        <f>IF(A2818&gt;162.1,Parameters!$B$5,Parameters!$B$4)</f>
        <v/>
      </c>
      <c r="C2818">
        <f>C2817-0.1*B2818+0</f>
        <v/>
      </c>
      <c r="D2818">
        <f>D2817-0.1*B2818+0</f>
        <v/>
      </c>
      <c r="E2818">
        <f>Parameters!$B$25</f>
        <v/>
      </c>
    </row>
    <row r="2819">
      <c r="A2819" t="n">
        <v>281.7</v>
      </c>
      <c r="B2819">
        <f>IF(A2819&gt;162.1,Parameters!$B$5,Parameters!$B$4)</f>
        <v/>
      </c>
      <c r="C2819">
        <f>C2818-0.1*B2819+0</f>
        <v/>
      </c>
      <c r="D2819">
        <f>D2818-0.1*B2819+0</f>
        <v/>
      </c>
      <c r="E2819">
        <f>Parameters!$B$25</f>
        <v/>
      </c>
    </row>
    <row r="2820">
      <c r="A2820" t="n">
        <v>281.8</v>
      </c>
      <c r="B2820">
        <f>IF(A2820&gt;162.1,Parameters!$B$5,Parameters!$B$4)</f>
        <v/>
      </c>
      <c r="C2820">
        <f>C2819-0.1*B2820+0</f>
        <v/>
      </c>
      <c r="D2820">
        <f>D2819-0.1*B2820+0</f>
        <v/>
      </c>
      <c r="E2820">
        <f>Parameters!$B$25</f>
        <v/>
      </c>
    </row>
    <row r="2821">
      <c r="A2821" t="n">
        <v>281.9</v>
      </c>
      <c r="B2821">
        <f>IF(A2821&gt;162.1,Parameters!$B$5,Parameters!$B$4)</f>
        <v/>
      </c>
      <c r="C2821">
        <f>C2820-0.1*B2821+0</f>
        <v/>
      </c>
      <c r="D2821">
        <f>D2820-0.1*B2821+0</f>
        <v/>
      </c>
      <c r="E2821">
        <f>Parameters!$B$25</f>
        <v/>
      </c>
    </row>
    <row r="2822">
      <c r="A2822" t="n">
        <v>282</v>
      </c>
      <c r="B2822">
        <f>IF(A2822&gt;162.1,Parameters!$B$5,Parameters!$B$4)</f>
        <v/>
      </c>
      <c r="C2822">
        <f>C2821-0.1*B2822+0</f>
        <v/>
      </c>
      <c r="D2822">
        <f>D2821-0.1*B2822+0</f>
        <v/>
      </c>
      <c r="E2822">
        <f>Parameters!$B$25</f>
        <v/>
      </c>
    </row>
    <row r="2823">
      <c r="A2823" t="n">
        <v>282.1</v>
      </c>
      <c r="B2823">
        <f>IF(A2823&gt;162.1,Parameters!$B$5,Parameters!$B$4)</f>
        <v/>
      </c>
      <c r="C2823">
        <f>C2822-0.1*B2823+0</f>
        <v/>
      </c>
      <c r="D2823">
        <f>D2822-0.1*B2823+0</f>
        <v/>
      </c>
      <c r="E2823">
        <f>Parameters!$B$25</f>
        <v/>
      </c>
    </row>
    <row r="2824">
      <c r="A2824" t="n">
        <v>282.2</v>
      </c>
      <c r="B2824">
        <f>IF(A2824&gt;162.1,Parameters!$B$5,Parameters!$B$4)</f>
        <v/>
      </c>
      <c r="C2824">
        <f>C2823-0.1*B2824+0</f>
        <v/>
      </c>
      <c r="D2824">
        <f>D2823-0.1*B2824+0</f>
        <v/>
      </c>
      <c r="E2824">
        <f>Parameters!$B$25</f>
        <v/>
      </c>
    </row>
    <row r="2825">
      <c r="A2825" t="n">
        <v>282.3</v>
      </c>
      <c r="B2825">
        <f>IF(A2825&gt;162.1,Parameters!$B$5,Parameters!$B$4)</f>
        <v/>
      </c>
      <c r="C2825">
        <f>C2824-0.1*B2825+0</f>
        <v/>
      </c>
      <c r="D2825">
        <f>D2824-0.1*B2825+0</f>
        <v/>
      </c>
      <c r="E2825">
        <f>Parameters!$B$25</f>
        <v/>
      </c>
    </row>
    <row r="2826">
      <c r="A2826" t="n">
        <v>282.4</v>
      </c>
      <c r="B2826">
        <f>IF(A2826&gt;162.1,Parameters!$B$5,Parameters!$B$4)</f>
        <v/>
      </c>
      <c r="C2826">
        <f>C2825-0.1*B2826+0</f>
        <v/>
      </c>
      <c r="D2826">
        <f>D2825-0.1*B2826+0</f>
        <v/>
      </c>
      <c r="E2826">
        <f>Parameters!$B$25</f>
        <v/>
      </c>
    </row>
    <row r="2827">
      <c r="A2827" t="n">
        <v>282.5</v>
      </c>
      <c r="B2827">
        <f>IF(A2827&gt;162.1,Parameters!$B$5,Parameters!$B$4)</f>
        <v/>
      </c>
      <c r="C2827">
        <f>C2826-0.1*B2827+0</f>
        <v/>
      </c>
      <c r="D2827">
        <f>D2826-0.1*B2827+0</f>
        <v/>
      </c>
      <c r="E2827">
        <f>Parameters!$B$25</f>
        <v/>
      </c>
    </row>
    <row r="2828">
      <c r="A2828" t="n">
        <v>282.6</v>
      </c>
      <c r="B2828">
        <f>IF(A2828&gt;162.1,Parameters!$B$5,Parameters!$B$4)</f>
        <v/>
      </c>
      <c r="C2828">
        <f>C2827-0.1*B2828+0</f>
        <v/>
      </c>
      <c r="D2828">
        <f>D2827-0.1*B2828+0</f>
        <v/>
      </c>
      <c r="E2828">
        <f>Parameters!$B$25</f>
        <v/>
      </c>
    </row>
    <row r="2829">
      <c r="A2829" t="n">
        <v>282.7</v>
      </c>
      <c r="B2829">
        <f>IF(A2829&gt;162.1,Parameters!$B$5,Parameters!$B$4)</f>
        <v/>
      </c>
      <c r="C2829">
        <f>C2828-0.1*B2829+0</f>
        <v/>
      </c>
      <c r="D2829">
        <f>D2828-0.1*B2829+0</f>
        <v/>
      </c>
      <c r="E2829">
        <f>Parameters!$B$25</f>
        <v/>
      </c>
    </row>
    <row r="2830">
      <c r="A2830" t="n">
        <v>282.8</v>
      </c>
      <c r="B2830">
        <f>IF(A2830&gt;162.1,Parameters!$B$5,Parameters!$B$4)</f>
        <v/>
      </c>
      <c r="C2830">
        <f>C2829-0.1*B2830+0</f>
        <v/>
      </c>
      <c r="D2830">
        <f>D2829-0.1*B2830+0</f>
        <v/>
      </c>
      <c r="E2830">
        <f>Parameters!$B$25</f>
        <v/>
      </c>
    </row>
    <row r="2831">
      <c r="A2831" t="n">
        <v>282.9</v>
      </c>
      <c r="B2831">
        <f>IF(A2831&gt;162.1,Parameters!$B$5,Parameters!$B$4)</f>
        <v/>
      </c>
      <c r="C2831">
        <f>C2830-0.1*B2831+0</f>
        <v/>
      </c>
      <c r="D2831">
        <f>D2830-0.1*B2831+0</f>
        <v/>
      </c>
      <c r="E2831">
        <f>Parameters!$B$25</f>
        <v/>
      </c>
    </row>
    <row r="2832">
      <c r="A2832" t="n">
        <v>283</v>
      </c>
      <c r="B2832">
        <f>IF(A2832&gt;162.1,Parameters!$B$5,Parameters!$B$4)</f>
        <v/>
      </c>
      <c r="C2832">
        <f>C2831-0.1*B2832+0</f>
        <v/>
      </c>
      <c r="D2832">
        <f>D2831-0.1*B2832+0</f>
        <v/>
      </c>
      <c r="E2832">
        <f>Parameters!$B$25</f>
        <v/>
      </c>
    </row>
    <row r="2833">
      <c r="A2833" t="n">
        <v>283.1</v>
      </c>
      <c r="B2833">
        <f>IF(A2833&gt;162.1,Parameters!$B$5,Parameters!$B$4)</f>
        <v/>
      </c>
      <c r="C2833">
        <f>C2832-0.1*B2833+0</f>
        <v/>
      </c>
      <c r="D2833">
        <f>D2832-0.1*B2833+0</f>
        <v/>
      </c>
      <c r="E2833">
        <f>Parameters!$B$25</f>
        <v/>
      </c>
    </row>
    <row r="2834">
      <c r="A2834" t="n">
        <v>283.2</v>
      </c>
      <c r="B2834">
        <f>IF(A2834&gt;162.1,Parameters!$B$5,Parameters!$B$4)</f>
        <v/>
      </c>
      <c r="C2834">
        <f>C2833-0.1*B2834+0</f>
        <v/>
      </c>
      <c r="D2834">
        <f>D2833-0.1*B2834+0</f>
        <v/>
      </c>
      <c r="E2834">
        <f>Parameters!$B$25</f>
        <v/>
      </c>
    </row>
    <row r="2835">
      <c r="A2835" t="n">
        <v>283.3</v>
      </c>
      <c r="B2835">
        <f>IF(A2835&gt;162.1,Parameters!$B$5,Parameters!$B$4)</f>
        <v/>
      </c>
      <c r="C2835">
        <f>C2834-0.1*B2835+0</f>
        <v/>
      </c>
      <c r="D2835">
        <f>D2834-0.1*B2835+0</f>
        <v/>
      </c>
      <c r="E2835">
        <f>Parameters!$B$25</f>
        <v/>
      </c>
    </row>
    <row r="2836">
      <c r="A2836" t="n">
        <v>283.4</v>
      </c>
      <c r="B2836">
        <f>IF(A2836&gt;162.1,Parameters!$B$5,Parameters!$B$4)</f>
        <v/>
      </c>
      <c r="C2836">
        <f>C2835-0.1*B2836+0</f>
        <v/>
      </c>
      <c r="D2836">
        <f>D2835-0.1*B2836+0</f>
        <v/>
      </c>
      <c r="E2836">
        <f>Parameters!$B$25</f>
        <v/>
      </c>
    </row>
    <row r="2837">
      <c r="A2837" t="n">
        <v>283.5</v>
      </c>
      <c r="B2837">
        <f>IF(A2837&gt;162.1,Parameters!$B$5,Parameters!$B$4)</f>
        <v/>
      </c>
      <c r="C2837">
        <f>C2836-0.1*B2837+0</f>
        <v/>
      </c>
      <c r="D2837">
        <f>D2836-0.1*B2837+0</f>
        <v/>
      </c>
      <c r="E2837">
        <f>Parameters!$B$25</f>
        <v/>
      </c>
    </row>
    <row r="2838">
      <c r="A2838" t="n">
        <v>283.6</v>
      </c>
      <c r="B2838">
        <f>IF(A2838&gt;162.1,Parameters!$B$5,Parameters!$B$4)</f>
        <v/>
      </c>
      <c r="C2838">
        <f>C2837-0.1*B2838+0</f>
        <v/>
      </c>
      <c r="D2838">
        <f>D2837-0.1*B2838+0</f>
        <v/>
      </c>
      <c r="E2838">
        <f>Parameters!$B$25</f>
        <v/>
      </c>
    </row>
    <row r="2839">
      <c r="A2839" t="n">
        <v>283.7</v>
      </c>
      <c r="B2839">
        <f>IF(A2839&gt;162.1,Parameters!$B$5,Parameters!$B$4)</f>
        <v/>
      </c>
      <c r="C2839">
        <f>C2838-0.1*B2839+0</f>
        <v/>
      </c>
      <c r="D2839">
        <f>D2838-0.1*B2839+0</f>
        <v/>
      </c>
      <c r="E2839">
        <f>Parameters!$B$25</f>
        <v/>
      </c>
    </row>
    <row r="2840">
      <c r="A2840" t="n">
        <v>283.8</v>
      </c>
      <c r="B2840">
        <f>IF(A2840&gt;162.1,Parameters!$B$5,Parameters!$B$4)</f>
        <v/>
      </c>
      <c r="C2840">
        <f>C2839-0.1*B2840+0</f>
        <v/>
      </c>
      <c r="D2840">
        <f>D2839-0.1*B2840+0</f>
        <v/>
      </c>
      <c r="E2840">
        <f>Parameters!$B$25</f>
        <v/>
      </c>
    </row>
    <row r="2841">
      <c r="A2841" t="n">
        <v>283.9</v>
      </c>
      <c r="B2841">
        <f>IF(A2841&gt;162.1,Parameters!$B$5,Parameters!$B$4)</f>
        <v/>
      </c>
      <c r="C2841">
        <f>C2840-0.1*B2841+0</f>
        <v/>
      </c>
      <c r="D2841">
        <f>D2840-0.1*B2841+0</f>
        <v/>
      </c>
      <c r="E2841">
        <f>Parameters!$B$25</f>
        <v/>
      </c>
    </row>
    <row r="2842">
      <c r="A2842" t="n">
        <v>284</v>
      </c>
      <c r="B2842">
        <f>IF(A2842&gt;162.1,Parameters!$B$5,Parameters!$B$4)</f>
        <v/>
      </c>
      <c r="C2842">
        <f>C2841-0.1*B2842+0</f>
        <v/>
      </c>
      <c r="D2842">
        <f>D2841-0.1*B2842+0</f>
        <v/>
      </c>
      <c r="E2842">
        <f>Parameters!$B$25</f>
        <v/>
      </c>
    </row>
    <row r="2843">
      <c r="A2843" t="n">
        <v>284.1</v>
      </c>
      <c r="B2843">
        <f>IF(A2843&gt;162.1,Parameters!$B$5,Parameters!$B$4)</f>
        <v/>
      </c>
      <c r="C2843">
        <f>C2842-0.1*B2843+0</f>
        <v/>
      </c>
      <c r="D2843">
        <f>D2842-0.1*B2843+0</f>
        <v/>
      </c>
      <c r="E2843">
        <f>Parameters!$B$25</f>
        <v/>
      </c>
    </row>
    <row r="2844">
      <c r="A2844" t="n">
        <v>284.2</v>
      </c>
      <c r="B2844">
        <f>IF(A2844&gt;162.1,Parameters!$B$5,Parameters!$B$4)</f>
        <v/>
      </c>
      <c r="C2844">
        <f>C2843-0.1*B2844+0</f>
        <v/>
      </c>
      <c r="D2844">
        <f>D2843-0.1*B2844+0</f>
        <v/>
      </c>
      <c r="E2844">
        <f>Parameters!$B$25</f>
        <v/>
      </c>
    </row>
    <row r="2845">
      <c r="A2845" t="n">
        <v>284.3</v>
      </c>
      <c r="B2845">
        <f>IF(A2845&gt;162.1,Parameters!$B$5,Parameters!$B$4)</f>
        <v/>
      </c>
      <c r="C2845">
        <f>C2844-0.1*B2845+0</f>
        <v/>
      </c>
      <c r="D2845">
        <f>D2844-0.1*B2845+0</f>
        <v/>
      </c>
      <c r="E2845">
        <f>Parameters!$B$25</f>
        <v/>
      </c>
    </row>
    <row r="2846">
      <c r="A2846" t="n">
        <v>284.4</v>
      </c>
      <c r="B2846">
        <f>IF(A2846&gt;162.1,Parameters!$B$5,Parameters!$B$4)</f>
        <v/>
      </c>
      <c r="C2846">
        <f>C2845-0.1*B2846+0</f>
        <v/>
      </c>
      <c r="D2846">
        <f>D2845-0.1*B2846+0</f>
        <v/>
      </c>
      <c r="E2846">
        <f>Parameters!$B$25</f>
        <v/>
      </c>
    </row>
    <row r="2847">
      <c r="A2847" t="n">
        <v>284.5</v>
      </c>
      <c r="B2847">
        <f>IF(A2847&gt;162.1,Parameters!$B$5,Parameters!$B$4)</f>
        <v/>
      </c>
      <c r="C2847">
        <f>C2846-0.1*B2847+0</f>
        <v/>
      </c>
      <c r="D2847">
        <f>D2846-0.1*B2847+0</f>
        <v/>
      </c>
      <c r="E2847">
        <f>Parameters!$B$25</f>
        <v/>
      </c>
    </row>
    <row r="2848">
      <c r="A2848" t="n">
        <v>284.6</v>
      </c>
      <c r="B2848">
        <f>IF(A2848&gt;162.1,Parameters!$B$5,Parameters!$B$4)</f>
        <v/>
      </c>
      <c r="C2848">
        <f>C2847-0.1*B2848+0</f>
        <v/>
      </c>
      <c r="D2848">
        <f>D2847-0.1*B2848+0</f>
        <v/>
      </c>
      <c r="E2848">
        <f>Parameters!$B$25</f>
        <v/>
      </c>
    </row>
    <row r="2849">
      <c r="A2849" t="n">
        <v>284.7</v>
      </c>
      <c r="B2849">
        <f>IF(A2849&gt;162.1,Parameters!$B$5,Parameters!$B$4)</f>
        <v/>
      </c>
      <c r="C2849">
        <f>C2848-0.1*B2849+0</f>
        <v/>
      </c>
      <c r="D2849">
        <f>D2848-0.1*B2849+0</f>
        <v/>
      </c>
      <c r="E2849">
        <f>Parameters!$B$25</f>
        <v/>
      </c>
    </row>
    <row r="2850">
      <c r="A2850" t="n">
        <v>284.8</v>
      </c>
      <c r="B2850">
        <f>IF(A2850&gt;162.1,Parameters!$B$5,Parameters!$B$4)</f>
        <v/>
      </c>
      <c r="C2850">
        <f>C2849-0.1*B2850+0</f>
        <v/>
      </c>
      <c r="D2850">
        <f>D2849-0.1*B2850+0</f>
        <v/>
      </c>
      <c r="E2850">
        <f>Parameters!$B$25</f>
        <v/>
      </c>
    </row>
    <row r="2851">
      <c r="A2851" t="n">
        <v>284.9</v>
      </c>
      <c r="B2851">
        <f>IF(A2851&gt;162.1,Parameters!$B$5,Parameters!$B$4)</f>
        <v/>
      </c>
      <c r="C2851">
        <f>C2850-0.1*B2851+0</f>
        <v/>
      </c>
      <c r="D2851">
        <f>D2850-0.1*B2851+0</f>
        <v/>
      </c>
      <c r="E2851">
        <f>Parameters!$B$25</f>
        <v/>
      </c>
    </row>
    <row r="2852">
      <c r="A2852" t="n">
        <v>285</v>
      </c>
      <c r="B2852">
        <f>IF(A2852&gt;162.1,Parameters!$B$5,Parameters!$B$4)</f>
        <v/>
      </c>
      <c r="C2852">
        <f>C2851-0.1*B2852+0</f>
        <v/>
      </c>
      <c r="D2852">
        <f>D2851-0.1*B2852+0</f>
        <v/>
      </c>
      <c r="E2852">
        <f>Parameters!$B$25</f>
        <v/>
      </c>
    </row>
    <row r="2853">
      <c r="A2853" t="n">
        <v>285.1</v>
      </c>
      <c r="B2853">
        <f>IF(A2853&gt;162.1,Parameters!$B$5,Parameters!$B$4)</f>
        <v/>
      </c>
      <c r="C2853">
        <f>C2852-0.1*B2853+0</f>
        <v/>
      </c>
      <c r="D2853">
        <f>D2852-0.1*B2853+0</f>
        <v/>
      </c>
      <c r="E2853">
        <f>Parameters!$B$25</f>
        <v/>
      </c>
    </row>
    <row r="2854">
      <c r="A2854" t="n">
        <v>285.2</v>
      </c>
      <c r="B2854">
        <f>IF(A2854&gt;162.1,Parameters!$B$5,Parameters!$B$4)</f>
        <v/>
      </c>
      <c r="C2854">
        <f>C2853-0.1*B2854+0</f>
        <v/>
      </c>
      <c r="D2854">
        <f>D2853-0.1*B2854+0</f>
        <v/>
      </c>
      <c r="E2854">
        <f>Parameters!$B$25</f>
        <v/>
      </c>
    </row>
    <row r="2855">
      <c r="A2855" t="n">
        <v>285.3</v>
      </c>
      <c r="B2855">
        <f>IF(A2855&gt;162.1,Parameters!$B$5,Parameters!$B$4)</f>
        <v/>
      </c>
      <c r="C2855">
        <f>C2854-0.1*B2855+0</f>
        <v/>
      </c>
      <c r="D2855">
        <f>D2854-0.1*B2855+0</f>
        <v/>
      </c>
      <c r="E2855">
        <f>Parameters!$B$25</f>
        <v/>
      </c>
    </row>
    <row r="2856">
      <c r="A2856" t="n">
        <v>285.4</v>
      </c>
      <c r="B2856">
        <f>IF(A2856&gt;162.1,Parameters!$B$5,Parameters!$B$4)</f>
        <v/>
      </c>
      <c r="C2856">
        <f>C2855-0.1*B2856+0</f>
        <v/>
      </c>
      <c r="D2856">
        <f>D2855-0.1*B2856+0</f>
        <v/>
      </c>
      <c r="E2856">
        <f>Parameters!$B$25</f>
        <v/>
      </c>
    </row>
    <row r="2857">
      <c r="A2857" t="n">
        <v>285.5</v>
      </c>
      <c r="B2857">
        <f>IF(A2857&gt;162.1,Parameters!$B$5,Parameters!$B$4)</f>
        <v/>
      </c>
      <c r="C2857">
        <f>C2856-0.1*B2857+0</f>
        <v/>
      </c>
      <c r="D2857">
        <f>D2856-0.1*B2857+0</f>
        <v/>
      </c>
      <c r="E2857">
        <f>Parameters!$B$25</f>
        <v/>
      </c>
    </row>
    <row r="2858">
      <c r="A2858" t="n">
        <v>285.6</v>
      </c>
      <c r="B2858">
        <f>IF(A2858&gt;162.1,Parameters!$B$5,Parameters!$B$4)</f>
        <v/>
      </c>
      <c r="C2858">
        <f>C2857-0.1*B2858+0</f>
        <v/>
      </c>
      <c r="D2858">
        <f>D2857-0.1*B2858+0</f>
        <v/>
      </c>
      <c r="E2858">
        <f>Parameters!$B$25</f>
        <v/>
      </c>
    </row>
    <row r="2859">
      <c r="A2859" t="n">
        <v>285.7</v>
      </c>
      <c r="B2859">
        <f>IF(A2859&gt;162.1,Parameters!$B$5,Parameters!$B$4)</f>
        <v/>
      </c>
      <c r="C2859">
        <f>C2858-0.1*B2859+0</f>
        <v/>
      </c>
      <c r="D2859">
        <f>D2858-0.1*B2859+0</f>
        <v/>
      </c>
      <c r="E2859">
        <f>Parameters!$B$25</f>
        <v/>
      </c>
    </row>
    <row r="2860">
      <c r="A2860" t="n">
        <v>285.8</v>
      </c>
      <c r="B2860">
        <f>IF(A2860&gt;162.1,Parameters!$B$5,Parameters!$B$4)</f>
        <v/>
      </c>
      <c r="C2860">
        <f>C2859-0.1*B2860+0</f>
        <v/>
      </c>
      <c r="D2860">
        <f>D2859-0.1*B2860+0</f>
        <v/>
      </c>
      <c r="E2860">
        <f>Parameters!$B$25</f>
        <v/>
      </c>
    </row>
    <row r="2861">
      <c r="A2861" t="n">
        <v>285.9</v>
      </c>
      <c r="B2861">
        <f>IF(A2861&gt;162.1,Parameters!$B$5,Parameters!$B$4)</f>
        <v/>
      </c>
      <c r="C2861">
        <f>C2860-0.1*B2861+0</f>
        <v/>
      </c>
      <c r="D2861">
        <f>D2860-0.1*B2861+0</f>
        <v/>
      </c>
      <c r="E2861">
        <f>Parameters!$B$25</f>
        <v/>
      </c>
    </row>
    <row r="2862">
      <c r="A2862" t="n">
        <v>286</v>
      </c>
      <c r="B2862">
        <f>IF(A2862&gt;162.1,Parameters!$B$5,Parameters!$B$4)</f>
        <v/>
      </c>
      <c r="C2862">
        <f>C2861-0.1*B2862+0</f>
        <v/>
      </c>
      <c r="D2862">
        <f>D2861-0.1*B2862+0</f>
        <v/>
      </c>
      <c r="E2862">
        <f>Parameters!$B$25</f>
        <v/>
      </c>
    </row>
    <row r="2863">
      <c r="A2863" t="n">
        <v>286.1</v>
      </c>
      <c r="B2863">
        <f>IF(A2863&gt;162.1,Parameters!$B$5,Parameters!$B$4)</f>
        <v/>
      </c>
      <c r="C2863">
        <f>C2862-0.1*B2863+0</f>
        <v/>
      </c>
      <c r="D2863">
        <f>D2862-0.1*B2863+0</f>
        <v/>
      </c>
      <c r="E2863">
        <f>Parameters!$B$25</f>
        <v/>
      </c>
    </row>
    <row r="2864">
      <c r="A2864" t="n">
        <v>286.2</v>
      </c>
      <c r="B2864">
        <f>IF(A2864&gt;162.1,Parameters!$B$5,Parameters!$B$4)</f>
        <v/>
      </c>
      <c r="C2864">
        <f>C2863-0.1*B2864+0</f>
        <v/>
      </c>
      <c r="D2864">
        <f>D2863-0.1*B2864+0</f>
        <v/>
      </c>
      <c r="E2864">
        <f>Parameters!$B$25</f>
        <v/>
      </c>
    </row>
    <row r="2865">
      <c r="A2865" t="n">
        <v>286.3</v>
      </c>
      <c r="B2865">
        <f>IF(A2865&gt;162.1,Parameters!$B$5,Parameters!$B$4)</f>
        <v/>
      </c>
      <c r="C2865">
        <f>C2864-0.1*B2865+0</f>
        <v/>
      </c>
      <c r="D2865">
        <f>D2864-0.1*B2865+0</f>
        <v/>
      </c>
      <c r="E2865">
        <f>Parameters!$B$25</f>
        <v/>
      </c>
    </row>
    <row r="2866">
      <c r="A2866" t="n">
        <v>286.4</v>
      </c>
      <c r="B2866">
        <f>IF(A2866&gt;162.1,Parameters!$B$5,Parameters!$B$4)</f>
        <v/>
      </c>
      <c r="C2866">
        <f>C2865-0.1*B2866+0</f>
        <v/>
      </c>
      <c r="D2866">
        <f>D2865-0.1*B2866+0</f>
        <v/>
      </c>
      <c r="E2866">
        <f>Parameters!$B$25</f>
        <v/>
      </c>
    </row>
    <row r="2867">
      <c r="A2867" t="n">
        <v>286.5</v>
      </c>
      <c r="B2867">
        <f>IF(A2867&gt;162.1,Parameters!$B$5,Parameters!$B$4)</f>
        <v/>
      </c>
      <c r="C2867">
        <f>C2866-0.1*B2867+0</f>
        <v/>
      </c>
      <c r="D2867">
        <f>D2866-0.1*B2867+0</f>
        <v/>
      </c>
      <c r="E2867">
        <f>Parameters!$B$25</f>
        <v/>
      </c>
    </row>
    <row r="2868">
      <c r="A2868" t="n">
        <v>286.6</v>
      </c>
      <c r="B2868">
        <f>IF(A2868&gt;162.1,Parameters!$B$5,Parameters!$B$4)</f>
        <v/>
      </c>
      <c r="C2868">
        <f>C2867-0.1*B2868+0</f>
        <v/>
      </c>
      <c r="D2868">
        <f>D2867-0.1*B2868+0</f>
        <v/>
      </c>
      <c r="E2868">
        <f>Parameters!$B$25</f>
        <v/>
      </c>
    </row>
    <row r="2869">
      <c r="A2869" t="n">
        <v>286.7</v>
      </c>
      <c r="B2869">
        <f>IF(A2869&gt;162.1,Parameters!$B$5,Parameters!$B$4)</f>
        <v/>
      </c>
      <c r="C2869">
        <f>C2868-0.1*B2869+0</f>
        <v/>
      </c>
      <c r="D2869">
        <f>D2868-0.1*B2869+0</f>
        <v/>
      </c>
      <c r="E2869">
        <f>Parameters!$B$25</f>
        <v/>
      </c>
    </row>
    <row r="2870">
      <c r="A2870" t="n">
        <v>286.8</v>
      </c>
      <c r="B2870">
        <f>IF(A2870&gt;162.1,Parameters!$B$5,Parameters!$B$4)</f>
        <v/>
      </c>
      <c r="C2870">
        <f>C2869-0.1*B2870+0</f>
        <v/>
      </c>
      <c r="D2870">
        <f>D2869-0.1*B2870+0</f>
        <v/>
      </c>
      <c r="E2870">
        <f>Parameters!$B$25</f>
        <v/>
      </c>
    </row>
    <row r="2871">
      <c r="A2871" t="n">
        <v>286.9</v>
      </c>
      <c r="B2871">
        <f>IF(A2871&gt;162.1,Parameters!$B$5,Parameters!$B$4)</f>
        <v/>
      </c>
      <c r="C2871">
        <f>C2870-0.1*B2871+0</f>
        <v/>
      </c>
      <c r="D2871">
        <f>D2870-0.1*B2871+0</f>
        <v/>
      </c>
      <c r="E2871">
        <f>Parameters!$B$25</f>
        <v/>
      </c>
    </row>
    <row r="2872">
      <c r="A2872" t="n">
        <v>287</v>
      </c>
      <c r="B2872">
        <f>IF(A2872&gt;162.1,Parameters!$B$5,Parameters!$B$4)</f>
        <v/>
      </c>
      <c r="C2872">
        <f>C2871-0.1*B2872+0</f>
        <v/>
      </c>
      <c r="D2872">
        <f>D2871-0.1*B2872+0</f>
        <v/>
      </c>
      <c r="E2872">
        <f>Parameters!$B$25</f>
        <v/>
      </c>
    </row>
    <row r="2873">
      <c r="A2873" t="n">
        <v>287.1</v>
      </c>
      <c r="B2873">
        <f>IF(A2873&gt;162.1,Parameters!$B$5,Parameters!$B$4)</f>
        <v/>
      </c>
      <c r="C2873">
        <f>C2872-0.1*B2873+0</f>
        <v/>
      </c>
      <c r="D2873">
        <f>D2872-0.1*B2873+0</f>
        <v/>
      </c>
      <c r="E2873">
        <f>Parameters!$B$25</f>
        <v/>
      </c>
    </row>
    <row r="2874">
      <c r="A2874" t="n">
        <v>287.2</v>
      </c>
      <c r="B2874">
        <f>IF(A2874&gt;162.1,Parameters!$B$5,Parameters!$B$4)</f>
        <v/>
      </c>
      <c r="C2874">
        <f>C2873-0.1*B2874+0</f>
        <v/>
      </c>
      <c r="D2874">
        <f>D2873-0.1*B2874+0</f>
        <v/>
      </c>
      <c r="E2874">
        <f>Parameters!$B$25</f>
        <v/>
      </c>
    </row>
    <row r="2875">
      <c r="A2875" t="n">
        <v>287.3</v>
      </c>
      <c r="B2875">
        <f>IF(A2875&gt;162.1,Parameters!$B$5,Parameters!$B$4)</f>
        <v/>
      </c>
      <c r="C2875">
        <f>C2874-0.1*B2875+0</f>
        <v/>
      </c>
      <c r="D2875">
        <f>D2874-0.1*B2875+0</f>
        <v/>
      </c>
      <c r="E2875">
        <f>Parameters!$B$25</f>
        <v/>
      </c>
    </row>
    <row r="2876">
      <c r="A2876" t="n">
        <v>287.4</v>
      </c>
      <c r="B2876">
        <f>IF(A2876&gt;162.1,Parameters!$B$5,Parameters!$B$4)</f>
        <v/>
      </c>
      <c r="C2876">
        <f>C2875-0.1*B2876+0</f>
        <v/>
      </c>
      <c r="D2876">
        <f>D2875-0.1*B2876+0</f>
        <v/>
      </c>
      <c r="E2876">
        <f>Parameters!$B$25</f>
        <v/>
      </c>
    </row>
    <row r="2877">
      <c r="A2877" t="n">
        <v>287.5</v>
      </c>
      <c r="B2877">
        <f>IF(A2877&gt;162.1,Parameters!$B$5,Parameters!$B$4)</f>
        <v/>
      </c>
      <c r="C2877">
        <f>C2876-0.1*B2877+0</f>
        <v/>
      </c>
      <c r="D2877">
        <f>D2876-0.1*B2877+0</f>
        <v/>
      </c>
      <c r="E2877">
        <f>Parameters!$B$25</f>
        <v/>
      </c>
    </row>
    <row r="2878">
      <c r="A2878" t="n">
        <v>287.6</v>
      </c>
      <c r="B2878">
        <f>IF(A2878&gt;162.1,Parameters!$B$5,Parameters!$B$4)</f>
        <v/>
      </c>
      <c r="C2878">
        <f>C2877-0.1*B2878+0</f>
        <v/>
      </c>
      <c r="D2878">
        <f>D2877-0.1*B2878+0</f>
        <v/>
      </c>
      <c r="E2878">
        <f>Parameters!$B$25</f>
        <v/>
      </c>
    </row>
    <row r="2879">
      <c r="A2879" t="n">
        <v>287.7</v>
      </c>
      <c r="B2879">
        <f>IF(A2879&gt;162.1,Parameters!$B$5,Parameters!$B$4)</f>
        <v/>
      </c>
      <c r="C2879">
        <f>C2878-0.1*B2879+0</f>
        <v/>
      </c>
      <c r="D2879">
        <f>D2878-0.1*B2879+0</f>
        <v/>
      </c>
      <c r="E2879">
        <f>Parameters!$B$25</f>
        <v/>
      </c>
    </row>
    <row r="2880">
      <c r="A2880" t="n">
        <v>287.8</v>
      </c>
      <c r="B2880">
        <f>IF(A2880&gt;162.1,Parameters!$B$5,Parameters!$B$4)</f>
        <v/>
      </c>
      <c r="C2880">
        <f>C2879-0.1*B2880+0</f>
        <v/>
      </c>
      <c r="D2880">
        <f>D2879-0.1*B2880+0</f>
        <v/>
      </c>
      <c r="E2880">
        <f>Parameters!$B$25</f>
        <v/>
      </c>
    </row>
    <row r="2881">
      <c r="A2881" t="n">
        <v>287.9</v>
      </c>
      <c r="B2881">
        <f>IF(A2881&gt;162.1,Parameters!$B$5,Parameters!$B$4)</f>
        <v/>
      </c>
      <c r="C2881">
        <f>C2880-0.1*B2881+0</f>
        <v/>
      </c>
      <c r="D2881">
        <f>D2880-0.1*B2881+0</f>
        <v/>
      </c>
      <c r="E2881">
        <f>Parameters!$B$25</f>
        <v/>
      </c>
    </row>
    <row r="2882">
      <c r="A2882" t="n">
        <v>288</v>
      </c>
      <c r="B2882">
        <f>IF(A2882&gt;162.1,Parameters!$B$5,Parameters!$B$4)</f>
        <v/>
      </c>
      <c r="C2882">
        <f>C2881-0.1*B2882+0</f>
        <v/>
      </c>
      <c r="D2882">
        <f>D2881-0.1*B2882+0</f>
        <v/>
      </c>
      <c r="E2882">
        <f>Parameters!$B$25</f>
        <v/>
      </c>
    </row>
    <row r="2883">
      <c r="A2883" t="n">
        <v>288.1</v>
      </c>
      <c r="B2883">
        <f>IF(A2883&gt;162.1,Parameters!$B$5,Parameters!$B$4)</f>
        <v/>
      </c>
      <c r="C2883">
        <f>C2882-0.1*B2883+0</f>
        <v/>
      </c>
      <c r="D2883">
        <f>D2882-0.1*B2883+0</f>
        <v/>
      </c>
      <c r="E2883">
        <f>Parameters!$B$25</f>
        <v/>
      </c>
    </row>
    <row r="2884">
      <c r="A2884" t="n">
        <v>288.2</v>
      </c>
      <c r="B2884">
        <f>IF(A2884&gt;162.1,Parameters!$B$5,Parameters!$B$4)</f>
        <v/>
      </c>
      <c r="C2884">
        <f>C2883-0.1*B2884+0</f>
        <v/>
      </c>
      <c r="D2884">
        <f>D2883-0.1*B2884+0</f>
        <v/>
      </c>
      <c r="E2884">
        <f>Parameters!$B$25</f>
        <v/>
      </c>
    </row>
    <row r="2885">
      <c r="A2885" t="n">
        <v>288.3</v>
      </c>
      <c r="B2885">
        <f>IF(A2885&gt;162.1,Parameters!$B$5,Parameters!$B$4)</f>
        <v/>
      </c>
      <c r="C2885">
        <f>C2884-0.1*B2885+0</f>
        <v/>
      </c>
      <c r="D2885">
        <f>D2884-0.1*B2885+0</f>
        <v/>
      </c>
      <c r="E2885">
        <f>Parameters!$B$25</f>
        <v/>
      </c>
    </row>
    <row r="2886">
      <c r="A2886" t="n">
        <v>288.4</v>
      </c>
      <c r="B2886">
        <f>IF(A2886&gt;162.1,Parameters!$B$5,Parameters!$B$4)</f>
        <v/>
      </c>
      <c r="C2886">
        <f>C2885-0.1*B2886+0</f>
        <v/>
      </c>
      <c r="D2886">
        <f>D2885-0.1*B2886+0</f>
        <v/>
      </c>
      <c r="E2886">
        <f>Parameters!$B$25</f>
        <v/>
      </c>
    </row>
    <row r="2887">
      <c r="A2887" t="n">
        <v>288.5</v>
      </c>
      <c r="B2887">
        <f>IF(A2887&gt;162.1,Parameters!$B$5,Parameters!$B$4)</f>
        <v/>
      </c>
      <c r="C2887">
        <f>C2886-0.1*B2887+0</f>
        <v/>
      </c>
      <c r="D2887">
        <f>D2886-0.1*B2887+0</f>
        <v/>
      </c>
      <c r="E2887">
        <f>Parameters!$B$25</f>
        <v/>
      </c>
    </row>
    <row r="2888">
      <c r="A2888" t="n">
        <v>288.6</v>
      </c>
      <c r="B2888">
        <f>IF(A2888&gt;162.1,Parameters!$B$5,Parameters!$B$4)</f>
        <v/>
      </c>
      <c r="C2888">
        <f>C2887-0.1*B2888+0</f>
        <v/>
      </c>
      <c r="D2888">
        <f>D2887-0.1*B2888+0</f>
        <v/>
      </c>
      <c r="E2888">
        <f>Parameters!$B$25</f>
        <v/>
      </c>
    </row>
    <row r="2889">
      <c r="A2889" t="n">
        <v>288.7</v>
      </c>
      <c r="B2889">
        <f>IF(A2889&gt;162.1,Parameters!$B$5,Parameters!$B$4)</f>
        <v/>
      </c>
      <c r="C2889">
        <f>C2888-0.1*B2889+0</f>
        <v/>
      </c>
      <c r="D2889">
        <f>D2888-0.1*B2889+0</f>
        <v/>
      </c>
      <c r="E2889">
        <f>Parameters!$B$25</f>
        <v/>
      </c>
    </row>
    <row r="2890">
      <c r="A2890" t="n">
        <v>288.8</v>
      </c>
      <c r="B2890">
        <f>IF(A2890&gt;162.1,Parameters!$B$5,Parameters!$B$4)</f>
        <v/>
      </c>
      <c r="C2890">
        <f>C2889-0.1*B2890+0</f>
        <v/>
      </c>
      <c r="D2890">
        <f>D2889-0.1*B2890+0</f>
        <v/>
      </c>
      <c r="E2890">
        <f>Parameters!$B$25</f>
        <v/>
      </c>
    </row>
    <row r="2891">
      <c r="A2891" t="n">
        <v>288.9</v>
      </c>
      <c r="B2891">
        <f>IF(A2891&gt;162.1,Parameters!$B$5,Parameters!$B$4)</f>
        <v/>
      </c>
      <c r="C2891">
        <f>C2890-0.1*B2891+0</f>
        <v/>
      </c>
      <c r="D2891">
        <f>D2890-0.1*B2891+0</f>
        <v/>
      </c>
      <c r="E2891">
        <f>Parameters!$B$25</f>
        <v/>
      </c>
    </row>
    <row r="2892">
      <c r="A2892" t="n">
        <v>289</v>
      </c>
      <c r="B2892">
        <f>IF(A2892&gt;162.1,Parameters!$B$5,Parameters!$B$4)</f>
        <v/>
      </c>
      <c r="C2892">
        <f>C2891-0.1*B2892+0</f>
        <v/>
      </c>
      <c r="D2892">
        <f>D2891-0.1*B2892+0</f>
        <v/>
      </c>
      <c r="E2892">
        <f>Parameters!$B$25</f>
        <v/>
      </c>
    </row>
    <row r="2893">
      <c r="A2893" t="n">
        <v>289.1</v>
      </c>
      <c r="B2893">
        <f>IF(A2893&gt;162.1,Parameters!$B$5,Parameters!$B$4)</f>
        <v/>
      </c>
      <c r="C2893">
        <f>C2892-0.1*B2893+0</f>
        <v/>
      </c>
      <c r="D2893">
        <f>D2892-0.1*B2893+0</f>
        <v/>
      </c>
      <c r="E2893">
        <f>Parameters!$B$25</f>
        <v/>
      </c>
    </row>
    <row r="2894">
      <c r="A2894" t="n">
        <v>289.2</v>
      </c>
      <c r="B2894">
        <f>IF(A2894&gt;162.1,Parameters!$B$5,Parameters!$B$4)</f>
        <v/>
      </c>
      <c r="C2894">
        <f>C2893-0.1*B2894+0</f>
        <v/>
      </c>
      <c r="D2894">
        <f>D2893-0.1*B2894+0</f>
        <v/>
      </c>
      <c r="E2894">
        <f>Parameters!$B$25</f>
        <v/>
      </c>
    </row>
    <row r="2895">
      <c r="A2895" t="n">
        <v>289.3</v>
      </c>
      <c r="B2895">
        <f>IF(A2895&gt;162.1,Parameters!$B$5,Parameters!$B$4)</f>
        <v/>
      </c>
      <c r="C2895">
        <f>C2894-0.1*B2895+0</f>
        <v/>
      </c>
      <c r="D2895">
        <f>D2894-0.1*B2895+0</f>
        <v/>
      </c>
      <c r="E2895">
        <f>Parameters!$B$25</f>
        <v/>
      </c>
    </row>
    <row r="2896">
      <c r="A2896" t="n">
        <v>289.4</v>
      </c>
      <c r="B2896">
        <f>IF(A2896&gt;162.1,Parameters!$B$5,Parameters!$B$4)</f>
        <v/>
      </c>
      <c r="C2896">
        <f>C2895-0.1*B2896+0</f>
        <v/>
      </c>
      <c r="D2896">
        <f>D2895-0.1*B2896+0</f>
        <v/>
      </c>
      <c r="E2896">
        <f>Parameters!$B$25</f>
        <v/>
      </c>
    </row>
    <row r="2897">
      <c r="A2897" t="n">
        <v>289.5</v>
      </c>
      <c r="B2897">
        <f>IF(A2897&gt;162.1,Parameters!$B$5,Parameters!$B$4)</f>
        <v/>
      </c>
      <c r="C2897">
        <f>C2896-0.1*B2897+0</f>
        <v/>
      </c>
      <c r="D2897">
        <f>D2896-0.1*B2897+0</f>
        <v/>
      </c>
      <c r="E2897">
        <f>Parameters!$B$25</f>
        <v/>
      </c>
    </row>
    <row r="2898">
      <c r="A2898" t="n">
        <v>289.6</v>
      </c>
      <c r="B2898">
        <f>IF(A2898&gt;162.1,Parameters!$B$5,Parameters!$B$4)</f>
        <v/>
      </c>
      <c r="C2898">
        <f>C2897-0.1*B2898+0</f>
        <v/>
      </c>
      <c r="D2898">
        <f>D2897-0.1*B2898+0</f>
        <v/>
      </c>
      <c r="E2898">
        <f>Parameters!$B$25</f>
        <v/>
      </c>
    </row>
    <row r="2899">
      <c r="A2899" t="n">
        <v>289.7</v>
      </c>
      <c r="B2899">
        <f>IF(A2899&gt;162.1,Parameters!$B$5,Parameters!$B$4)</f>
        <v/>
      </c>
      <c r="C2899">
        <f>C2898-0.1*B2899+0</f>
        <v/>
      </c>
      <c r="D2899">
        <f>D2898-0.1*B2899+0</f>
        <v/>
      </c>
      <c r="E2899">
        <f>Parameters!$B$25</f>
        <v/>
      </c>
    </row>
    <row r="2900">
      <c r="A2900" t="n">
        <v>289.8</v>
      </c>
      <c r="B2900">
        <f>IF(A2900&gt;162.1,Parameters!$B$5,Parameters!$B$4)</f>
        <v/>
      </c>
      <c r="C2900">
        <f>C2899-0.1*B2900+0</f>
        <v/>
      </c>
      <c r="D2900">
        <f>D2899-0.1*B2900+0</f>
        <v/>
      </c>
      <c r="E2900">
        <f>Parameters!$B$25</f>
        <v/>
      </c>
    </row>
    <row r="2901">
      <c r="A2901" t="n">
        <v>289.9</v>
      </c>
      <c r="B2901">
        <f>IF(A2901&gt;162.1,Parameters!$B$5,Parameters!$B$4)</f>
        <v/>
      </c>
      <c r="C2901">
        <f>C2900-0.1*B2901+0</f>
        <v/>
      </c>
      <c r="D2901">
        <f>D2900-0.1*B2901+0</f>
        <v/>
      </c>
      <c r="E2901">
        <f>Parameters!$B$25</f>
        <v/>
      </c>
    </row>
    <row r="2902">
      <c r="A2902" t="n">
        <v>290</v>
      </c>
      <c r="B2902">
        <f>IF(A2902&gt;162.1,Parameters!$B$5,Parameters!$B$4)</f>
        <v/>
      </c>
      <c r="C2902">
        <f>C2901-0.1*B2902+0</f>
        <v/>
      </c>
      <c r="D2902">
        <f>D2901-0.1*B2902+0</f>
        <v/>
      </c>
      <c r="E2902">
        <f>Parameters!$B$25</f>
        <v/>
      </c>
    </row>
    <row r="2903">
      <c r="A2903" t="n">
        <v>290.1</v>
      </c>
      <c r="B2903">
        <f>IF(A2903&gt;162.1,Parameters!$B$5,Parameters!$B$4)</f>
        <v/>
      </c>
      <c r="C2903">
        <f>C2902-0.1*B2903+0</f>
        <v/>
      </c>
      <c r="D2903">
        <f>D2902-0.1*B2903+0</f>
        <v/>
      </c>
      <c r="E2903">
        <f>Parameters!$B$25</f>
        <v/>
      </c>
    </row>
    <row r="2904">
      <c r="A2904" t="n">
        <v>290.2</v>
      </c>
      <c r="B2904">
        <f>IF(A2904&gt;162.1,Parameters!$B$5,Parameters!$B$4)</f>
        <v/>
      </c>
      <c r="C2904">
        <f>C2903-0.1*B2904+0</f>
        <v/>
      </c>
      <c r="D2904">
        <f>D2903-0.1*B2904+0</f>
        <v/>
      </c>
      <c r="E2904">
        <f>Parameters!$B$25</f>
        <v/>
      </c>
    </row>
    <row r="2905">
      <c r="A2905" t="n">
        <v>290.3</v>
      </c>
      <c r="B2905">
        <f>IF(A2905&gt;162.1,Parameters!$B$5,Parameters!$B$4)</f>
        <v/>
      </c>
      <c r="C2905">
        <f>C2904-0.1*B2905+0</f>
        <v/>
      </c>
      <c r="D2905">
        <f>D2904-0.1*B2905+0</f>
        <v/>
      </c>
      <c r="E2905">
        <f>Parameters!$B$25</f>
        <v/>
      </c>
    </row>
    <row r="2906">
      <c r="A2906" t="n">
        <v>290.4</v>
      </c>
      <c r="B2906">
        <f>IF(A2906&gt;162.1,Parameters!$B$5,Parameters!$B$4)</f>
        <v/>
      </c>
      <c r="C2906">
        <f>C2905-0.1*B2906+0</f>
        <v/>
      </c>
      <c r="D2906">
        <f>D2905-0.1*B2906+0</f>
        <v/>
      </c>
      <c r="E2906">
        <f>Parameters!$B$25</f>
        <v/>
      </c>
    </row>
    <row r="2907">
      <c r="A2907" t="n">
        <v>290.5</v>
      </c>
      <c r="B2907">
        <f>IF(A2907&gt;162.1,Parameters!$B$5,Parameters!$B$4)</f>
        <v/>
      </c>
      <c r="C2907">
        <f>C2906-0.1*B2907+0</f>
        <v/>
      </c>
      <c r="D2907">
        <f>D2906-0.1*B2907+0</f>
        <v/>
      </c>
      <c r="E2907">
        <f>Parameters!$B$25</f>
        <v/>
      </c>
    </row>
    <row r="2908">
      <c r="A2908" t="n">
        <v>290.6</v>
      </c>
      <c r="B2908">
        <f>IF(A2908&gt;162.1,Parameters!$B$5,Parameters!$B$4)</f>
        <v/>
      </c>
      <c r="C2908">
        <f>C2907-0.1*B2908+0</f>
        <v/>
      </c>
      <c r="D2908">
        <f>D2907-0.1*B2908+0</f>
        <v/>
      </c>
      <c r="E2908">
        <f>Parameters!$B$25</f>
        <v/>
      </c>
    </row>
    <row r="2909">
      <c r="A2909" t="n">
        <v>290.7</v>
      </c>
      <c r="B2909">
        <f>IF(A2909&gt;162.1,Parameters!$B$5,Parameters!$B$4)</f>
        <v/>
      </c>
      <c r="C2909">
        <f>C2908-0.1*B2909+0</f>
        <v/>
      </c>
      <c r="D2909">
        <f>D2908-0.1*B2909+0</f>
        <v/>
      </c>
      <c r="E2909">
        <f>Parameters!$B$25</f>
        <v/>
      </c>
    </row>
    <row r="2910">
      <c r="A2910" t="n">
        <v>290.8</v>
      </c>
      <c r="B2910">
        <f>IF(A2910&gt;162.1,Parameters!$B$5,Parameters!$B$4)</f>
        <v/>
      </c>
      <c r="C2910">
        <f>C2909-0.1*B2910+0</f>
        <v/>
      </c>
      <c r="D2910">
        <f>D2909-0.1*B2910+0</f>
        <v/>
      </c>
      <c r="E2910">
        <f>Parameters!$B$25</f>
        <v/>
      </c>
    </row>
    <row r="2911">
      <c r="A2911" t="n">
        <v>290.9</v>
      </c>
      <c r="B2911">
        <f>IF(A2911&gt;162.1,Parameters!$B$5,Parameters!$B$4)</f>
        <v/>
      </c>
      <c r="C2911">
        <f>C2910-0.1*B2911+0</f>
        <v/>
      </c>
      <c r="D2911">
        <f>D2910-0.1*B2911+0</f>
        <v/>
      </c>
      <c r="E2911">
        <f>Parameters!$B$25</f>
        <v/>
      </c>
    </row>
    <row r="2912">
      <c r="A2912" t="n">
        <v>291</v>
      </c>
      <c r="B2912">
        <f>IF(A2912&gt;162.1,Parameters!$B$5,Parameters!$B$4)</f>
        <v/>
      </c>
      <c r="C2912">
        <f>C2911-0.1*B2912+0</f>
        <v/>
      </c>
      <c r="D2912">
        <f>D2911-0.1*B2912+0</f>
        <v/>
      </c>
      <c r="E2912">
        <f>Parameters!$B$25</f>
        <v/>
      </c>
    </row>
    <row r="2913">
      <c r="A2913" t="n">
        <v>291.1</v>
      </c>
      <c r="B2913">
        <f>IF(A2913&gt;162.1,Parameters!$B$5,Parameters!$B$4)</f>
        <v/>
      </c>
      <c r="C2913">
        <f>C2912-0.1*B2913+0</f>
        <v/>
      </c>
      <c r="D2913">
        <f>D2912-0.1*B2913+0</f>
        <v/>
      </c>
      <c r="E2913">
        <f>Parameters!$B$25</f>
        <v/>
      </c>
    </row>
    <row r="2914">
      <c r="A2914" t="n">
        <v>291.2</v>
      </c>
      <c r="B2914">
        <f>IF(A2914&gt;162.1,Parameters!$B$5,Parameters!$B$4)</f>
        <v/>
      </c>
      <c r="C2914">
        <f>C2913-0.1*B2914+0</f>
        <v/>
      </c>
      <c r="D2914">
        <f>D2913-0.1*B2914+0</f>
        <v/>
      </c>
      <c r="E2914">
        <f>Parameters!$B$25</f>
        <v/>
      </c>
    </row>
    <row r="2915">
      <c r="A2915" t="n">
        <v>291.3</v>
      </c>
      <c r="B2915">
        <f>IF(A2915&gt;162.1,Parameters!$B$5,Parameters!$B$4)</f>
        <v/>
      </c>
      <c r="C2915">
        <f>C2914-0.1*B2915+0</f>
        <v/>
      </c>
      <c r="D2915">
        <f>D2914-0.1*B2915+0</f>
        <v/>
      </c>
      <c r="E2915">
        <f>Parameters!$B$25</f>
        <v/>
      </c>
    </row>
    <row r="2916">
      <c r="A2916" t="n">
        <v>291.4</v>
      </c>
      <c r="B2916">
        <f>IF(A2916&gt;162.1,Parameters!$B$5,Parameters!$B$4)</f>
        <v/>
      </c>
      <c r="C2916">
        <f>C2915-0.1*B2916+0</f>
        <v/>
      </c>
      <c r="D2916">
        <f>D2915-0.1*B2916+0</f>
        <v/>
      </c>
      <c r="E2916">
        <f>Parameters!$B$25</f>
        <v/>
      </c>
    </row>
    <row r="2917">
      <c r="A2917" t="n">
        <v>291.5</v>
      </c>
      <c r="B2917">
        <f>IF(A2917&gt;162.1,Parameters!$B$5,Parameters!$B$4)</f>
        <v/>
      </c>
      <c r="C2917">
        <f>C2916-0.1*B2917+0</f>
        <v/>
      </c>
      <c r="D2917">
        <f>D2916-0.1*B2917+0</f>
        <v/>
      </c>
      <c r="E2917">
        <f>Parameters!$B$25</f>
        <v/>
      </c>
    </row>
    <row r="2918">
      <c r="A2918" t="n">
        <v>291.6</v>
      </c>
      <c r="B2918">
        <f>IF(A2918&gt;162.1,Parameters!$B$5,Parameters!$B$4)</f>
        <v/>
      </c>
      <c r="C2918">
        <f>C2917-0.1*B2918+0</f>
        <v/>
      </c>
      <c r="D2918">
        <f>D2917-0.1*B2918+0</f>
        <v/>
      </c>
      <c r="E2918">
        <f>Parameters!$B$25</f>
        <v/>
      </c>
    </row>
    <row r="2919">
      <c r="A2919" t="n">
        <v>291.7</v>
      </c>
      <c r="B2919">
        <f>IF(A2919&gt;162.1,Parameters!$B$5,Parameters!$B$4)</f>
        <v/>
      </c>
      <c r="C2919">
        <f>C2918-0.1*B2919+0</f>
        <v/>
      </c>
      <c r="D2919">
        <f>D2918-0.1*B2919+0</f>
        <v/>
      </c>
      <c r="E2919">
        <f>Parameters!$B$25</f>
        <v/>
      </c>
    </row>
    <row r="2920">
      <c r="A2920" t="n">
        <v>291.8</v>
      </c>
      <c r="B2920">
        <f>IF(A2920&gt;162.1,Parameters!$B$5,Parameters!$B$4)</f>
        <v/>
      </c>
      <c r="C2920">
        <f>C2919-0.1*B2920+0</f>
        <v/>
      </c>
      <c r="D2920">
        <f>D2919-0.1*B2920+0</f>
        <v/>
      </c>
      <c r="E2920">
        <f>Parameters!$B$25</f>
        <v/>
      </c>
    </row>
    <row r="2921">
      <c r="A2921" t="n">
        <v>291.9</v>
      </c>
      <c r="B2921">
        <f>IF(A2921&gt;162.1,Parameters!$B$5,Parameters!$B$4)</f>
        <v/>
      </c>
      <c r="C2921">
        <f>C2920-0.1*B2921+0</f>
        <v/>
      </c>
      <c r="D2921">
        <f>D2920-0.1*B2921+0</f>
        <v/>
      </c>
      <c r="E2921">
        <f>Parameters!$B$25</f>
        <v/>
      </c>
    </row>
    <row r="2922">
      <c r="A2922" t="n">
        <v>292</v>
      </c>
      <c r="B2922">
        <f>IF(A2922&gt;162.1,Parameters!$B$5,Parameters!$B$4)</f>
        <v/>
      </c>
      <c r="C2922">
        <f>C2921-0.1*B2922+0</f>
        <v/>
      </c>
      <c r="D2922">
        <f>D2921-0.1*B2922+0</f>
        <v/>
      </c>
      <c r="E2922">
        <f>Parameters!$B$25</f>
        <v/>
      </c>
    </row>
    <row r="2923">
      <c r="A2923" t="n">
        <v>292.1</v>
      </c>
      <c r="B2923">
        <f>IF(A2923&gt;162.1,Parameters!$B$5,Parameters!$B$4)</f>
        <v/>
      </c>
      <c r="C2923">
        <f>C2922-0.1*B2923+0</f>
        <v/>
      </c>
      <c r="D2923">
        <f>D2922-0.1*B2923+0</f>
        <v/>
      </c>
      <c r="E2923">
        <f>Parameters!$B$25</f>
        <v/>
      </c>
    </row>
    <row r="2924">
      <c r="A2924" t="n">
        <v>292.2</v>
      </c>
      <c r="B2924">
        <f>IF(A2924&gt;162.1,Parameters!$B$5,Parameters!$B$4)</f>
        <v/>
      </c>
      <c r="C2924">
        <f>C2923-0.1*B2924+0</f>
        <v/>
      </c>
      <c r="D2924">
        <f>D2923-0.1*B2924+0</f>
        <v/>
      </c>
      <c r="E2924">
        <f>Parameters!$B$25</f>
        <v/>
      </c>
    </row>
    <row r="2925">
      <c r="A2925" t="n">
        <v>292.3</v>
      </c>
      <c r="B2925">
        <f>IF(A2925&gt;162.1,Parameters!$B$5,Parameters!$B$4)</f>
        <v/>
      </c>
      <c r="C2925">
        <f>C2924-0.1*B2925+0</f>
        <v/>
      </c>
      <c r="D2925">
        <f>D2924-0.1*B2925+0</f>
        <v/>
      </c>
      <c r="E2925">
        <f>Parameters!$B$25</f>
        <v/>
      </c>
    </row>
    <row r="2926">
      <c r="A2926" t="n">
        <v>292.4</v>
      </c>
      <c r="B2926">
        <f>IF(A2926&gt;162.1,Parameters!$B$5,Parameters!$B$4)</f>
        <v/>
      </c>
      <c r="C2926">
        <f>C2925-0.1*B2926+0</f>
        <v/>
      </c>
      <c r="D2926">
        <f>D2925-0.1*B2926+0</f>
        <v/>
      </c>
      <c r="E2926">
        <f>Parameters!$B$25</f>
        <v/>
      </c>
    </row>
    <row r="2927">
      <c r="A2927" t="n">
        <v>292.5</v>
      </c>
      <c r="B2927">
        <f>IF(A2927&gt;162.1,Parameters!$B$5,Parameters!$B$4)</f>
        <v/>
      </c>
      <c r="C2927">
        <f>C2926-0.1*B2927+0</f>
        <v/>
      </c>
      <c r="D2927">
        <f>D2926-0.1*B2927+0</f>
        <v/>
      </c>
      <c r="E2927">
        <f>Parameters!$B$25</f>
        <v/>
      </c>
    </row>
    <row r="2928">
      <c r="A2928" t="n">
        <v>292.6</v>
      </c>
      <c r="B2928">
        <f>IF(A2928&gt;162.1,Parameters!$B$5,Parameters!$B$4)</f>
        <v/>
      </c>
      <c r="C2928">
        <f>C2927-0.1*B2928+0</f>
        <v/>
      </c>
      <c r="D2928">
        <f>D2927-0.1*B2928+0</f>
        <v/>
      </c>
      <c r="E2928">
        <f>Parameters!$B$25</f>
        <v/>
      </c>
    </row>
    <row r="2929">
      <c r="A2929" t="n">
        <v>292.7</v>
      </c>
      <c r="B2929">
        <f>IF(A2929&gt;162.1,Parameters!$B$5,Parameters!$B$4)</f>
        <v/>
      </c>
      <c r="C2929">
        <f>C2928-0.1*B2929+0</f>
        <v/>
      </c>
      <c r="D2929">
        <f>D2928-0.1*B2929+0</f>
        <v/>
      </c>
      <c r="E2929">
        <f>Parameters!$B$25</f>
        <v/>
      </c>
    </row>
    <row r="2930">
      <c r="A2930" t="n">
        <v>292.8</v>
      </c>
      <c r="B2930">
        <f>IF(A2930&gt;162.1,Parameters!$B$5,Parameters!$B$4)</f>
        <v/>
      </c>
      <c r="C2930">
        <f>C2929-0.1*B2930+0</f>
        <v/>
      </c>
      <c r="D2930">
        <f>D2929-0.1*B2930+0</f>
        <v/>
      </c>
      <c r="E2930">
        <f>Parameters!$B$25</f>
        <v/>
      </c>
    </row>
    <row r="2931">
      <c r="A2931" t="n">
        <v>292.9</v>
      </c>
      <c r="B2931">
        <f>IF(A2931&gt;162.1,Parameters!$B$5,Parameters!$B$4)</f>
        <v/>
      </c>
      <c r="C2931">
        <f>C2930-0.1*B2931+0</f>
        <v/>
      </c>
      <c r="D2931">
        <f>D2930-0.1*B2931+0</f>
        <v/>
      </c>
      <c r="E2931">
        <f>Parameters!$B$25</f>
        <v/>
      </c>
    </row>
    <row r="2932">
      <c r="A2932" t="n">
        <v>293</v>
      </c>
      <c r="B2932">
        <f>IF(A2932&gt;162.1,Parameters!$B$5,Parameters!$B$4)</f>
        <v/>
      </c>
      <c r="C2932">
        <f>C2931-0.1*B2932+0</f>
        <v/>
      </c>
      <c r="D2932">
        <f>D2931-0.1*B2932+0</f>
        <v/>
      </c>
      <c r="E2932">
        <f>Parameters!$B$25</f>
        <v/>
      </c>
    </row>
    <row r="2933">
      <c r="A2933" t="n">
        <v>293.1</v>
      </c>
      <c r="B2933">
        <f>IF(A2933&gt;162.1,Parameters!$B$5,Parameters!$B$4)</f>
        <v/>
      </c>
      <c r="C2933">
        <f>C2932-0.1*B2933+0</f>
        <v/>
      </c>
      <c r="D2933">
        <f>D2932-0.1*B2933+0</f>
        <v/>
      </c>
      <c r="E2933">
        <f>Parameters!$B$25</f>
        <v/>
      </c>
    </row>
    <row r="2934">
      <c r="A2934" t="n">
        <v>293.2</v>
      </c>
      <c r="B2934">
        <f>IF(A2934&gt;162.1,Parameters!$B$5,Parameters!$B$4)</f>
        <v/>
      </c>
      <c r="C2934">
        <f>C2933-0.1*B2934+0</f>
        <v/>
      </c>
      <c r="D2934">
        <f>D2933-0.1*B2934+0</f>
        <v/>
      </c>
      <c r="E2934">
        <f>Parameters!$B$25</f>
        <v/>
      </c>
    </row>
    <row r="2935">
      <c r="A2935" t="n">
        <v>293.3</v>
      </c>
      <c r="B2935">
        <f>IF(A2935&gt;162.1,Parameters!$B$5,Parameters!$B$4)</f>
        <v/>
      </c>
      <c r="C2935">
        <f>C2934-0.1*B2935+0</f>
        <v/>
      </c>
      <c r="D2935">
        <f>D2934-0.1*B2935+0</f>
        <v/>
      </c>
      <c r="E2935">
        <f>Parameters!$B$25</f>
        <v/>
      </c>
    </row>
    <row r="2936">
      <c r="A2936" t="n">
        <v>293.4</v>
      </c>
      <c r="B2936">
        <f>IF(A2936&gt;162.1,Parameters!$B$5,Parameters!$B$4)</f>
        <v/>
      </c>
      <c r="C2936">
        <f>C2935-0.1*B2936+0</f>
        <v/>
      </c>
      <c r="D2936">
        <f>D2935-0.1*B2936+0</f>
        <v/>
      </c>
      <c r="E2936">
        <f>Parameters!$B$25</f>
        <v/>
      </c>
    </row>
    <row r="2937">
      <c r="A2937" t="n">
        <v>293.5</v>
      </c>
      <c r="B2937">
        <f>IF(A2937&gt;162.1,Parameters!$B$5,Parameters!$B$4)</f>
        <v/>
      </c>
      <c r="C2937">
        <f>C2936-0.1*B2937+0</f>
        <v/>
      </c>
      <c r="D2937">
        <f>D2936-0.1*B2937+0</f>
        <v/>
      </c>
      <c r="E2937">
        <f>Parameters!$B$25</f>
        <v/>
      </c>
    </row>
    <row r="2938">
      <c r="A2938" t="n">
        <v>293.6</v>
      </c>
      <c r="B2938">
        <f>IF(A2938&gt;162.1,Parameters!$B$5,Parameters!$B$4)</f>
        <v/>
      </c>
      <c r="C2938">
        <f>C2937-0.1*B2938+0</f>
        <v/>
      </c>
      <c r="D2938">
        <f>D2937-0.1*B2938+0</f>
        <v/>
      </c>
      <c r="E2938">
        <f>Parameters!$B$25</f>
        <v/>
      </c>
    </row>
    <row r="2939">
      <c r="A2939" t="n">
        <v>293.7</v>
      </c>
      <c r="B2939">
        <f>IF(A2939&gt;162.1,Parameters!$B$5,Parameters!$B$4)</f>
        <v/>
      </c>
      <c r="C2939">
        <f>C2938-0.1*B2939+0</f>
        <v/>
      </c>
      <c r="D2939">
        <f>D2938-0.1*B2939+0</f>
        <v/>
      </c>
      <c r="E2939">
        <f>Parameters!$B$25</f>
        <v/>
      </c>
    </row>
    <row r="2940">
      <c r="A2940" t="n">
        <v>293.8</v>
      </c>
      <c r="B2940">
        <f>IF(A2940&gt;162.1,Parameters!$B$5,Parameters!$B$4)</f>
        <v/>
      </c>
      <c r="C2940">
        <f>C2939-0.1*B2940+0</f>
        <v/>
      </c>
      <c r="D2940">
        <f>D2939-0.1*B2940+0</f>
        <v/>
      </c>
      <c r="E2940">
        <f>Parameters!$B$25</f>
        <v/>
      </c>
    </row>
    <row r="2941">
      <c r="A2941" t="n">
        <v>293.9</v>
      </c>
      <c r="B2941">
        <f>IF(A2941&gt;162.1,Parameters!$B$5,Parameters!$B$4)</f>
        <v/>
      </c>
      <c r="C2941">
        <f>C2940-0.1*B2941+0</f>
        <v/>
      </c>
      <c r="D2941">
        <f>D2940-0.1*B2941+0</f>
        <v/>
      </c>
      <c r="E2941">
        <f>Parameters!$B$25</f>
        <v/>
      </c>
    </row>
    <row r="2942">
      <c r="A2942" t="n">
        <v>294</v>
      </c>
      <c r="B2942">
        <f>IF(A2942&gt;162.1,Parameters!$B$5,Parameters!$B$4)</f>
        <v/>
      </c>
      <c r="C2942">
        <f>C2941-0.1*B2942+0</f>
        <v/>
      </c>
      <c r="D2942">
        <f>D2941-0.1*B2942+0</f>
        <v/>
      </c>
      <c r="E2942">
        <f>Parameters!$B$25</f>
        <v/>
      </c>
    </row>
    <row r="2943">
      <c r="A2943" t="n">
        <v>294.1</v>
      </c>
      <c r="B2943">
        <f>IF(A2943&gt;162.1,Parameters!$B$5,Parameters!$B$4)</f>
        <v/>
      </c>
      <c r="C2943">
        <f>C2942-0.1*B2943+0</f>
        <v/>
      </c>
      <c r="D2943">
        <f>D2942-0.1*B2943+0</f>
        <v/>
      </c>
      <c r="E2943">
        <f>Parameters!$B$25</f>
        <v/>
      </c>
    </row>
    <row r="2944">
      <c r="A2944" t="n">
        <v>294.2</v>
      </c>
      <c r="B2944">
        <f>IF(A2944&gt;162.1,Parameters!$B$5,Parameters!$B$4)</f>
        <v/>
      </c>
      <c r="C2944">
        <f>C2943-0.1*B2944+0</f>
        <v/>
      </c>
      <c r="D2944">
        <f>D2943-0.1*B2944+0</f>
        <v/>
      </c>
      <c r="E2944">
        <f>Parameters!$B$25</f>
        <v/>
      </c>
    </row>
    <row r="2945">
      <c r="A2945" t="n">
        <v>294.3</v>
      </c>
      <c r="B2945">
        <f>IF(A2945&gt;162.1,Parameters!$B$5,Parameters!$B$4)</f>
        <v/>
      </c>
      <c r="C2945">
        <f>C2944-0.1*B2945+0</f>
        <v/>
      </c>
      <c r="D2945">
        <f>D2944-0.1*B2945+0</f>
        <v/>
      </c>
      <c r="E2945">
        <f>Parameters!$B$25</f>
        <v/>
      </c>
    </row>
    <row r="2946">
      <c r="A2946" t="n">
        <v>294.4</v>
      </c>
      <c r="B2946">
        <f>IF(A2946&gt;162.1,Parameters!$B$5,Parameters!$B$4)</f>
        <v/>
      </c>
      <c r="C2946">
        <f>C2945-0.1*B2946+0</f>
        <v/>
      </c>
      <c r="D2946">
        <f>D2945-0.1*B2946+0</f>
        <v/>
      </c>
      <c r="E2946">
        <f>Parameters!$B$25</f>
        <v/>
      </c>
    </row>
    <row r="2947">
      <c r="A2947" t="n">
        <v>294.5</v>
      </c>
      <c r="B2947">
        <f>IF(A2947&gt;162.1,Parameters!$B$5,Parameters!$B$4)</f>
        <v/>
      </c>
      <c r="C2947">
        <f>C2946-0.1*B2947+0</f>
        <v/>
      </c>
      <c r="D2947">
        <f>D2946-0.1*B2947+0</f>
        <v/>
      </c>
      <c r="E2947">
        <f>Parameters!$B$25</f>
        <v/>
      </c>
    </row>
    <row r="2948">
      <c r="A2948" t="n">
        <v>294.6</v>
      </c>
      <c r="B2948">
        <f>IF(A2948&gt;162.1,Parameters!$B$5,Parameters!$B$4)</f>
        <v/>
      </c>
      <c r="C2948">
        <f>C2947-0.1*B2948+0</f>
        <v/>
      </c>
      <c r="D2948">
        <f>D2947-0.1*B2948+0</f>
        <v/>
      </c>
      <c r="E2948">
        <f>Parameters!$B$25</f>
        <v/>
      </c>
    </row>
    <row r="2949">
      <c r="A2949" t="n">
        <v>294.7</v>
      </c>
      <c r="B2949">
        <f>IF(A2949&gt;162.1,Parameters!$B$5,Parameters!$B$4)</f>
        <v/>
      </c>
      <c r="C2949">
        <f>C2948-0.1*B2949+0</f>
        <v/>
      </c>
      <c r="D2949">
        <f>D2948-0.1*B2949+0</f>
        <v/>
      </c>
      <c r="E2949">
        <f>Parameters!$B$25</f>
        <v/>
      </c>
    </row>
    <row r="2950">
      <c r="A2950" t="n">
        <v>294.8</v>
      </c>
      <c r="B2950">
        <f>IF(A2950&gt;162.1,Parameters!$B$5,Parameters!$B$4)</f>
        <v/>
      </c>
      <c r="C2950">
        <f>C2949-0.1*B2950+0</f>
        <v/>
      </c>
      <c r="D2950">
        <f>D2949-0.1*B2950+0</f>
        <v/>
      </c>
      <c r="E2950">
        <f>Parameters!$B$25</f>
        <v/>
      </c>
    </row>
    <row r="2951">
      <c r="A2951" t="n">
        <v>294.9</v>
      </c>
      <c r="B2951">
        <f>IF(A2951&gt;162.1,Parameters!$B$5,Parameters!$B$4)</f>
        <v/>
      </c>
      <c r="C2951">
        <f>C2950-0.1*B2951+0</f>
        <v/>
      </c>
      <c r="D2951">
        <f>D2950-0.1*B2951+0</f>
        <v/>
      </c>
      <c r="E2951">
        <f>Parameters!$B$25</f>
        <v/>
      </c>
    </row>
    <row r="2952">
      <c r="A2952" t="n">
        <v>295</v>
      </c>
      <c r="B2952">
        <f>IF(A2952&gt;162.1,Parameters!$B$5,Parameters!$B$4)</f>
        <v/>
      </c>
      <c r="C2952">
        <f>C2951-0.1*B2952+0</f>
        <v/>
      </c>
      <c r="D2952">
        <f>D2951-0.1*B2952+0</f>
        <v/>
      </c>
      <c r="E2952">
        <f>Parameters!$B$25</f>
        <v/>
      </c>
    </row>
    <row r="2953">
      <c r="A2953" t="n">
        <v>295.1</v>
      </c>
      <c r="B2953">
        <f>IF(A2953&gt;162.1,Parameters!$B$5,Parameters!$B$4)</f>
        <v/>
      </c>
      <c r="C2953">
        <f>C2952-0.1*B2953+0</f>
        <v/>
      </c>
      <c r="D2953">
        <f>D2952-0.1*B2953+0</f>
        <v/>
      </c>
      <c r="E2953">
        <f>Parameters!$B$25</f>
        <v/>
      </c>
    </row>
    <row r="2954">
      <c r="A2954" t="n">
        <v>295.2</v>
      </c>
      <c r="B2954">
        <f>IF(A2954&gt;162.1,Parameters!$B$5,Parameters!$B$4)</f>
        <v/>
      </c>
      <c r="C2954">
        <f>C2953-0.1*B2954+0</f>
        <v/>
      </c>
      <c r="D2954">
        <f>D2953-0.1*B2954+0</f>
        <v/>
      </c>
      <c r="E2954">
        <f>Parameters!$B$25</f>
        <v/>
      </c>
    </row>
    <row r="2955">
      <c r="A2955" t="n">
        <v>295.3</v>
      </c>
      <c r="B2955">
        <f>IF(A2955&gt;162.1,Parameters!$B$5,Parameters!$B$4)</f>
        <v/>
      </c>
      <c r="C2955">
        <f>C2954-0.1*B2955+0</f>
        <v/>
      </c>
      <c r="D2955">
        <f>D2954-0.1*B2955+0</f>
        <v/>
      </c>
      <c r="E2955">
        <f>Parameters!$B$25</f>
        <v/>
      </c>
    </row>
    <row r="2956">
      <c r="A2956" t="n">
        <v>295.4</v>
      </c>
      <c r="B2956">
        <f>IF(A2956&gt;162.1,Parameters!$B$5,Parameters!$B$4)</f>
        <v/>
      </c>
      <c r="C2956">
        <f>C2955-0.1*B2956+0</f>
        <v/>
      </c>
      <c r="D2956">
        <f>D2955-0.1*B2956+0</f>
        <v/>
      </c>
      <c r="E2956">
        <f>Parameters!$B$25</f>
        <v/>
      </c>
    </row>
    <row r="2957">
      <c r="A2957" t="n">
        <v>295.5</v>
      </c>
      <c r="B2957">
        <f>IF(A2957&gt;162.1,Parameters!$B$5,Parameters!$B$4)</f>
        <v/>
      </c>
      <c r="C2957">
        <f>C2956-0.1*B2957+0</f>
        <v/>
      </c>
      <c r="D2957">
        <f>D2956-0.1*B2957+0</f>
        <v/>
      </c>
      <c r="E2957">
        <f>Parameters!$B$25</f>
        <v/>
      </c>
    </row>
    <row r="2958">
      <c r="A2958" t="n">
        <v>295.6</v>
      </c>
      <c r="B2958">
        <f>IF(A2958&gt;162.1,Parameters!$B$5,Parameters!$B$4)</f>
        <v/>
      </c>
      <c r="C2958">
        <f>C2957-0.1*B2958+0</f>
        <v/>
      </c>
      <c r="D2958">
        <f>D2957-0.1*B2958+0</f>
        <v/>
      </c>
      <c r="E2958">
        <f>Parameters!$B$25</f>
        <v/>
      </c>
    </row>
    <row r="2959">
      <c r="A2959" t="n">
        <v>295.7</v>
      </c>
      <c r="B2959">
        <f>IF(A2959&gt;162.1,Parameters!$B$5,Parameters!$B$4)</f>
        <v/>
      </c>
      <c r="C2959">
        <f>C2958-0.1*B2959+0</f>
        <v/>
      </c>
      <c r="D2959">
        <f>D2958-0.1*B2959+0</f>
        <v/>
      </c>
      <c r="E2959">
        <f>Parameters!$B$25</f>
        <v/>
      </c>
    </row>
    <row r="2960">
      <c r="A2960" t="n">
        <v>295.8</v>
      </c>
      <c r="B2960">
        <f>IF(A2960&gt;162.1,Parameters!$B$5,Parameters!$B$4)</f>
        <v/>
      </c>
      <c r="C2960">
        <f>C2959-0.1*B2960+0</f>
        <v/>
      </c>
      <c r="D2960">
        <f>D2959-0.1*B2960+0</f>
        <v/>
      </c>
      <c r="E2960">
        <f>Parameters!$B$25</f>
        <v/>
      </c>
    </row>
    <row r="2961">
      <c r="A2961" t="n">
        <v>295.9</v>
      </c>
      <c r="B2961">
        <f>IF(A2961&gt;162.1,Parameters!$B$5,Parameters!$B$4)</f>
        <v/>
      </c>
      <c r="C2961">
        <f>C2960-0.1*B2961+0</f>
        <v/>
      </c>
      <c r="D2961">
        <f>D2960-0.1*B2961+0</f>
        <v/>
      </c>
      <c r="E2961">
        <f>Parameters!$B$25</f>
        <v/>
      </c>
    </row>
    <row r="2962">
      <c r="A2962" t="n">
        <v>296</v>
      </c>
      <c r="B2962">
        <f>IF(A2962&gt;162.1,Parameters!$B$5,Parameters!$B$4)</f>
        <v/>
      </c>
      <c r="C2962">
        <f>C2961-0.1*B2962+0</f>
        <v/>
      </c>
      <c r="D2962">
        <f>D2961-0.1*B2962+0</f>
        <v/>
      </c>
      <c r="E2962">
        <f>Parameters!$B$25</f>
        <v/>
      </c>
    </row>
    <row r="2963">
      <c r="A2963" t="n">
        <v>296.1</v>
      </c>
      <c r="B2963">
        <f>IF(A2963&gt;162.1,Parameters!$B$5,Parameters!$B$4)</f>
        <v/>
      </c>
      <c r="C2963">
        <f>C2962-0.1*B2963+0</f>
        <v/>
      </c>
      <c r="D2963">
        <f>D2962-0.1*B2963+0</f>
        <v/>
      </c>
      <c r="E2963">
        <f>Parameters!$B$25</f>
        <v/>
      </c>
    </row>
    <row r="2964">
      <c r="A2964" t="n">
        <v>296.2</v>
      </c>
      <c r="B2964">
        <f>IF(A2964&gt;162.1,Parameters!$B$5,Parameters!$B$4)</f>
        <v/>
      </c>
      <c r="C2964">
        <f>C2963-0.1*B2964+0</f>
        <v/>
      </c>
      <c r="D2964">
        <f>D2963-0.1*B2964+0</f>
        <v/>
      </c>
      <c r="E2964">
        <f>Parameters!$B$25</f>
        <v/>
      </c>
    </row>
    <row r="2965">
      <c r="A2965" t="n">
        <v>296.3</v>
      </c>
      <c r="B2965">
        <f>IF(A2965&gt;162.1,Parameters!$B$5,Parameters!$B$4)</f>
        <v/>
      </c>
      <c r="C2965">
        <f>C2964-0.1*B2965+0</f>
        <v/>
      </c>
      <c r="D2965">
        <f>D2964-0.1*B2965+0</f>
        <v/>
      </c>
      <c r="E2965">
        <f>Parameters!$B$25</f>
        <v/>
      </c>
    </row>
    <row r="2966">
      <c r="A2966" t="n">
        <v>296.4</v>
      </c>
      <c r="B2966">
        <f>IF(A2966&gt;162.1,Parameters!$B$5,Parameters!$B$4)</f>
        <v/>
      </c>
      <c r="C2966">
        <f>C2965-0.1*B2966+0</f>
        <v/>
      </c>
      <c r="D2966">
        <f>D2965-0.1*B2966+0</f>
        <v/>
      </c>
      <c r="E2966">
        <f>Parameters!$B$25</f>
        <v/>
      </c>
    </row>
    <row r="2967">
      <c r="A2967" t="n">
        <v>296.5</v>
      </c>
      <c r="B2967">
        <f>IF(A2967&gt;162.1,Parameters!$B$5,Parameters!$B$4)</f>
        <v/>
      </c>
      <c r="C2967">
        <f>C2966-0.1*B2967+0</f>
        <v/>
      </c>
      <c r="D2967">
        <f>D2966-0.1*B2967+0</f>
        <v/>
      </c>
      <c r="E2967">
        <f>Parameters!$B$25</f>
        <v/>
      </c>
    </row>
    <row r="2968">
      <c r="A2968" t="n">
        <v>296.6</v>
      </c>
      <c r="B2968">
        <f>IF(A2968&gt;162.1,Parameters!$B$5,Parameters!$B$4)</f>
        <v/>
      </c>
      <c r="C2968">
        <f>C2967-0.1*B2968+0</f>
        <v/>
      </c>
      <c r="D2968">
        <f>D2967-0.1*B2968+0</f>
        <v/>
      </c>
      <c r="E2968">
        <f>Parameters!$B$25</f>
        <v/>
      </c>
    </row>
    <row r="2969">
      <c r="A2969" t="n">
        <v>296.7</v>
      </c>
      <c r="B2969">
        <f>IF(A2969&gt;162.1,Parameters!$B$5,Parameters!$B$4)</f>
        <v/>
      </c>
      <c r="C2969">
        <f>C2968-0.1*B2969+0</f>
        <v/>
      </c>
      <c r="D2969">
        <f>D2968-0.1*B2969+0</f>
        <v/>
      </c>
      <c r="E2969">
        <f>Parameters!$B$25</f>
        <v/>
      </c>
    </row>
    <row r="2970">
      <c r="A2970" t="n">
        <v>296.8</v>
      </c>
      <c r="B2970">
        <f>IF(A2970&gt;162.1,Parameters!$B$5,Parameters!$B$4)</f>
        <v/>
      </c>
      <c r="C2970">
        <f>C2969-0.1*B2970+0</f>
        <v/>
      </c>
      <c r="D2970">
        <f>D2969-0.1*B2970+0</f>
        <v/>
      </c>
      <c r="E2970">
        <f>Parameters!$B$25</f>
        <v/>
      </c>
    </row>
    <row r="2971">
      <c r="A2971" t="n">
        <v>296.9</v>
      </c>
      <c r="B2971">
        <f>IF(A2971&gt;162.1,Parameters!$B$5,Parameters!$B$4)</f>
        <v/>
      </c>
      <c r="C2971">
        <f>C2970-0.1*B2971+0</f>
        <v/>
      </c>
      <c r="D2971">
        <f>D2970-0.1*B2971+0</f>
        <v/>
      </c>
      <c r="E2971">
        <f>Parameters!$B$25</f>
        <v/>
      </c>
    </row>
    <row r="2972">
      <c r="A2972" t="n">
        <v>297</v>
      </c>
      <c r="B2972">
        <f>IF(A2972&gt;162.1,Parameters!$B$5,Parameters!$B$4)</f>
        <v/>
      </c>
      <c r="C2972">
        <f>C2971-0.1*B2972+0</f>
        <v/>
      </c>
      <c r="D2972">
        <f>D2971-0.1*B2972+0</f>
        <v/>
      </c>
      <c r="E2972">
        <f>Parameters!$B$25</f>
        <v/>
      </c>
    </row>
    <row r="2973">
      <c r="A2973" t="n">
        <v>297.1</v>
      </c>
      <c r="B2973">
        <f>IF(A2973&gt;162.1,Parameters!$B$5,Parameters!$B$4)</f>
        <v/>
      </c>
      <c r="C2973">
        <f>C2972-0.1*B2973+0</f>
        <v/>
      </c>
      <c r="D2973">
        <f>D2972-0.1*B2973+0</f>
        <v/>
      </c>
      <c r="E2973">
        <f>Parameters!$B$25</f>
        <v/>
      </c>
    </row>
    <row r="2974">
      <c r="A2974" t="n">
        <v>297.2</v>
      </c>
      <c r="B2974">
        <f>IF(A2974&gt;162.1,Parameters!$B$5,Parameters!$B$4)</f>
        <v/>
      </c>
      <c r="C2974">
        <f>C2973-0.1*B2974+0</f>
        <v/>
      </c>
      <c r="D2974">
        <f>D2973-0.1*B2974+0</f>
        <v/>
      </c>
      <c r="E2974">
        <f>Parameters!$B$25</f>
        <v/>
      </c>
    </row>
    <row r="2975">
      <c r="A2975" t="n">
        <v>297.3</v>
      </c>
      <c r="B2975">
        <f>IF(A2975&gt;162.1,Parameters!$B$5,Parameters!$B$4)</f>
        <v/>
      </c>
      <c r="C2975">
        <f>C2974-0.1*B2975+0</f>
        <v/>
      </c>
      <c r="D2975">
        <f>D2974-0.1*B2975+0</f>
        <v/>
      </c>
      <c r="E2975">
        <f>Parameters!$B$25</f>
        <v/>
      </c>
    </row>
    <row r="2976">
      <c r="A2976" t="n">
        <v>297.4</v>
      </c>
      <c r="B2976">
        <f>IF(A2976&gt;162.1,Parameters!$B$5,Parameters!$B$4)</f>
        <v/>
      </c>
      <c r="C2976">
        <f>C2975-0.1*B2976+0</f>
        <v/>
      </c>
      <c r="D2976">
        <f>D2975-0.1*B2976+0</f>
        <v/>
      </c>
      <c r="E2976">
        <f>Parameters!$B$25</f>
        <v/>
      </c>
    </row>
    <row r="2977">
      <c r="A2977" t="n">
        <v>297.5</v>
      </c>
      <c r="B2977">
        <f>IF(A2977&gt;162.1,Parameters!$B$5,Parameters!$B$4)</f>
        <v/>
      </c>
      <c r="C2977">
        <f>C2976-0.1*B2977+0</f>
        <v/>
      </c>
      <c r="D2977">
        <f>D2976-0.1*B2977+0</f>
        <v/>
      </c>
      <c r="E2977">
        <f>Parameters!$B$25</f>
        <v/>
      </c>
    </row>
    <row r="2978">
      <c r="A2978" t="n">
        <v>297.6</v>
      </c>
      <c r="B2978">
        <f>IF(A2978&gt;162.1,Parameters!$B$5,Parameters!$B$4)</f>
        <v/>
      </c>
      <c r="C2978">
        <f>C2977-0.1*B2978+0</f>
        <v/>
      </c>
      <c r="D2978">
        <f>D2977-0.1*B2978+0</f>
        <v/>
      </c>
      <c r="E2978">
        <f>Parameters!$B$25</f>
        <v/>
      </c>
    </row>
    <row r="2979">
      <c r="A2979" t="n">
        <v>297.7</v>
      </c>
      <c r="B2979">
        <f>IF(A2979&gt;162.1,Parameters!$B$5,Parameters!$B$4)</f>
        <v/>
      </c>
      <c r="C2979">
        <f>C2978-0.1*B2979+0</f>
        <v/>
      </c>
      <c r="D2979">
        <f>D2978-0.1*B2979+0</f>
        <v/>
      </c>
      <c r="E2979">
        <f>Parameters!$B$25</f>
        <v/>
      </c>
    </row>
    <row r="2980">
      <c r="A2980" t="n">
        <v>297.8</v>
      </c>
      <c r="B2980">
        <f>IF(A2980&gt;162.1,Parameters!$B$5,Parameters!$B$4)</f>
        <v/>
      </c>
      <c r="C2980">
        <f>C2979-0.1*B2980+0</f>
        <v/>
      </c>
      <c r="D2980">
        <f>D2979-0.1*B2980+0</f>
        <v/>
      </c>
      <c r="E2980">
        <f>Parameters!$B$25</f>
        <v/>
      </c>
    </row>
    <row r="2981">
      <c r="A2981" t="n">
        <v>297.9</v>
      </c>
      <c r="B2981">
        <f>IF(A2981&gt;162.1,Parameters!$B$5,Parameters!$B$4)</f>
        <v/>
      </c>
      <c r="C2981">
        <f>C2980-0.1*B2981+0</f>
        <v/>
      </c>
      <c r="D2981">
        <f>D2980-0.1*B2981+0</f>
        <v/>
      </c>
      <c r="E2981">
        <f>Parameters!$B$25</f>
        <v/>
      </c>
    </row>
    <row r="2982">
      <c r="A2982" t="n">
        <v>298</v>
      </c>
      <c r="B2982">
        <f>IF(A2982&gt;162.1,Parameters!$B$5,Parameters!$B$4)</f>
        <v/>
      </c>
      <c r="C2982">
        <f>C2981-0.1*B2982+0</f>
        <v/>
      </c>
      <c r="D2982">
        <f>D2981-0.1*B2982+0</f>
        <v/>
      </c>
      <c r="E2982">
        <f>Parameters!$B$25</f>
        <v/>
      </c>
    </row>
    <row r="2983">
      <c r="A2983" t="n">
        <v>298.1</v>
      </c>
      <c r="B2983">
        <f>IF(A2983&gt;162.1,Parameters!$B$5,Parameters!$B$4)</f>
        <v/>
      </c>
      <c r="C2983">
        <f>C2982-0.1*B2983+0</f>
        <v/>
      </c>
      <c r="D2983">
        <f>D2982-0.1*B2983+0</f>
        <v/>
      </c>
      <c r="E2983">
        <f>Parameters!$B$25</f>
        <v/>
      </c>
    </row>
    <row r="2984">
      <c r="A2984" t="n">
        <v>298.2</v>
      </c>
      <c r="B2984">
        <f>IF(A2984&gt;162.1,Parameters!$B$5,Parameters!$B$4)</f>
        <v/>
      </c>
      <c r="C2984">
        <f>C2983-0.1*B2984+0</f>
        <v/>
      </c>
      <c r="D2984">
        <f>D2983-0.1*B2984+0</f>
        <v/>
      </c>
      <c r="E2984">
        <f>Parameters!$B$25</f>
        <v/>
      </c>
    </row>
    <row r="2985">
      <c r="A2985" t="n">
        <v>298.3</v>
      </c>
      <c r="B2985">
        <f>IF(A2985&gt;162.1,Parameters!$B$5,Parameters!$B$4)</f>
        <v/>
      </c>
      <c r="C2985">
        <f>C2984-0.1*B2985+0</f>
        <v/>
      </c>
      <c r="D2985">
        <f>D2984-0.1*B2985+0</f>
        <v/>
      </c>
      <c r="E2985">
        <f>Parameters!$B$25</f>
        <v/>
      </c>
    </row>
    <row r="2986">
      <c r="A2986" t="n">
        <v>298.4</v>
      </c>
      <c r="B2986">
        <f>IF(A2986&gt;162.1,Parameters!$B$5,Parameters!$B$4)</f>
        <v/>
      </c>
      <c r="C2986">
        <f>C2985-0.1*B2986+0</f>
        <v/>
      </c>
      <c r="D2986">
        <f>D2985-0.1*B2986+0</f>
        <v/>
      </c>
      <c r="E2986">
        <f>Parameters!$B$25</f>
        <v/>
      </c>
    </row>
    <row r="2987">
      <c r="A2987" t="n">
        <v>298.5</v>
      </c>
      <c r="B2987">
        <f>IF(A2987&gt;162.1,Parameters!$B$5,Parameters!$B$4)</f>
        <v/>
      </c>
      <c r="C2987">
        <f>C2986-0.1*B2987+0</f>
        <v/>
      </c>
      <c r="D2987">
        <f>D2986-0.1*B2987+0</f>
        <v/>
      </c>
      <c r="E2987">
        <f>Parameters!$B$25</f>
        <v/>
      </c>
    </row>
    <row r="2988">
      <c r="A2988" t="n">
        <v>298.6</v>
      </c>
      <c r="B2988">
        <f>IF(A2988&gt;162.1,Parameters!$B$5,Parameters!$B$4)</f>
        <v/>
      </c>
      <c r="C2988">
        <f>C2987-0.1*B2988+0</f>
        <v/>
      </c>
      <c r="D2988">
        <f>D2987-0.1*B2988+0</f>
        <v/>
      </c>
      <c r="E2988">
        <f>Parameters!$B$25</f>
        <v/>
      </c>
    </row>
    <row r="2989">
      <c r="A2989" t="n">
        <v>298.7</v>
      </c>
      <c r="B2989">
        <f>IF(A2989&gt;162.1,Parameters!$B$5,Parameters!$B$4)</f>
        <v/>
      </c>
      <c r="C2989">
        <f>C2988-0.1*B2989+0</f>
        <v/>
      </c>
      <c r="D2989">
        <f>D2988-0.1*B2989+0</f>
        <v/>
      </c>
      <c r="E2989">
        <f>Parameters!$B$25</f>
        <v/>
      </c>
    </row>
    <row r="2990">
      <c r="A2990" t="n">
        <v>298.8</v>
      </c>
      <c r="B2990">
        <f>IF(A2990&gt;162.1,Parameters!$B$5,Parameters!$B$4)</f>
        <v/>
      </c>
      <c r="C2990">
        <f>C2989-0.1*B2990+0</f>
        <v/>
      </c>
      <c r="D2990">
        <f>D2989-0.1*B2990+0</f>
        <v/>
      </c>
      <c r="E2990">
        <f>Parameters!$B$25</f>
        <v/>
      </c>
    </row>
    <row r="2991">
      <c r="A2991" t="n">
        <v>298.9</v>
      </c>
      <c r="B2991">
        <f>IF(A2991&gt;162.1,Parameters!$B$5,Parameters!$B$4)</f>
        <v/>
      </c>
      <c r="C2991">
        <f>C2990-0.1*B2991+0</f>
        <v/>
      </c>
      <c r="D2991">
        <f>D2990-0.1*B2991+0</f>
        <v/>
      </c>
      <c r="E2991">
        <f>Parameters!$B$25</f>
        <v/>
      </c>
    </row>
    <row r="2992">
      <c r="A2992" t="n">
        <v>299</v>
      </c>
      <c r="B2992">
        <f>IF(A2992&gt;162.1,Parameters!$B$5,Parameters!$B$4)</f>
        <v/>
      </c>
      <c r="C2992">
        <f>C2991-0.1*B2992+0</f>
        <v/>
      </c>
      <c r="D2992">
        <f>D2991-0.1*B2992+0</f>
        <v/>
      </c>
      <c r="E2992">
        <f>Parameters!$B$25</f>
        <v/>
      </c>
    </row>
    <row r="2993">
      <c r="A2993" t="n">
        <v>299.1</v>
      </c>
      <c r="B2993">
        <f>IF(A2993&gt;162.1,Parameters!$B$5,Parameters!$B$4)</f>
        <v/>
      </c>
      <c r="C2993">
        <f>C2992-0.1*B2993+0</f>
        <v/>
      </c>
      <c r="D2993">
        <f>D2992-0.1*B2993+0</f>
        <v/>
      </c>
      <c r="E2993">
        <f>Parameters!$B$25</f>
        <v/>
      </c>
    </row>
    <row r="2994">
      <c r="A2994" t="n">
        <v>299.2</v>
      </c>
      <c r="B2994">
        <f>IF(A2994&gt;162.1,Parameters!$B$5,Parameters!$B$4)</f>
        <v/>
      </c>
      <c r="C2994">
        <f>C2993-0.1*B2994+0</f>
        <v/>
      </c>
      <c r="D2994">
        <f>D2993-0.1*B2994+0</f>
        <v/>
      </c>
      <c r="E2994">
        <f>Parameters!$B$25</f>
        <v/>
      </c>
    </row>
    <row r="2995">
      <c r="A2995" t="n">
        <v>299.3</v>
      </c>
      <c r="B2995">
        <f>IF(A2995&gt;162.1,Parameters!$B$5,Parameters!$B$4)</f>
        <v/>
      </c>
      <c r="C2995">
        <f>C2994-0.1*B2995+0</f>
        <v/>
      </c>
      <c r="D2995">
        <f>D2994-0.1*B2995+0</f>
        <v/>
      </c>
      <c r="E2995">
        <f>Parameters!$B$25</f>
        <v/>
      </c>
    </row>
    <row r="2996">
      <c r="A2996" t="n">
        <v>299.4</v>
      </c>
      <c r="B2996">
        <f>IF(A2996&gt;162.1,Parameters!$B$5,Parameters!$B$4)</f>
        <v/>
      </c>
      <c r="C2996">
        <f>C2995-0.1*B2996+0</f>
        <v/>
      </c>
      <c r="D2996">
        <f>D2995-0.1*B2996+0</f>
        <v/>
      </c>
      <c r="E2996">
        <f>Parameters!$B$25</f>
        <v/>
      </c>
    </row>
    <row r="2997">
      <c r="A2997" t="n">
        <v>299.5</v>
      </c>
      <c r="B2997">
        <f>IF(A2997&gt;162.1,Parameters!$B$5,Parameters!$B$4)</f>
        <v/>
      </c>
      <c r="C2997">
        <f>C2996-0.1*B2997+0</f>
        <v/>
      </c>
      <c r="D2997">
        <f>D2996-0.1*B2997+0</f>
        <v/>
      </c>
      <c r="E2997">
        <f>Parameters!$B$25</f>
        <v/>
      </c>
    </row>
    <row r="2998">
      <c r="A2998" t="n">
        <v>299.6</v>
      </c>
      <c r="B2998">
        <f>IF(A2998&gt;162.1,Parameters!$B$5,Parameters!$B$4)</f>
        <v/>
      </c>
      <c r="C2998">
        <f>C2997-0.1*B2998+0</f>
        <v/>
      </c>
      <c r="D2998">
        <f>D2997-0.1*B2998+0</f>
        <v/>
      </c>
      <c r="E2998">
        <f>Parameters!$B$25</f>
        <v/>
      </c>
    </row>
    <row r="2999">
      <c r="A2999" t="n">
        <v>299.7</v>
      </c>
      <c r="B2999">
        <f>IF(A2999&gt;162.1,Parameters!$B$5,Parameters!$B$4)</f>
        <v/>
      </c>
      <c r="C2999">
        <f>C2998-0.1*B2999+0</f>
        <v/>
      </c>
      <c r="D2999">
        <f>D2998-0.1*B2999+0</f>
        <v/>
      </c>
      <c r="E2999">
        <f>Parameters!$B$25</f>
        <v/>
      </c>
    </row>
    <row r="3000">
      <c r="A3000" t="n">
        <v>299.8</v>
      </c>
      <c r="B3000">
        <f>IF(A3000&gt;162.1,Parameters!$B$5,Parameters!$B$4)</f>
        <v/>
      </c>
      <c r="C3000">
        <f>C2999-0.1*B3000+0</f>
        <v/>
      </c>
      <c r="D3000">
        <f>D2999-0.1*B3000+0</f>
        <v/>
      </c>
      <c r="E3000">
        <f>Parameters!$B$25</f>
        <v/>
      </c>
    </row>
    <row r="3001">
      <c r="A3001" t="n">
        <v>299.9</v>
      </c>
      <c r="B3001">
        <f>IF(A3001&gt;162.1,Parameters!$B$5,Parameters!$B$4)</f>
        <v/>
      </c>
      <c r="C3001">
        <f>C3000-0.1*B3001+0</f>
        <v/>
      </c>
      <c r="D3001">
        <f>D3000-0.1*B3001+0</f>
        <v/>
      </c>
      <c r="E3001">
        <f>Parameters!$B$25</f>
        <v/>
      </c>
    </row>
    <row r="3002">
      <c r="A3002" t="n">
        <v>300</v>
      </c>
      <c r="B3002">
        <f>IF(A3002&gt;162.1,Parameters!$B$5,Parameters!$B$4)</f>
        <v/>
      </c>
      <c r="C3002">
        <f>C3001-0.1*B3002+0</f>
        <v/>
      </c>
      <c r="D3002">
        <f>D3001-0.1*B3002+0</f>
        <v/>
      </c>
      <c r="E3002">
        <f>Parameters!$B$25</f>
        <v/>
      </c>
    </row>
    <row r="3003">
      <c r="A3003" t="n">
        <v>300.1</v>
      </c>
      <c r="B3003">
        <f>IF(A3003&gt;162.1,Parameters!$B$5,Parameters!$B$4)</f>
        <v/>
      </c>
      <c r="C3003">
        <f>C3002-0.1*B3003+0</f>
        <v/>
      </c>
      <c r="D3003">
        <f>D3002-0.1*B3003+0</f>
        <v/>
      </c>
      <c r="E3003">
        <f>Parameters!$B$25</f>
        <v/>
      </c>
    </row>
    <row r="3004">
      <c r="A3004" t="n">
        <v>300.2</v>
      </c>
      <c r="B3004">
        <f>IF(A3004&gt;162.1,Parameters!$B$5,Parameters!$B$4)</f>
        <v/>
      </c>
      <c r="C3004">
        <f>C3003-0.1*B3004+0</f>
        <v/>
      </c>
      <c r="D3004">
        <f>D3003-0.1*B3004+0</f>
        <v/>
      </c>
      <c r="E3004">
        <f>Parameters!$B$25</f>
        <v/>
      </c>
    </row>
    <row r="3005">
      <c r="A3005" t="n">
        <v>300.3</v>
      </c>
      <c r="B3005">
        <f>IF(A3005&gt;162.1,Parameters!$B$5,Parameters!$B$4)</f>
        <v/>
      </c>
      <c r="C3005">
        <f>C3004-0.1*B3005+0</f>
        <v/>
      </c>
      <c r="D3005">
        <f>D3004-0.1*B3005+0</f>
        <v/>
      </c>
      <c r="E3005">
        <f>Parameters!$B$25</f>
        <v/>
      </c>
    </row>
    <row r="3006">
      <c r="A3006" t="n">
        <v>300.4</v>
      </c>
      <c r="B3006">
        <f>IF(A3006&gt;162.1,Parameters!$B$5,Parameters!$B$4)</f>
        <v/>
      </c>
      <c r="C3006">
        <f>C3005-0.1*B3006+0</f>
        <v/>
      </c>
      <c r="D3006">
        <f>D3005-0.1*B3006+0</f>
        <v/>
      </c>
      <c r="E3006">
        <f>Parameters!$B$25</f>
        <v/>
      </c>
    </row>
    <row r="3007">
      <c r="A3007" t="n">
        <v>300.5</v>
      </c>
      <c r="B3007">
        <f>IF(A3007&gt;162.1,Parameters!$B$5,Parameters!$B$4)</f>
        <v/>
      </c>
      <c r="C3007">
        <f>C3006-0.1*B3007+0</f>
        <v/>
      </c>
      <c r="D3007">
        <f>D3006-0.1*B3007+0</f>
        <v/>
      </c>
      <c r="E3007">
        <f>Parameters!$B$25</f>
        <v/>
      </c>
    </row>
    <row r="3008">
      <c r="A3008" t="n">
        <v>300.6</v>
      </c>
      <c r="B3008">
        <f>IF(A3008&gt;162.1,Parameters!$B$5,Parameters!$B$4)</f>
        <v/>
      </c>
      <c r="C3008">
        <f>C3007-0.1*B3008+0</f>
        <v/>
      </c>
      <c r="D3008">
        <f>D3007-0.1*B3008+0</f>
        <v/>
      </c>
      <c r="E3008">
        <f>Parameters!$B$25</f>
        <v/>
      </c>
    </row>
    <row r="3009">
      <c r="A3009" t="n">
        <v>300.7</v>
      </c>
      <c r="B3009">
        <f>IF(A3009&gt;162.1,Parameters!$B$5,Parameters!$B$4)</f>
        <v/>
      </c>
      <c r="C3009">
        <f>C3008-0.1*B3009+0</f>
        <v/>
      </c>
      <c r="D3009">
        <f>D3008-0.1*B3009+0</f>
        <v/>
      </c>
      <c r="E3009">
        <f>Parameters!$B$25</f>
        <v/>
      </c>
    </row>
    <row r="3010">
      <c r="A3010" t="n">
        <v>300.8</v>
      </c>
      <c r="B3010">
        <f>IF(A3010&gt;162.1,Parameters!$B$5,Parameters!$B$4)</f>
        <v/>
      </c>
      <c r="C3010">
        <f>C3009-0.1*B3010+0</f>
        <v/>
      </c>
      <c r="D3010">
        <f>D3009-0.1*B3010+0</f>
        <v/>
      </c>
      <c r="E3010">
        <f>Parameters!$B$25</f>
        <v/>
      </c>
    </row>
    <row r="3011">
      <c r="A3011" t="n">
        <v>300.9</v>
      </c>
      <c r="B3011">
        <f>IF(A3011&gt;162.1,Parameters!$B$5,Parameters!$B$4)</f>
        <v/>
      </c>
      <c r="C3011">
        <f>C3010-0.1*B3011+0</f>
        <v/>
      </c>
      <c r="D3011">
        <f>D3010-0.1*B3011+0</f>
        <v/>
      </c>
      <c r="E3011">
        <f>Parameters!$B$25</f>
        <v/>
      </c>
    </row>
    <row r="3012">
      <c r="A3012" t="n">
        <v>301</v>
      </c>
      <c r="B3012">
        <f>IF(A3012&gt;162.1,Parameters!$B$5,Parameters!$B$4)</f>
        <v/>
      </c>
      <c r="C3012">
        <f>C3011-0.1*B3012+0</f>
        <v/>
      </c>
      <c r="D3012">
        <f>D3011-0.1*B3012+0</f>
        <v/>
      </c>
      <c r="E3012">
        <f>Parameters!$B$25</f>
        <v/>
      </c>
    </row>
    <row r="3013">
      <c r="A3013" t="n">
        <v>301.1</v>
      </c>
      <c r="B3013">
        <f>IF(A3013&gt;162.1,Parameters!$B$5,Parameters!$B$4)</f>
        <v/>
      </c>
      <c r="C3013">
        <f>C3012-0.1*B3013+0</f>
        <v/>
      </c>
      <c r="D3013">
        <f>D3012-0.1*B3013+0</f>
        <v/>
      </c>
      <c r="E3013">
        <f>Parameters!$B$25</f>
        <v/>
      </c>
    </row>
    <row r="3014">
      <c r="A3014" t="n">
        <v>301.2</v>
      </c>
      <c r="B3014">
        <f>IF(A3014&gt;162.1,Parameters!$B$5,Parameters!$B$4)</f>
        <v/>
      </c>
      <c r="C3014">
        <f>C3013-0.1*B3014+0</f>
        <v/>
      </c>
      <c r="D3014">
        <f>D3013-0.1*B3014+0</f>
        <v/>
      </c>
      <c r="E3014">
        <f>Parameters!$B$25</f>
        <v/>
      </c>
    </row>
    <row r="3015">
      <c r="A3015" t="n">
        <v>301.3</v>
      </c>
      <c r="B3015">
        <f>IF(A3015&gt;162.1,Parameters!$B$5,Parameters!$B$4)</f>
        <v/>
      </c>
      <c r="C3015">
        <f>C3014-0.1*B3015+0</f>
        <v/>
      </c>
      <c r="D3015">
        <f>D3014-0.1*B3015+0</f>
        <v/>
      </c>
      <c r="E3015">
        <f>Parameters!$B$25</f>
        <v/>
      </c>
    </row>
    <row r="3016">
      <c r="A3016" t="n">
        <v>301.4</v>
      </c>
      <c r="B3016">
        <f>IF(A3016&gt;162.1,Parameters!$B$5,Parameters!$B$4)</f>
        <v/>
      </c>
      <c r="C3016">
        <f>C3015-0.1*B3016+0</f>
        <v/>
      </c>
      <c r="D3016">
        <f>D3015-0.1*B3016+0</f>
        <v/>
      </c>
      <c r="E3016">
        <f>Parameters!$B$25</f>
        <v/>
      </c>
    </row>
    <row r="3017">
      <c r="A3017" t="n">
        <v>301.5</v>
      </c>
      <c r="B3017">
        <f>IF(A3017&gt;162.1,Parameters!$B$5,Parameters!$B$4)</f>
        <v/>
      </c>
      <c r="C3017">
        <f>C3016-0.1*B3017+0</f>
        <v/>
      </c>
      <c r="D3017">
        <f>D3016-0.1*B3017+0</f>
        <v/>
      </c>
      <c r="E3017">
        <f>Parameters!$B$25</f>
        <v/>
      </c>
    </row>
    <row r="3018">
      <c r="A3018" t="n">
        <v>301.6</v>
      </c>
      <c r="B3018">
        <f>IF(A3018&gt;162.1,Parameters!$B$5,Parameters!$B$4)</f>
        <v/>
      </c>
      <c r="C3018">
        <f>C3017-0.1*B3018+0</f>
        <v/>
      </c>
      <c r="D3018">
        <f>D3017-0.1*B3018+0</f>
        <v/>
      </c>
      <c r="E3018">
        <f>Parameters!$B$25</f>
        <v/>
      </c>
    </row>
    <row r="3019">
      <c r="A3019" t="n">
        <v>301.7</v>
      </c>
      <c r="B3019">
        <f>IF(A3019&gt;162.1,Parameters!$B$5,Parameters!$B$4)</f>
        <v/>
      </c>
      <c r="C3019">
        <f>C3018-0.1*B3019+0</f>
        <v/>
      </c>
      <c r="D3019">
        <f>D3018-0.1*B3019+0</f>
        <v/>
      </c>
      <c r="E3019">
        <f>Parameters!$B$25</f>
        <v/>
      </c>
    </row>
    <row r="3020">
      <c r="A3020" t="n">
        <v>301.8</v>
      </c>
      <c r="B3020">
        <f>IF(A3020&gt;162.1,Parameters!$B$5,Parameters!$B$4)</f>
        <v/>
      </c>
      <c r="C3020">
        <f>C3019-0.1*B3020+0</f>
        <v/>
      </c>
      <c r="D3020">
        <f>D3019-0.1*B3020+0</f>
        <v/>
      </c>
      <c r="E3020">
        <f>Parameters!$B$25</f>
        <v/>
      </c>
    </row>
    <row r="3021">
      <c r="A3021" t="n">
        <v>301.9</v>
      </c>
      <c r="B3021">
        <f>IF(A3021&gt;162.1,Parameters!$B$5,Parameters!$B$4)</f>
        <v/>
      </c>
      <c r="C3021">
        <f>C3020-0.1*B3021+0</f>
        <v/>
      </c>
      <c r="D3021">
        <f>D3020-0.1*B3021+0</f>
        <v/>
      </c>
      <c r="E3021">
        <f>Parameters!$B$25</f>
        <v/>
      </c>
    </row>
    <row r="3022">
      <c r="A3022" t="n">
        <v>302</v>
      </c>
      <c r="B3022">
        <f>IF(A3022&gt;162.1,Parameters!$B$5,Parameters!$B$4)</f>
        <v/>
      </c>
      <c r="C3022">
        <f>C3021-0.1*B3022+0</f>
        <v/>
      </c>
      <c r="D3022">
        <f>D3021-0.1*B3022+0</f>
        <v/>
      </c>
      <c r="E3022">
        <f>Parameters!$B$25</f>
        <v/>
      </c>
    </row>
    <row r="3023">
      <c r="A3023" t="n">
        <v>302.1</v>
      </c>
      <c r="B3023">
        <f>IF(A3023&gt;162.1,Parameters!$B$5,Parameters!$B$4)</f>
        <v/>
      </c>
      <c r="C3023">
        <f>C3022-0.1*B3023+0</f>
        <v/>
      </c>
      <c r="D3023">
        <f>D3022-0.1*B3023+0</f>
        <v/>
      </c>
      <c r="E3023">
        <f>Parameters!$B$25</f>
        <v/>
      </c>
    </row>
    <row r="3024">
      <c r="A3024" t="n">
        <v>302.2</v>
      </c>
      <c r="B3024">
        <f>IF(A3024&gt;162.1,Parameters!$B$5,Parameters!$B$4)</f>
        <v/>
      </c>
      <c r="C3024">
        <f>C3023-0.1*B3024+0</f>
        <v/>
      </c>
      <c r="D3024">
        <f>D3023-0.1*B3024+0</f>
        <v/>
      </c>
      <c r="E3024">
        <f>Parameters!$B$25</f>
        <v/>
      </c>
    </row>
    <row r="3025">
      <c r="A3025" t="n">
        <v>302.3</v>
      </c>
      <c r="B3025">
        <f>IF(A3025&gt;162.1,Parameters!$B$5,Parameters!$B$4)</f>
        <v/>
      </c>
      <c r="C3025">
        <f>C3024-0.1*B3025+0</f>
        <v/>
      </c>
      <c r="D3025">
        <f>D3024-0.1*B3025+0</f>
        <v/>
      </c>
      <c r="E3025">
        <f>Parameters!$B$25</f>
        <v/>
      </c>
    </row>
    <row r="3026">
      <c r="A3026" t="n">
        <v>302.4</v>
      </c>
      <c r="B3026">
        <f>IF(A3026&gt;162.1,Parameters!$B$5,Parameters!$B$4)</f>
        <v/>
      </c>
      <c r="C3026">
        <f>C3025-0.1*B3026+0</f>
        <v/>
      </c>
      <c r="D3026">
        <f>D3025-0.1*B3026+0</f>
        <v/>
      </c>
      <c r="E3026">
        <f>Parameters!$B$25</f>
        <v/>
      </c>
    </row>
    <row r="3027">
      <c r="A3027" t="n">
        <v>302.5</v>
      </c>
      <c r="B3027">
        <f>IF(A3027&gt;162.1,Parameters!$B$5,Parameters!$B$4)</f>
        <v/>
      </c>
      <c r="C3027">
        <f>C3026-0.1*B3027+0</f>
        <v/>
      </c>
      <c r="D3027">
        <f>D3026-0.1*B3027+0</f>
        <v/>
      </c>
      <c r="E3027">
        <f>Parameters!$B$25</f>
        <v/>
      </c>
    </row>
    <row r="3028">
      <c r="A3028" t="n">
        <v>302.6</v>
      </c>
      <c r="B3028">
        <f>IF(A3028&gt;162.1,Parameters!$B$5,Parameters!$B$4)</f>
        <v/>
      </c>
      <c r="C3028">
        <f>C3027-0.1*B3028+0</f>
        <v/>
      </c>
      <c r="D3028">
        <f>D3027-0.1*B3028+0</f>
        <v/>
      </c>
      <c r="E3028">
        <f>Parameters!$B$25</f>
        <v/>
      </c>
    </row>
    <row r="3029">
      <c r="A3029" t="n">
        <v>302.7</v>
      </c>
      <c r="B3029">
        <f>IF(A3029&gt;162.1,Parameters!$B$5,Parameters!$B$4)</f>
        <v/>
      </c>
      <c r="C3029">
        <f>C3028-0.1*B3029+0</f>
        <v/>
      </c>
      <c r="D3029">
        <f>D3028-0.1*B3029+0</f>
        <v/>
      </c>
      <c r="E3029">
        <f>Parameters!$B$25</f>
        <v/>
      </c>
    </row>
    <row r="3030">
      <c r="A3030" t="n">
        <v>302.8</v>
      </c>
      <c r="B3030">
        <f>IF(A3030&gt;162.1,Parameters!$B$5,Parameters!$B$4)</f>
        <v/>
      </c>
      <c r="C3030">
        <f>C3029-0.1*B3030+0</f>
        <v/>
      </c>
      <c r="D3030">
        <f>D3029-0.1*B3030+0</f>
        <v/>
      </c>
      <c r="E3030">
        <f>Parameters!$B$25</f>
        <v/>
      </c>
    </row>
    <row r="3031">
      <c r="A3031" t="n">
        <v>302.9</v>
      </c>
      <c r="B3031">
        <f>IF(A3031&gt;162.1,Parameters!$B$5,Parameters!$B$4)</f>
        <v/>
      </c>
      <c r="C3031">
        <f>C3030-0.1*B3031+0</f>
        <v/>
      </c>
      <c r="D3031">
        <f>D3030-0.1*B3031+0</f>
        <v/>
      </c>
      <c r="E3031">
        <f>Parameters!$B$25</f>
        <v/>
      </c>
    </row>
    <row r="3032">
      <c r="A3032" t="n">
        <v>303</v>
      </c>
      <c r="B3032">
        <f>IF(A3032&gt;162.1,Parameters!$B$5,Parameters!$B$4)</f>
        <v/>
      </c>
      <c r="C3032">
        <f>C3031-0.1*B3032+0</f>
        <v/>
      </c>
      <c r="D3032">
        <f>D3031-0.1*B3032+0</f>
        <v/>
      </c>
      <c r="E3032">
        <f>Parameters!$B$25</f>
        <v/>
      </c>
    </row>
    <row r="3033">
      <c r="A3033" t="n">
        <v>303.1</v>
      </c>
      <c r="B3033">
        <f>IF(A3033&gt;162.1,Parameters!$B$5,Parameters!$B$4)</f>
        <v/>
      </c>
      <c r="C3033">
        <f>C3032-0.1*B3033+0</f>
        <v/>
      </c>
      <c r="D3033">
        <f>D3032-0.1*B3033+0</f>
        <v/>
      </c>
      <c r="E3033">
        <f>Parameters!$B$25</f>
        <v/>
      </c>
    </row>
    <row r="3034">
      <c r="A3034" t="n">
        <v>303.2</v>
      </c>
      <c r="B3034">
        <f>IF(A3034&gt;162.1,Parameters!$B$5,Parameters!$B$4)</f>
        <v/>
      </c>
      <c r="C3034">
        <f>C3033-0.1*B3034+0</f>
        <v/>
      </c>
      <c r="D3034">
        <f>D3033-0.1*B3034+0</f>
        <v/>
      </c>
      <c r="E3034">
        <f>Parameters!$B$25</f>
        <v/>
      </c>
    </row>
    <row r="3035">
      <c r="A3035" t="n">
        <v>303.3</v>
      </c>
      <c r="B3035">
        <f>IF(A3035&gt;162.1,Parameters!$B$5,Parameters!$B$4)</f>
        <v/>
      </c>
      <c r="C3035">
        <f>C3034-0.1*B3035+0</f>
        <v/>
      </c>
      <c r="D3035">
        <f>D3034-0.1*B3035+0</f>
        <v/>
      </c>
      <c r="E3035">
        <f>Parameters!$B$25</f>
        <v/>
      </c>
    </row>
    <row r="3036">
      <c r="A3036" t="n">
        <v>303.4</v>
      </c>
      <c r="B3036">
        <f>IF(A3036&gt;162.1,Parameters!$B$5,Parameters!$B$4)</f>
        <v/>
      </c>
      <c r="C3036">
        <f>C3035-0.1*B3036+0</f>
        <v/>
      </c>
      <c r="D3036">
        <f>D3035-0.1*B3036+0</f>
        <v/>
      </c>
      <c r="E3036">
        <f>Parameters!$B$25</f>
        <v/>
      </c>
    </row>
    <row r="3037">
      <c r="A3037" t="n">
        <v>303.5</v>
      </c>
      <c r="B3037">
        <f>IF(A3037&gt;162.1,Parameters!$B$5,Parameters!$B$4)</f>
        <v/>
      </c>
      <c r="C3037">
        <f>C3036-0.1*B3037+0</f>
        <v/>
      </c>
      <c r="D3037">
        <f>D3036-0.1*B3037+0</f>
        <v/>
      </c>
      <c r="E3037">
        <f>Parameters!$B$25</f>
        <v/>
      </c>
    </row>
    <row r="3038">
      <c r="A3038" t="n">
        <v>303.6</v>
      </c>
      <c r="B3038">
        <f>IF(A3038&gt;162.1,Parameters!$B$5,Parameters!$B$4)</f>
        <v/>
      </c>
      <c r="C3038">
        <f>C3037-0.1*B3038+0</f>
        <v/>
      </c>
      <c r="D3038">
        <f>D3037-0.1*B3038+0</f>
        <v/>
      </c>
      <c r="E3038">
        <f>Parameters!$B$25</f>
        <v/>
      </c>
    </row>
    <row r="3039">
      <c r="A3039" t="n">
        <v>303.7</v>
      </c>
      <c r="B3039">
        <f>IF(A3039&gt;162.1,Parameters!$B$5,Parameters!$B$4)</f>
        <v/>
      </c>
      <c r="C3039">
        <f>C3038-0.1*B3039+0</f>
        <v/>
      </c>
      <c r="D3039">
        <f>D3038-0.1*B3039+0</f>
        <v/>
      </c>
      <c r="E3039">
        <f>Parameters!$B$25</f>
        <v/>
      </c>
    </row>
    <row r="3040">
      <c r="A3040" t="n">
        <v>303.8</v>
      </c>
      <c r="B3040">
        <f>IF(A3040&gt;162.1,Parameters!$B$5,Parameters!$B$4)</f>
        <v/>
      </c>
      <c r="C3040">
        <f>C3039-0.1*B3040+0</f>
        <v/>
      </c>
      <c r="D3040">
        <f>D3039-0.1*B3040+0</f>
        <v/>
      </c>
      <c r="E3040">
        <f>Parameters!$B$25</f>
        <v/>
      </c>
    </row>
    <row r="3041">
      <c r="A3041" t="n">
        <v>303.9</v>
      </c>
      <c r="B3041">
        <f>IF(A3041&gt;162.1,Parameters!$B$5,Parameters!$B$4)</f>
        <v/>
      </c>
      <c r="C3041">
        <f>C3040-0.1*B3041+0</f>
        <v/>
      </c>
      <c r="D3041">
        <f>D3040-0.1*B3041+0</f>
        <v/>
      </c>
      <c r="E3041">
        <f>Parameters!$B$25</f>
        <v/>
      </c>
    </row>
    <row r="3042">
      <c r="A3042" t="n">
        <v>304</v>
      </c>
      <c r="B3042">
        <f>IF(A3042&gt;162.1,Parameters!$B$5,Parameters!$B$4)</f>
        <v/>
      </c>
      <c r="C3042">
        <f>C3041-0.1*B3042+0</f>
        <v/>
      </c>
      <c r="D3042">
        <f>D3041-0.1*B3042+0</f>
        <v/>
      </c>
      <c r="E3042">
        <f>Parameters!$B$25</f>
        <v/>
      </c>
    </row>
    <row r="3043">
      <c r="A3043" t="n">
        <v>304.1</v>
      </c>
      <c r="B3043">
        <f>IF(A3043&gt;162.1,Parameters!$B$5,Parameters!$B$4)</f>
        <v/>
      </c>
      <c r="C3043">
        <f>C3042-0.1*B3043+0</f>
        <v/>
      </c>
      <c r="D3043">
        <f>D3042-0.1*B3043+0</f>
        <v/>
      </c>
      <c r="E3043">
        <f>Parameters!$B$25</f>
        <v/>
      </c>
    </row>
    <row r="3044">
      <c r="A3044" t="n">
        <v>304.2</v>
      </c>
      <c r="B3044">
        <f>IF(A3044&gt;162.1,Parameters!$B$5,Parameters!$B$4)</f>
        <v/>
      </c>
      <c r="C3044">
        <f>C3043-0.1*B3044+0</f>
        <v/>
      </c>
      <c r="D3044">
        <f>D3043-0.1*B3044+0</f>
        <v/>
      </c>
      <c r="E3044">
        <f>Parameters!$B$25</f>
        <v/>
      </c>
    </row>
    <row r="3045">
      <c r="A3045" t="n">
        <v>304.3</v>
      </c>
      <c r="B3045">
        <f>IF(A3045&gt;162.1,Parameters!$B$5,Parameters!$B$4)</f>
        <v/>
      </c>
      <c r="C3045">
        <f>C3044-0.1*B3045+0</f>
        <v/>
      </c>
      <c r="D3045">
        <f>D3044-0.1*B3045+0</f>
        <v/>
      </c>
      <c r="E3045">
        <f>Parameters!$B$25</f>
        <v/>
      </c>
    </row>
    <row r="3046">
      <c r="A3046" t="n">
        <v>304.4</v>
      </c>
      <c r="B3046">
        <f>IF(A3046&gt;162.1,Parameters!$B$5,Parameters!$B$4)</f>
        <v/>
      </c>
      <c r="C3046">
        <f>C3045-0.1*B3046+0</f>
        <v/>
      </c>
      <c r="D3046">
        <f>D3045-0.1*B3046+0</f>
        <v/>
      </c>
      <c r="E3046">
        <f>Parameters!$B$25</f>
        <v/>
      </c>
    </row>
    <row r="3047">
      <c r="A3047" t="n">
        <v>304.5</v>
      </c>
      <c r="B3047">
        <f>IF(A3047&gt;162.1,Parameters!$B$5,Parameters!$B$4)</f>
        <v/>
      </c>
      <c r="C3047">
        <f>C3046-0.1*B3047+0</f>
        <v/>
      </c>
      <c r="D3047">
        <f>D3046-0.1*B3047+0</f>
        <v/>
      </c>
      <c r="E3047">
        <f>Parameters!$B$25</f>
        <v/>
      </c>
    </row>
    <row r="3048">
      <c r="A3048" t="n">
        <v>304.6</v>
      </c>
      <c r="B3048">
        <f>IF(A3048&gt;162.1,Parameters!$B$5,Parameters!$B$4)</f>
        <v/>
      </c>
      <c r="C3048">
        <f>C3047-0.1*B3048+0</f>
        <v/>
      </c>
      <c r="D3048">
        <f>D3047-0.1*B3048+0</f>
        <v/>
      </c>
      <c r="E3048">
        <f>Parameters!$B$25</f>
        <v/>
      </c>
    </row>
    <row r="3049">
      <c r="A3049" t="n">
        <v>304.7</v>
      </c>
      <c r="B3049">
        <f>IF(A3049&gt;162.1,Parameters!$B$5,Parameters!$B$4)</f>
        <v/>
      </c>
      <c r="C3049">
        <f>C3048-0.1*B3049+0</f>
        <v/>
      </c>
      <c r="D3049">
        <f>D3048-0.1*B3049+0</f>
        <v/>
      </c>
      <c r="E3049">
        <f>Parameters!$B$25</f>
        <v/>
      </c>
    </row>
    <row r="3050">
      <c r="A3050" t="n">
        <v>304.8</v>
      </c>
      <c r="B3050">
        <f>IF(A3050&gt;162.1,Parameters!$B$5,Parameters!$B$4)</f>
        <v/>
      </c>
      <c r="C3050">
        <f>C3049-0.1*B3050+0</f>
        <v/>
      </c>
      <c r="D3050">
        <f>D3049-0.1*B3050+0</f>
        <v/>
      </c>
      <c r="E3050">
        <f>Parameters!$B$25</f>
        <v/>
      </c>
    </row>
    <row r="3051">
      <c r="A3051" t="n">
        <v>304.9</v>
      </c>
      <c r="B3051">
        <f>IF(A3051&gt;162.1,Parameters!$B$5,Parameters!$B$4)</f>
        <v/>
      </c>
      <c r="C3051">
        <f>C3050-0.1*B3051+0</f>
        <v/>
      </c>
      <c r="D3051">
        <f>D3050-0.1*B3051+0</f>
        <v/>
      </c>
      <c r="E3051">
        <f>Parameters!$B$25</f>
        <v/>
      </c>
    </row>
    <row r="3052">
      <c r="A3052" t="n">
        <v>305</v>
      </c>
      <c r="B3052">
        <f>IF(A3052&gt;162.1,Parameters!$B$5,Parameters!$B$4)</f>
        <v/>
      </c>
      <c r="C3052">
        <f>C3051-0.1*B3052+0</f>
        <v/>
      </c>
      <c r="D3052">
        <f>D3051-0.1*B3052+0</f>
        <v/>
      </c>
      <c r="E3052">
        <f>Parameters!$B$25</f>
        <v/>
      </c>
    </row>
    <row r="3053">
      <c r="A3053" t="n">
        <v>305.1</v>
      </c>
      <c r="B3053">
        <f>IF(A3053&gt;162.1,Parameters!$B$5,Parameters!$B$4)</f>
        <v/>
      </c>
      <c r="C3053">
        <f>C3052-0.1*B3053+0</f>
        <v/>
      </c>
      <c r="D3053">
        <f>D3052-0.1*B3053+0</f>
        <v/>
      </c>
      <c r="E3053">
        <f>Parameters!$B$25</f>
        <v/>
      </c>
    </row>
    <row r="3054">
      <c r="A3054" t="n">
        <v>305.2</v>
      </c>
      <c r="B3054">
        <f>IF(A3054&gt;162.1,Parameters!$B$5,Parameters!$B$4)</f>
        <v/>
      </c>
      <c r="C3054">
        <f>C3053-0.1*B3054+0</f>
        <v/>
      </c>
      <c r="D3054">
        <f>D3053-0.1*B3054+0</f>
        <v/>
      </c>
      <c r="E3054">
        <f>Parameters!$B$25</f>
        <v/>
      </c>
    </row>
    <row r="3055">
      <c r="A3055" t="n">
        <v>305.3</v>
      </c>
      <c r="B3055">
        <f>IF(A3055&gt;162.1,Parameters!$B$5,Parameters!$B$4)</f>
        <v/>
      </c>
      <c r="C3055">
        <f>C3054-0.1*B3055+0</f>
        <v/>
      </c>
      <c r="D3055">
        <f>D3054-0.1*B3055+0</f>
        <v/>
      </c>
      <c r="E3055">
        <f>Parameters!$B$25</f>
        <v/>
      </c>
    </row>
    <row r="3056">
      <c r="A3056" t="n">
        <v>305.4</v>
      </c>
      <c r="B3056">
        <f>IF(A3056&gt;162.1,Parameters!$B$5,Parameters!$B$4)</f>
        <v/>
      </c>
      <c r="C3056">
        <f>C3055-0.1*B3056+0</f>
        <v/>
      </c>
      <c r="D3056">
        <f>D3055-0.1*B3056+0</f>
        <v/>
      </c>
      <c r="E3056">
        <f>Parameters!$B$25</f>
        <v/>
      </c>
    </row>
    <row r="3057">
      <c r="A3057" t="n">
        <v>305.5</v>
      </c>
      <c r="B3057">
        <f>IF(A3057&gt;162.1,Parameters!$B$5,Parameters!$B$4)</f>
        <v/>
      </c>
      <c r="C3057">
        <f>C3056-0.1*B3057+0</f>
        <v/>
      </c>
      <c r="D3057">
        <f>D3056-0.1*B3057+0</f>
        <v/>
      </c>
      <c r="E3057">
        <f>Parameters!$B$25</f>
        <v/>
      </c>
    </row>
    <row r="3058">
      <c r="A3058" t="n">
        <v>305.6</v>
      </c>
      <c r="B3058">
        <f>IF(A3058&gt;162.1,Parameters!$B$5,Parameters!$B$4)</f>
        <v/>
      </c>
      <c r="C3058">
        <f>C3057-0.1*B3058+0</f>
        <v/>
      </c>
      <c r="D3058">
        <f>D3057-0.1*B3058+0</f>
        <v/>
      </c>
      <c r="E3058">
        <f>Parameters!$B$25</f>
        <v/>
      </c>
    </row>
    <row r="3059">
      <c r="A3059" t="n">
        <v>305.7</v>
      </c>
      <c r="B3059">
        <f>IF(A3059&gt;162.1,Parameters!$B$5,Parameters!$B$4)</f>
        <v/>
      </c>
      <c r="C3059">
        <f>C3058-0.1*B3059+0</f>
        <v/>
      </c>
      <c r="D3059">
        <f>D3058-0.1*B3059+0</f>
        <v/>
      </c>
      <c r="E3059">
        <f>Parameters!$B$25</f>
        <v/>
      </c>
    </row>
    <row r="3060">
      <c r="A3060" t="n">
        <v>305.8</v>
      </c>
      <c r="B3060">
        <f>IF(A3060&gt;162.1,Parameters!$B$5,Parameters!$B$4)</f>
        <v/>
      </c>
      <c r="C3060">
        <f>C3059-0.1*B3060+0</f>
        <v/>
      </c>
      <c r="D3060">
        <f>D3059-0.1*B3060+0</f>
        <v/>
      </c>
      <c r="E3060">
        <f>Parameters!$B$25</f>
        <v/>
      </c>
    </row>
    <row r="3061">
      <c r="A3061" t="n">
        <v>305.9</v>
      </c>
      <c r="B3061">
        <f>IF(A3061&gt;162.1,Parameters!$B$5,Parameters!$B$4)</f>
        <v/>
      </c>
      <c r="C3061">
        <f>C3060-0.1*B3061+0</f>
        <v/>
      </c>
      <c r="D3061">
        <f>D3060-0.1*B3061+0</f>
        <v/>
      </c>
      <c r="E3061">
        <f>Parameters!$B$25</f>
        <v/>
      </c>
    </row>
    <row r="3062">
      <c r="A3062" t="n">
        <v>306</v>
      </c>
      <c r="B3062">
        <f>IF(A3062&gt;162.1,Parameters!$B$5,Parameters!$B$4)</f>
        <v/>
      </c>
      <c r="C3062">
        <f>C3061-0.1*B3062+0</f>
        <v/>
      </c>
      <c r="D3062">
        <f>D3061-0.1*B3062+0</f>
        <v/>
      </c>
      <c r="E3062">
        <f>Parameters!$B$25</f>
        <v/>
      </c>
    </row>
    <row r="3063">
      <c r="A3063" t="n">
        <v>306.1</v>
      </c>
      <c r="B3063">
        <f>IF(A3063&gt;162.1,Parameters!$B$5,Parameters!$B$4)</f>
        <v/>
      </c>
      <c r="C3063">
        <f>C3062-0.1*B3063+0</f>
        <v/>
      </c>
      <c r="D3063">
        <f>D3062-0.1*B3063+0</f>
        <v/>
      </c>
      <c r="E3063">
        <f>Parameters!$B$25</f>
        <v/>
      </c>
    </row>
    <row r="3064">
      <c r="A3064" t="n">
        <v>306.2</v>
      </c>
      <c r="B3064">
        <f>IF(A3064&gt;162.1,Parameters!$B$5,Parameters!$B$4)</f>
        <v/>
      </c>
      <c r="C3064">
        <f>C3063-0.1*B3064+0</f>
        <v/>
      </c>
      <c r="D3064">
        <f>D3063-0.1*B3064+0</f>
        <v/>
      </c>
      <c r="E3064">
        <f>Parameters!$B$25</f>
        <v/>
      </c>
    </row>
    <row r="3065">
      <c r="A3065" t="n">
        <v>306.3</v>
      </c>
      <c r="B3065">
        <f>IF(A3065&gt;162.1,Parameters!$B$5,Parameters!$B$4)</f>
        <v/>
      </c>
      <c r="C3065">
        <f>C3064-0.1*B3065+0</f>
        <v/>
      </c>
      <c r="D3065">
        <f>D3064-0.1*B3065+0</f>
        <v/>
      </c>
      <c r="E3065">
        <f>Parameters!$B$25</f>
        <v/>
      </c>
    </row>
    <row r="3066">
      <c r="A3066" t="n">
        <v>306.4</v>
      </c>
      <c r="B3066">
        <f>IF(A3066&gt;162.1,Parameters!$B$5,Parameters!$B$4)</f>
        <v/>
      </c>
      <c r="C3066">
        <f>C3065-0.1*B3066+0</f>
        <v/>
      </c>
      <c r="D3066">
        <f>D3065-0.1*B3066+0</f>
        <v/>
      </c>
      <c r="E3066">
        <f>Parameters!$B$25</f>
        <v/>
      </c>
    </row>
    <row r="3067">
      <c r="A3067" t="n">
        <v>306.5</v>
      </c>
      <c r="B3067">
        <f>IF(A3067&gt;162.1,Parameters!$B$5,Parameters!$B$4)</f>
        <v/>
      </c>
      <c r="C3067">
        <f>C3066-0.1*B3067+0</f>
        <v/>
      </c>
      <c r="D3067">
        <f>D3066-0.1*B3067+0</f>
        <v/>
      </c>
      <c r="E3067">
        <f>Parameters!$B$25</f>
        <v/>
      </c>
    </row>
    <row r="3068">
      <c r="A3068" t="n">
        <v>306.6</v>
      </c>
      <c r="B3068">
        <f>IF(A3068&gt;162.1,Parameters!$B$5,Parameters!$B$4)</f>
        <v/>
      </c>
      <c r="C3068">
        <f>C3067-0.1*B3068+0</f>
        <v/>
      </c>
      <c r="D3068">
        <f>D3067-0.1*B3068+0</f>
        <v/>
      </c>
      <c r="E3068">
        <f>Parameters!$B$25</f>
        <v/>
      </c>
    </row>
    <row r="3069">
      <c r="A3069" t="n">
        <v>306.7</v>
      </c>
      <c r="B3069">
        <f>IF(A3069&gt;162.1,Parameters!$B$5,Parameters!$B$4)</f>
        <v/>
      </c>
      <c r="C3069">
        <f>C3068-0.1*B3069+0</f>
        <v/>
      </c>
      <c r="D3069">
        <f>D3068-0.1*B3069+0</f>
        <v/>
      </c>
      <c r="E3069">
        <f>Parameters!$B$25</f>
        <v/>
      </c>
    </row>
    <row r="3070">
      <c r="A3070" t="n">
        <v>306.8</v>
      </c>
      <c r="B3070">
        <f>IF(A3070&gt;162.1,Parameters!$B$5,Parameters!$B$4)</f>
        <v/>
      </c>
      <c r="C3070">
        <f>C3069-0.1*B3070+0</f>
        <v/>
      </c>
      <c r="D3070">
        <f>D3069-0.1*B3070+0</f>
        <v/>
      </c>
      <c r="E3070">
        <f>Parameters!$B$25</f>
        <v/>
      </c>
    </row>
    <row r="3071">
      <c r="A3071" t="n">
        <v>306.9</v>
      </c>
      <c r="B3071">
        <f>IF(A3071&gt;162.1,Parameters!$B$5,Parameters!$B$4)</f>
        <v/>
      </c>
      <c r="C3071">
        <f>C3070-0.1*B3071+0</f>
        <v/>
      </c>
      <c r="D3071">
        <f>D3070-0.1*B3071+0</f>
        <v/>
      </c>
      <c r="E3071">
        <f>Parameters!$B$25</f>
        <v/>
      </c>
    </row>
    <row r="3072">
      <c r="A3072" t="n">
        <v>307</v>
      </c>
      <c r="B3072">
        <f>IF(A3072&gt;162.1,Parameters!$B$5,Parameters!$B$4)</f>
        <v/>
      </c>
      <c r="C3072">
        <f>C3071-0.1*B3072+0</f>
        <v/>
      </c>
      <c r="D3072">
        <f>D3071-0.1*B3072+0</f>
        <v/>
      </c>
      <c r="E3072">
        <f>Parameters!$B$25</f>
        <v/>
      </c>
    </row>
    <row r="3073">
      <c r="A3073" t="n">
        <v>307.1</v>
      </c>
      <c r="B3073">
        <f>IF(A3073&gt;162.1,Parameters!$B$5,Parameters!$B$4)</f>
        <v/>
      </c>
      <c r="C3073">
        <f>C3072-0.1*B3073+0</f>
        <v/>
      </c>
      <c r="D3073">
        <f>D3072-0.1*B3073+0</f>
        <v/>
      </c>
      <c r="E3073">
        <f>Parameters!$B$25</f>
        <v/>
      </c>
    </row>
    <row r="3074">
      <c r="A3074" t="n">
        <v>307.2</v>
      </c>
      <c r="B3074">
        <f>IF(A3074&gt;162.1,Parameters!$B$5,Parameters!$B$4)</f>
        <v/>
      </c>
      <c r="C3074">
        <f>C3073-0.1*B3074+0</f>
        <v/>
      </c>
      <c r="D3074">
        <f>D3073-0.1*B3074+0</f>
        <v/>
      </c>
      <c r="E3074">
        <f>Parameters!$B$25</f>
        <v/>
      </c>
    </row>
    <row r="3075">
      <c r="A3075" t="n">
        <v>307.3</v>
      </c>
      <c r="B3075">
        <f>IF(A3075&gt;162.1,Parameters!$B$5,Parameters!$B$4)</f>
        <v/>
      </c>
      <c r="C3075">
        <f>C3074-0.1*B3075+0</f>
        <v/>
      </c>
      <c r="D3075">
        <f>D3074-0.1*B3075+0</f>
        <v/>
      </c>
      <c r="E3075">
        <f>Parameters!$B$25</f>
        <v/>
      </c>
    </row>
    <row r="3076">
      <c r="A3076" t="n">
        <v>307.4</v>
      </c>
      <c r="B3076">
        <f>IF(A3076&gt;162.1,Parameters!$B$5,Parameters!$B$4)</f>
        <v/>
      </c>
      <c r="C3076">
        <f>C3075-0.1*B3076+0</f>
        <v/>
      </c>
      <c r="D3076">
        <f>D3075-0.1*B3076+0</f>
        <v/>
      </c>
      <c r="E3076">
        <f>Parameters!$B$25</f>
        <v/>
      </c>
    </row>
    <row r="3077">
      <c r="A3077" t="n">
        <v>307.5</v>
      </c>
      <c r="B3077">
        <f>IF(A3077&gt;162.1,Parameters!$B$5,Parameters!$B$4)</f>
        <v/>
      </c>
      <c r="C3077">
        <f>C3076-0.1*B3077+0</f>
        <v/>
      </c>
      <c r="D3077">
        <f>D3076-0.1*B3077+0</f>
        <v/>
      </c>
      <c r="E3077">
        <f>Parameters!$B$25</f>
        <v/>
      </c>
    </row>
    <row r="3078">
      <c r="A3078" t="n">
        <v>307.6</v>
      </c>
      <c r="B3078">
        <f>IF(A3078&gt;162.1,Parameters!$B$5,Parameters!$B$4)</f>
        <v/>
      </c>
      <c r="C3078">
        <f>C3077-0.1*B3078+0</f>
        <v/>
      </c>
      <c r="D3078">
        <f>D3077-0.1*B3078+0</f>
        <v/>
      </c>
      <c r="E3078">
        <f>Parameters!$B$25</f>
        <v/>
      </c>
    </row>
    <row r="3079">
      <c r="A3079" t="n">
        <v>307.7</v>
      </c>
      <c r="B3079">
        <f>IF(A3079&gt;162.1,Parameters!$B$5,Parameters!$B$4)</f>
        <v/>
      </c>
      <c r="C3079">
        <f>C3078-0.1*B3079+0</f>
        <v/>
      </c>
      <c r="D3079">
        <f>D3078-0.1*B3079+0</f>
        <v/>
      </c>
      <c r="E3079">
        <f>Parameters!$B$25</f>
        <v/>
      </c>
    </row>
    <row r="3080">
      <c r="A3080" t="n">
        <v>307.8</v>
      </c>
      <c r="B3080">
        <f>IF(A3080&gt;162.1,Parameters!$B$5,Parameters!$B$4)</f>
        <v/>
      </c>
      <c r="C3080">
        <f>C3079-0.1*B3080+0</f>
        <v/>
      </c>
      <c r="D3080">
        <f>D3079-0.1*B3080+0</f>
        <v/>
      </c>
      <c r="E3080">
        <f>Parameters!$B$25</f>
        <v/>
      </c>
    </row>
    <row r="3081">
      <c r="A3081" t="n">
        <v>307.9</v>
      </c>
      <c r="B3081">
        <f>IF(A3081&gt;162.1,Parameters!$B$5,Parameters!$B$4)</f>
        <v/>
      </c>
      <c r="C3081">
        <f>C3080-0.1*B3081+0</f>
        <v/>
      </c>
      <c r="D3081">
        <f>D3080-0.1*B3081+0</f>
        <v/>
      </c>
      <c r="E3081">
        <f>Parameters!$B$25</f>
        <v/>
      </c>
    </row>
    <row r="3082">
      <c r="A3082" t="n">
        <v>308</v>
      </c>
      <c r="B3082">
        <f>IF(A3082&gt;162.1,Parameters!$B$5,Parameters!$B$4)</f>
        <v/>
      </c>
      <c r="C3082">
        <f>C3081-0.1*B3082+0</f>
        <v/>
      </c>
      <c r="D3082">
        <f>D3081-0.1*B3082+0</f>
        <v/>
      </c>
      <c r="E3082">
        <f>Parameters!$B$25</f>
        <v/>
      </c>
    </row>
    <row r="3083">
      <c r="A3083" t="n">
        <v>308.1</v>
      </c>
      <c r="B3083">
        <f>IF(A3083&gt;162.1,Parameters!$B$5,Parameters!$B$4)</f>
        <v/>
      </c>
      <c r="C3083">
        <f>C3082-0.1*B3083+0</f>
        <v/>
      </c>
      <c r="D3083">
        <f>D3082-0.1*B3083+0</f>
        <v/>
      </c>
      <c r="E3083">
        <f>Parameters!$B$25</f>
        <v/>
      </c>
    </row>
    <row r="3084">
      <c r="A3084" t="n">
        <v>308.2</v>
      </c>
      <c r="B3084">
        <f>IF(A3084&gt;162.1,Parameters!$B$5,Parameters!$B$4)</f>
        <v/>
      </c>
      <c r="C3084">
        <f>C3083-0.1*B3084+0</f>
        <v/>
      </c>
      <c r="D3084">
        <f>D3083-0.1*B3084+0</f>
        <v/>
      </c>
      <c r="E3084">
        <f>Parameters!$B$25</f>
        <v/>
      </c>
    </row>
    <row r="3085">
      <c r="A3085" t="n">
        <v>308.3</v>
      </c>
      <c r="B3085">
        <f>IF(A3085&gt;162.1,Parameters!$B$5,Parameters!$B$4)</f>
        <v/>
      </c>
      <c r="C3085">
        <f>C3084-0.1*B3085+0</f>
        <v/>
      </c>
      <c r="D3085">
        <f>D3084-0.1*B3085+0</f>
        <v/>
      </c>
      <c r="E3085">
        <f>Parameters!$B$25</f>
        <v/>
      </c>
    </row>
    <row r="3086">
      <c r="A3086" t="n">
        <v>308.4</v>
      </c>
      <c r="B3086">
        <f>IF(A3086&gt;162.1,Parameters!$B$5,Parameters!$B$4)</f>
        <v/>
      </c>
      <c r="C3086">
        <f>C3085-0.1*B3086+0</f>
        <v/>
      </c>
      <c r="D3086">
        <f>D3085-0.1*B3086+0</f>
        <v/>
      </c>
      <c r="E3086">
        <f>Parameters!$B$25</f>
        <v/>
      </c>
    </row>
    <row r="3087">
      <c r="A3087" t="n">
        <v>308.5</v>
      </c>
      <c r="B3087">
        <f>IF(A3087&gt;162.1,Parameters!$B$5,Parameters!$B$4)</f>
        <v/>
      </c>
      <c r="C3087">
        <f>C3086-0.1*B3087+0</f>
        <v/>
      </c>
      <c r="D3087">
        <f>D3086-0.1*B3087+0</f>
        <v/>
      </c>
      <c r="E3087">
        <f>Parameters!$B$25</f>
        <v/>
      </c>
    </row>
    <row r="3088">
      <c r="A3088" t="n">
        <v>308.6</v>
      </c>
      <c r="B3088">
        <f>IF(A3088&gt;162.1,Parameters!$B$5,Parameters!$B$4)</f>
        <v/>
      </c>
      <c r="C3088">
        <f>C3087-0.1*B3088+0</f>
        <v/>
      </c>
      <c r="D3088">
        <f>D3087-0.1*B3088+0</f>
        <v/>
      </c>
      <c r="E3088">
        <f>Parameters!$B$25</f>
        <v/>
      </c>
    </row>
    <row r="3089">
      <c r="A3089" t="n">
        <v>308.7</v>
      </c>
      <c r="B3089">
        <f>IF(A3089&gt;162.1,Parameters!$B$5,Parameters!$B$4)</f>
        <v/>
      </c>
      <c r="C3089">
        <f>C3088-0.1*B3089+0</f>
        <v/>
      </c>
      <c r="D3089">
        <f>D3088-0.1*B3089+0</f>
        <v/>
      </c>
      <c r="E3089">
        <f>Parameters!$B$25</f>
        <v/>
      </c>
    </row>
    <row r="3090">
      <c r="A3090" t="n">
        <v>308.8</v>
      </c>
      <c r="B3090">
        <f>IF(A3090&gt;162.1,Parameters!$B$5,Parameters!$B$4)</f>
        <v/>
      </c>
      <c r="C3090">
        <f>C3089-0.1*B3090+0</f>
        <v/>
      </c>
      <c r="D3090">
        <f>D3089-0.1*B3090+0</f>
        <v/>
      </c>
      <c r="E3090">
        <f>Parameters!$B$25</f>
        <v/>
      </c>
    </row>
    <row r="3091">
      <c r="A3091" t="n">
        <v>308.9</v>
      </c>
      <c r="B3091">
        <f>IF(A3091&gt;162.1,Parameters!$B$5,Parameters!$B$4)</f>
        <v/>
      </c>
      <c r="C3091">
        <f>C3090-0.1*B3091+0</f>
        <v/>
      </c>
      <c r="D3091">
        <f>D3090-0.1*B3091+0</f>
        <v/>
      </c>
      <c r="E3091">
        <f>Parameters!$B$25</f>
        <v/>
      </c>
    </row>
    <row r="3092">
      <c r="A3092" t="n">
        <v>309</v>
      </c>
      <c r="B3092">
        <f>IF(A3092&gt;162.1,Parameters!$B$5,Parameters!$B$4)</f>
        <v/>
      </c>
      <c r="C3092">
        <f>C3091-0.1*B3092+0</f>
        <v/>
      </c>
      <c r="D3092">
        <f>D3091-0.1*B3092+0</f>
        <v/>
      </c>
      <c r="E3092">
        <f>Parameters!$B$25</f>
        <v/>
      </c>
    </row>
    <row r="3093">
      <c r="A3093" t="n">
        <v>309.1</v>
      </c>
      <c r="B3093">
        <f>IF(A3093&gt;162.1,Parameters!$B$5,Parameters!$B$4)</f>
        <v/>
      </c>
      <c r="C3093">
        <f>C3092-0.1*B3093+0</f>
        <v/>
      </c>
      <c r="D3093">
        <f>D3092-0.1*B3093+0</f>
        <v/>
      </c>
      <c r="E3093">
        <f>Parameters!$B$25</f>
        <v/>
      </c>
    </row>
    <row r="3094">
      <c r="A3094" t="n">
        <v>309.2</v>
      </c>
      <c r="B3094">
        <f>IF(A3094&gt;162.1,Parameters!$B$5,Parameters!$B$4)</f>
        <v/>
      </c>
      <c r="C3094">
        <f>C3093-0.1*B3094+0</f>
        <v/>
      </c>
      <c r="D3094">
        <f>D3093-0.1*B3094+0</f>
        <v/>
      </c>
      <c r="E3094">
        <f>Parameters!$B$25</f>
        <v/>
      </c>
    </row>
    <row r="3095">
      <c r="A3095" t="n">
        <v>309.3</v>
      </c>
      <c r="B3095">
        <f>IF(A3095&gt;162.1,Parameters!$B$5,Parameters!$B$4)</f>
        <v/>
      </c>
      <c r="C3095">
        <f>C3094-0.1*B3095+0</f>
        <v/>
      </c>
      <c r="D3095">
        <f>D3094-0.1*B3095+0</f>
        <v/>
      </c>
      <c r="E3095">
        <f>Parameters!$B$25</f>
        <v/>
      </c>
    </row>
    <row r="3096">
      <c r="A3096" t="n">
        <v>309.4</v>
      </c>
      <c r="B3096">
        <f>IF(A3096&gt;162.1,Parameters!$B$5,Parameters!$B$4)</f>
        <v/>
      </c>
      <c r="C3096">
        <f>C3095-0.1*B3096+0</f>
        <v/>
      </c>
      <c r="D3096">
        <f>D3095-0.1*B3096+0</f>
        <v/>
      </c>
      <c r="E3096">
        <f>Parameters!$B$25</f>
        <v/>
      </c>
    </row>
    <row r="3097">
      <c r="A3097" t="n">
        <v>309.5</v>
      </c>
      <c r="B3097">
        <f>IF(A3097&gt;162.1,Parameters!$B$5,Parameters!$B$4)</f>
        <v/>
      </c>
      <c r="C3097">
        <f>C3096-0.1*B3097+0</f>
        <v/>
      </c>
      <c r="D3097">
        <f>D3096-0.1*B3097+0</f>
        <v/>
      </c>
      <c r="E3097">
        <f>Parameters!$B$25</f>
        <v/>
      </c>
    </row>
    <row r="3098">
      <c r="A3098" t="n">
        <v>309.6</v>
      </c>
      <c r="B3098">
        <f>IF(A3098&gt;162.1,Parameters!$B$5,Parameters!$B$4)</f>
        <v/>
      </c>
      <c r="C3098">
        <f>C3097-0.1*B3098+0</f>
        <v/>
      </c>
      <c r="D3098">
        <f>D3097-0.1*B3098+0</f>
        <v/>
      </c>
      <c r="E3098">
        <f>Parameters!$B$25</f>
        <v/>
      </c>
    </row>
    <row r="3099">
      <c r="A3099" t="n">
        <v>309.7</v>
      </c>
      <c r="B3099">
        <f>IF(A3099&gt;162.1,Parameters!$B$5,Parameters!$B$4)</f>
        <v/>
      </c>
      <c r="C3099">
        <f>C3098-0.1*B3099+0</f>
        <v/>
      </c>
      <c r="D3099">
        <f>D3098-0.1*B3099+0</f>
        <v/>
      </c>
      <c r="E3099">
        <f>Parameters!$B$25</f>
        <v/>
      </c>
    </row>
    <row r="3100">
      <c r="A3100" t="n">
        <v>309.8</v>
      </c>
      <c r="B3100">
        <f>IF(A3100&gt;162.1,Parameters!$B$5,Parameters!$B$4)</f>
        <v/>
      </c>
      <c r="C3100">
        <f>C3099-0.1*B3100+0</f>
        <v/>
      </c>
      <c r="D3100">
        <f>D3099-0.1*B3100+0</f>
        <v/>
      </c>
      <c r="E3100">
        <f>Parameters!$B$25</f>
        <v/>
      </c>
    </row>
    <row r="3101">
      <c r="A3101" t="n">
        <v>309.9</v>
      </c>
      <c r="B3101">
        <f>IF(A3101&gt;162.1,Parameters!$B$5,Parameters!$B$4)</f>
        <v/>
      </c>
      <c r="C3101">
        <f>C3100-0.1*B3101+0</f>
        <v/>
      </c>
      <c r="D3101">
        <f>D3100-0.1*B3101+0</f>
        <v/>
      </c>
      <c r="E3101">
        <f>Parameters!$B$25</f>
        <v/>
      </c>
    </row>
    <row r="3102">
      <c r="A3102" t="n">
        <v>310</v>
      </c>
      <c r="B3102">
        <f>IF(A3102&gt;162.1,Parameters!$B$5,Parameters!$B$4)</f>
        <v/>
      </c>
      <c r="C3102">
        <f>C3101-0.1*B3102+0</f>
        <v/>
      </c>
      <c r="D3102">
        <f>D3101-0.1*B3102+0</f>
        <v/>
      </c>
      <c r="E3102">
        <f>Parameters!$B$25</f>
        <v/>
      </c>
    </row>
    <row r="3103">
      <c r="A3103" t="n">
        <v>310.1</v>
      </c>
      <c r="B3103">
        <f>IF(A3103&gt;162.1,Parameters!$B$5,Parameters!$B$4)</f>
        <v/>
      </c>
      <c r="C3103">
        <f>C3102-0.1*B3103+0</f>
        <v/>
      </c>
      <c r="D3103">
        <f>D3102-0.1*B3103+0</f>
        <v/>
      </c>
      <c r="E3103">
        <f>Parameters!$B$25</f>
        <v/>
      </c>
    </row>
    <row r="3104">
      <c r="A3104" t="n">
        <v>310.2</v>
      </c>
      <c r="B3104">
        <f>IF(A3104&gt;162.1,Parameters!$B$5,Parameters!$B$4)</f>
        <v/>
      </c>
      <c r="C3104">
        <f>C3103-0.1*B3104+0</f>
        <v/>
      </c>
      <c r="D3104">
        <f>D3103-0.1*B3104+0</f>
        <v/>
      </c>
      <c r="E3104">
        <f>Parameters!$B$25</f>
        <v/>
      </c>
    </row>
    <row r="3105">
      <c r="A3105" t="n">
        <v>310.3</v>
      </c>
      <c r="B3105">
        <f>IF(A3105&gt;162.1,Parameters!$B$5,Parameters!$B$4)</f>
        <v/>
      </c>
      <c r="C3105">
        <f>C3104-0.1*B3105+0</f>
        <v/>
      </c>
      <c r="D3105">
        <f>D3104-0.1*B3105+0</f>
        <v/>
      </c>
      <c r="E3105">
        <f>Parameters!$B$25</f>
        <v/>
      </c>
    </row>
    <row r="3106">
      <c r="A3106" t="n">
        <v>310.4</v>
      </c>
      <c r="B3106">
        <f>IF(A3106&gt;162.1,Parameters!$B$5,Parameters!$B$4)</f>
        <v/>
      </c>
      <c r="C3106">
        <f>C3105-0.1*B3106+0</f>
        <v/>
      </c>
      <c r="D3106">
        <f>D3105-0.1*B3106+0</f>
        <v/>
      </c>
      <c r="E3106">
        <f>Parameters!$B$25</f>
        <v/>
      </c>
    </row>
    <row r="3107">
      <c r="A3107" t="n">
        <v>310.5</v>
      </c>
      <c r="B3107">
        <f>IF(A3107&gt;162.1,Parameters!$B$5,Parameters!$B$4)</f>
        <v/>
      </c>
      <c r="C3107">
        <f>C3106-0.1*B3107+0</f>
        <v/>
      </c>
      <c r="D3107">
        <f>D3106-0.1*B3107+0</f>
        <v/>
      </c>
      <c r="E3107">
        <f>Parameters!$B$25</f>
        <v/>
      </c>
    </row>
    <row r="3108">
      <c r="A3108" t="n">
        <v>310.6</v>
      </c>
      <c r="B3108">
        <f>IF(A3108&gt;162.1,Parameters!$B$5,Parameters!$B$4)</f>
        <v/>
      </c>
      <c r="C3108">
        <f>C3107-0.1*B3108+0</f>
        <v/>
      </c>
      <c r="D3108">
        <f>D3107-0.1*B3108+0</f>
        <v/>
      </c>
      <c r="E3108">
        <f>Parameters!$B$25</f>
        <v/>
      </c>
    </row>
    <row r="3109">
      <c r="A3109" t="n">
        <v>310.7</v>
      </c>
      <c r="B3109">
        <f>IF(A3109&gt;162.1,Parameters!$B$5,Parameters!$B$4)</f>
        <v/>
      </c>
      <c r="C3109">
        <f>C3108-0.1*B3109+0</f>
        <v/>
      </c>
      <c r="D3109">
        <f>D3108-0.1*B3109+0</f>
        <v/>
      </c>
      <c r="E3109">
        <f>Parameters!$B$25</f>
        <v/>
      </c>
    </row>
    <row r="3110">
      <c r="A3110" t="n">
        <v>310.8</v>
      </c>
      <c r="B3110">
        <f>IF(A3110&gt;162.1,Parameters!$B$5,Parameters!$B$4)</f>
        <v/>
      </c>
      <c r="C3110">
        <f>C3109-0.1*B3110+0</f>
        <v/>
      </c>
      <c r="D3110">
        <f>D3109-0.1*B3110+0</f>
        <v/>
      </c>
      <c r="E3110">
        <f>Parameters!$B$25</f>
        <v/>
      </c>
    </row>
    <row r="3111">
      <c r="A3111" t="n">
        <v>310.9</v>
      </c>
      <c r="B3111">
        <f>IF(A3111&gt;162.1,Parameters!$B$5,Parameters!$B$4)</f>
        <v/>
      </c>
      <c r="C3111">
        <f>C3110-0.1*B3111+0</f>
        <v/>
      </c>
      <c r="D3111">
        <f>D3110-0.1*B3111+0</f>
        <v/>
      </c>
      <c r="E3111">
        <f>Parameters!$B$25</f>
        <v/>
      </c>
    </row>
    <row r="3112">
      <c r="A3112" t="n">
        <v>311</v>
      </c>
      <c r="B3112">
        <f>IF(A3112&gt;162.1,Parameters!$B$5,Parameters!$B$4)</f>
        <v/>
      </c>
      <c r="C3112">
        <f>C3111-0.1*B3112+0</f>
        <v/>
      </c>
      <c r="D3112">
        <f>D3111-0.1*B3112+0</f>
        <v/>
      </c>
      <c r="E3112">
        <f>Parameters!$B$25</f>
        <v/>
      </c>
    </row>
    <row r="3113">
      <c r="A3113" t="n">
        <v>311.1</v>
      </c>
      <c r="B3113">
        <f>IF(A3113&gt;162.1,Parameters!$B$5,Parameters!$B$4)</f>
        <v/>
      </c>
      <c r="C3113">
        <f>C3112-0.1*B3113+0</f>
        <v/>
      </c>
      <c r="D3113">
        <f>D3112-0.1*B3113+0</f>
        <v/>
      </c>
      <c r="E3113">
        <f>Parameters!$B$25</f>
        <v/>
      </c>
    </row>
    <row r="3114">
      <c r="A3114" t="n">
        <v>311.2</v>
      </c>
      <c r="B3114">
        <f>IF(A3114&gt;162.1,Parameters!$B$5,Parameters!$B$4)</f>
        <v/>
      </c>
      <c r="C3114">
        <f>C3113-0.1*B3114+0</f>
        <v/>
      </c>
      <c r="D3114">
        <f>D3113-0.1*B3114+0</f>
        <v/>
      </c>
      <c r="E3114">
        <f>Parameters!$B$25</f>
        <v/>
      </c>
    </row>
    <row r="3115">
      <c r="A3115" t="n">
        <v>311.3</v>
      </c>
      <c r="B3115">
        <f>IF(A3115&gt;162.1,Parameters!$B$5,Parameters!$B$4)</f>
        <v/>
      </c>
      <c r="C3115">
        <f>C3114-0.1*B3115+0</f>
        <v/>
      </c>
      <c r="D3115">
        <f>D3114-0.1*B3115+0</f>
        <v/>
      </c>
      <c r="E3115">
        <f>Parameters!$B$25</f>
        <v/>
      </c>
    </row>
    <row r="3116">
      <c r="A3116" t="n">
        <v>311.4</v>
      </c>
      <c r="B3116">
        <f>IF(A3116&gt;162.1,Parameters!$B$5,Parameters!$B$4)</f>
        <v/>
      </c>
      <c r="C3116">
        <f>C3115-0.1*B3116+0</f>
        <v/>
      </c>
      <c r="D3116">
        <f>D3115-0.1*B3116+0</f>
        <v/>
      </c>
      <c r="E3116">
        <f>Parameters!$B$25</f>
        <v/>
      </c>
    </row>
    <row r="3117">
      <c r="A3117" t="n">
        <v>311.5</v>
      </c>
      <c r="B3117">
        <f>IF(A3117&gt;162.1,Parameters!$B$5,Parameters!$B$4)</f>
        <v/>
      </c>
      <c r="C3117">
        <f>C3116-0.1*B3117+0</f>
        <v/>
      </c>
      <c r="D3117">
        <f>D3116-0.1*B3117+0</f>
        <v/>
      </c>
      <c r="E3117">
        <f>Parameters!$B$25</f>
        <v/>
      </c>
    </row>
    <row r="3118">
      <c r="A3118" t="n">
        <v>311.6</v>
      </c>
      <c r="B3118">
        <f>IF(A3118&gt;162.1,Parameters!$B$5,Parameters!$B$4)</f>
        <v/>
      </c>
      <c r="C3118">
        <f>C3117-0.1*B3118+0</f>
        <v/>
      </c>
      <c r="D3118">
        <f>D3117-0.1*B3118+0</f>
        <v/>
      </c>
      <c r="E3118">
        <f>Parameters!$B$25</f>
        <v/>
      </c>
    </row>
    <row r="3119">
      <c r="A3119" t="n">
        <v>311.7</v>
      </c>
      <c r="B3119">
        <f>IF(A3119&gt;162.1,Parameters!$B$5,Parameters!$B$4)</f>
        <v/>
      </c>
      <c r="C3119">
        <f>C3118-0.1*B3119+0</f>
        <v/>
      </c>
      <c r="D3119">
        <f>D3118-0.1*B3119+0</f>
        <v/>
      </c>
      <c r="E3119">
        <f>Parameters!$B$25</f>
        <v/>
      </c>
    </row>
    <row r="3120">
      <c r="A3120" t="n">
        <v>311.8</v>
      </c>
      <c r="B3120">
        <f>IF(A3120&gt;162.1,Parameters!$B$5,Parameters!$B$4)</f>
        <v/>
      </c>
      <c r="C3120">
        <f>C3119-0.1*B3120+0</f>
        <v/>
      </c>
      <c r="D3120">
        <f>D3119-0.1*B3120+0</f>
        <v/>
      </c>
      <c r="E3120">
        <f>Parameters!$B$25</f>
        <v/>
      </c>
    </row>
    <row r="3121">
      <c r="A3121" t="n">
        <v>311.9</v>
      </c>
      <c r="B3121">
        <f>IF(A3121&gt;162.1,Parameters!$B$5,Parameters!$B$4)</f>
        <v/>
      </c>
      <c r="C3121">
        <f>C3120-0.1*B3121+0</f>
        <v/>
      </c>
      <c r="D3121">
        <f>D3120-0.1*B3121+0</f>
        <v/>
      </c>
      <c r="E3121">
        <f>Parameters!$B$25</f>
        <v/>
      </c>
    </row>
    <row r="3122">
      <c r="A3122" t="n">
        <v>312</v>
      </c>
      <c r="B3122">
        <f>IF(A3122&gt;162.1,Parameters!$B$5,Parameters!$B$4)</f>
        <v/>
      </c>
      <c r="C3122">
        <f>C3121-0.1*B3122+0</f>
        <v/>
      </c>
      <c r="D3122">
        <f>D3121-0.1*B3122+0</f>
        <v/>
      </c>
      <c r="E3122">
        <f>Parameters!$B$25</f>
        <v/>
      </c>
    </row>
    <row r="3123">
      <c r="A3123" t="n">
        <v>312.1</v>
      </c>
      <c r="B3123">
        <f>IF(A3123&gt;162.1,Parameters!$B$5,Parameters!$B$4)</f>
        <v/>
      </c>
      <c r="C3123">
        <f>C3122-0.1*B3123+0</f>
        <v/>
      </c>
      <c r="D3123">
        <f>D3122-0.1*B3123+0</f>
        <v/>
      </c>
      <c r="E3123">
        <f>Parameters!$B$25</f>
        <v/>
      </c>
    </row>
    <row r="3124">
      <c r="A3124" t="n">
        <v>312.2</v>
      </c>
      <c r="B3124">
        <f>IF(A3124&gt;162.1,Parameters!$B$5,Parameters!$B$4)</f>
        <v/>
      </c>
      <c r="C3124">
        <f>C3123-0.1*B3124+0</f>
        <v/>
      </c>
      <c r="D3124">
        <f>D3123-0.1*B3124+0</f>
        <v/>
      </c>
      <c r="E3124">
        <f>Parameters!$B$25</f>
        <v/>
      </c>
    </row>
    <row r="3125">
      <c r="A3125" t="n">
        <v>312.3</v>
      </c>
      <c r="B3125">
        <f>IF(A3125&gt;162.1,Parameters!$B$5,Parameters!$B$4)</f>
        <v/>
      </c>
      <c r="C3125">
        <f>C3124-0.1*B3125+0</f>
        <v/>
      </c>
      <c r="D3125">
        <f>D3124-0.1*B3125+0</f>
        <v/>
      </c>
      <c r="E3125">
        <f>Parameters!$B$25</f>
        <v/>
      </c>
    </row>
    <row r="3126">
      <c r="A3126" t="n">
        <v>312.4</v>
      </c>
      <c r="B3126">
        <f>IF(A3126&gt;162.1,Parameters!$B$5,Parameters!$B$4)</f>
        <v/>
      </c>
      <c r="C3126">
        <f>C3125-0.1*B3126+0</f>
        <v/>
      </c>
      <c r="D3126">
        <f>D3125-0.1*B3126+0</f>
        <v/>
      </c>
      <c r="E3126">
        <f>Parameters!$B$25</f>
        <v/>
      </c>
    </row>
    <row r="3127">
      <c r="A3127" t="n">
        <v>312.5</v>
      </c>
      <c r="B3127">
        <f>IF(A3127&gt;162.1,Parameters!$B$5,Parameters!$B$4)</f>
        <v/>
      </c>
      <c r="C3127">
        <f>C3126-0.1*B3127+0</f>
        <v/>
      </c>
      <c r="D3127">
        <f>D3126-0.1*B3127+0</f>
        <v/>
      </c>
      <c r="E3127">
        <f>Parameters!$B$25</f>
        <v/>
      </c>
    </row>
    <row r="3128">
      <c r="A3128" t="n">
        <v>312.6</v>
      </c>
      <c r="B3128">
        <f>IF(A3128&gt;162.1,Parameters!$B$5,Parameters!$B$4)</f>
        <v/>
      </c>
      <c r="C3128">
        <f>C3127-0.1*B3128+0</f>
        <v/>
      </c>
      <c r="D3128">
        <f>D3127-0.1*B3128+0</f>
        <v/>
      </c>
      <c r="E3128">
        <f>Parameters!$B$25</f>
        <v/>
      </c>
    </row>
    <row r="3129">
      <c r="A3129" t="n">
        <v>312.7</v>
      </c>
      <c r="B3129">
        <f>IF(A3129&gt;162.1,Parameters!$B$5,Parameters!$B$4)</f>
        <v/>
      </c>
      <c r="C3129">
        <f>C3128-0.1*B3129+0</f>
        <v/>
      </c>
      <c r="D3129">
        <f>D3128-0.1*B3129+0</f>
        <v/>
      </c>
      <c r="E3129">
        <f>Parameters!$B$25</f>
        <v/>
      </c>
    </row>
    <row r="3130">
      <c r="A3130" t="n">
        <v>312.8</v>
      </c>
      <c r="B3130">
        <f>IF(A3130&gt;162.1,Parameters!$B$5,Parameters!$B$4)</f>
        <v/>
      </c>
      <c r="C3130">
        <f>C3129-0.1*B3130+0</f>
        <v/>
      </c>
      <c r="D3130">
        <f>D3129-0.1*B3130+0</f>
        <v/>
      </c>
      <c r="E3130">
        <f>Parameters!$B$25</f>
        <v/>
      </c>
    </row>
    <row r="3131">
      <c r="A3131" t="n">
        <v>312.9</v>
      </c>
      <c r="B3131">
        <f>IF(A3131&gt;162.1,Parameters!$B$5,Parameters!$B$4)</f>
        <v/>
      </c>
      <c r="C3131">
        <f>C3130-0.1*B3131+0</f>
        <v/>
      </c>
      <c r="D3131">
        <f>D3130-0.1*B3131+0</f>
        <v/>
      </c>
      <c r="E3131">
        <f>Parameters!$B$25</f>
        <v/>
      </c>
    </row>
    <row r="3132">
      <c r="A3132" t="n">
        <v>313</v>
      </c>
      <c r="B3132">
        <f>IF(A3132&gt;162.1,Parameters!$B$5,Parameters!$B$4)</f>
        <v/>
      </c>
      <c r="C3132">
        <f>C3131-0.1*B3132+0</f>
        <v/>
      </c>
      <c r="D3132">
        <f>D3131-0.1*B3132+0</f>
        <v/>
      </c>
      <c r="E3132">
        <f>Parameters!$B$25</f>
        <v/>
      </c>
    </row>
    <row r="3133">
      <c r="A3133" t="n">
        <v>313.1</v>
      </c>
      <c r="B3133">
        <f>IF(A3133&gt;162.1,Parameters!$B$5,Parameters!$B$4)</f>
        <v/>
      </c>
      <c r="C3133">
        <f>C3132-0.1*B3133+0</f>
        <v/>
      </c>
      <c r="D3133">
        <f>D3132-0.1*B3133+0</f>
        <v/>
      </c>
      <c r="E3133">
        <f>Parameters!$B$25</f>
        <v/>
      </c>
    </row>
    <row r="3134">
      <c r="A3134" t="n">
        <v>313.2</v>
      </c>
      <c r="B3134">
        <f>IF(A3134&gt;162.1,Parameters!$B$5,Parameters!$B$4)</f>
        <v/>
      </c>
      <c r="C3134">
        <f>C3133-0.1*B3134+0</f>
        <v/>
      </c>
      <c r="D3134">
        <f>D3133-0.1*B3134+0</f>
        <v/>
      </c>
      <c r="E3134">
        <f>Parameters!$B$25</f>
        <v/>
      </c>
    </row>
    <row r="3135">
      <c r="A3135" t="n">
        <v>313.3</v>
      </c>
      <c r="B3135">
        <f>IF(A3135&gt;162.1,Parameters!$B$5,Parameters!$B$4)</f>
        <v/>
      </c>
      <c r="C3135">
        <f>C3134-0.1*B3135+0</f>
        <v/>
      </c>
      <c r="D3135">
        <f>D3134-0.1*B3135+0</f>
        <v/>
      </c>
      <c r="E3135">
        <f>Parameters!$B$25</f>
        <v/>
      </c>
    </row>
    <row r="3136">
      <c r="A3136" t="n">
        <v>313.4</v>
      </c>
      <c r="B3136">
        <f>IF(A3136&gt;162.1,Parameters!$B$5,Parameters!$B$4)</f>
        <v/>
      </c>
      <c r="C3136">
        <f>C3135-0.1*B3136+0</f>
        <v/>
      </c>
      <c r="D3136">
        <f>D3135-0.1*B3136+0</f>
        <v/>
      </c>
      <c r="E3136">
        <f>Parameters!$B$25</f>
        <v/>
      </c>
    </row>
    <row r="3137">
      <c r="A3137" t="n">
        <v>313.5</v>
      </c>
      <c r="B3137">
        <f>IF(A3137&gt;162.1,Parameters!$B$5,Parameters!$B$4)</f>
        <v/>
      </c>
      <c r="C3137">
        <f>C3136-0.1*B3137+0</f>
        <v/>
      </c>
      <c r="D3137">
        <f>D3136-0.1*B3137+0</f>
        <v/>
      </c>
      <c r="E3137">
        <f>Parameters!$B$25</f>
        <v/>
      </c>
    </row>
    <row r="3138">
      <c r="A3138" t="n">
        <v>313.6</v>
      </c>
      <c r="B3138">
        <f>IF(A3138&gt;162.1,Parameters!$B$5,Parameters!$B$4)</f>
        <v/>
      </c>
      <c r="C3138">
        <f>C3137-0.1*B3138+0</f>
        <v/>
      </c>
      <c r="D3138">
        <f>D3137-0.1*B3138+0</f>
        <v/>
      </c>
      <c r="E3138">
        <f>Parameters!$B$25</f>
        <v/>
      </c>
    </row>
    <row r="3139">
      <c r="A3139" t="n">
        <v>313.7</v>
      </c>
      <c r="B3139">
        <f>IF(A3139&gt;162.1,Parameters!$B$5,Parameters!$B$4)</f>
        <v/>
      </c>
      <c r="C3139">
        <f>C3138-0.1*B3139+0</f>
        <v/>
      </c>
      <c r="D3139">
        <f>D3138-0.1*B3139+0</f>
        <v/>
      </c>
      <c r="E3139">
        <f>Parameters!$B$25</f>
        <v/>
      </c>
    </row>
    <row r="3140">
      <c r="A3140" t="n">
        <v>313.8</v>
      </c>
      <c r="B3140">
        <f>IF(A3140&gt;162.1,Parameters!$B$5,Parameters!$B$4)</f>
        <v/>
      </c>
      <c r="C3140">
        <f>C3139-0.1*B3140+0</f>
        <v/>
      </c>
      <c r="D3140">
        <f>D3139-0.1*B3140+0</f>
        <v/>
      </c>
      <c r="E3140">
        <f>Parameters!$B$25</f>
        <v/>
      </c>
    </row>
    <row r="3141">
      <c r="A3141" t="n">
        <v>313.9</v>
      </c>
      <c r="B3141">
        <f>IF(A3141&gt;162.1,Parameters!$B$5,Parameters!$B$4)</f>
        <v/>
      </c>
      <c r="C3141">
        <f>C3140-0.1*B3141+0</f>
        <v/>
      </c>
      <c r="D3141">
        <f>D3140-0.1*B3141+0</f>
        <v/>
      </c>
      <c r="E3141">
        <f>Parameters!$B$25</f>
        <v/>
      </c>
    </row>
    <row r="3142">
      <c r="A3142" t="n">
        <v>314</v>
      </c>
      <c r="B3142">
        <f>IF(A3142&gt;162.1,Parameters!$B$5,Parameters!$B$4)</f>
        <v/>
      </c>
      <c r="C3142">
        <f>C3141-0.1*B3142+0</f>
        <v/>
      </c>
      <c r="D3142">
        <f>D3141-0.1*B3142+0</f>
        <v/>
      </c>
      <c r="E3142">
        <f>Parameters!$B$25</f>
        <v/>
      </c>
    </row>
    <row r="3143">
      <c r="A3143" t="n">
        <v>314.1</v>
      </c>
      <c r="B3143">
        <f>IF(A3143&gt;162.1,Parameters!$B$5,Parameters!$B$4)</f>
        <v/>
      </c>
      <c r="C3143">
        <f>C3142-0.1*B3143+0</f>
        <v/>
      </c>
      <c r="D3143">
        <f>D3142-0.1*B3143+0</f>
        <v/>
      </c>
      <c r="E3143">
        <f>Parameters!$B$25</f>
        <v/>
      </c>
    </row>
    <row r="3144">
      <c r="A3144" t="n">
        <v>314.2</v>
      </c>
      <c r="B3144">
        <f>IF(A3144&gt;162.1,Parameters!$B$5,Parameters!$B$4)</f>
        <v/>
      </c>
      <c r="C3144">
        <f>C3143-0.1*B3144+0</f>
        <v/>
      </c>
      <c r="D3144">
        <f>D3143-0.1*B3144+0</f>
        <v/>
      </c>
      <c r="E3144">
        <f>Parameters!$B$25</f>
        <v/>
      </c>
    </row>
    <row r="3145">
      <c r="A3145" t="n">
        <v>314.3</v>
      </c>
      <c r="B3145">
        <f>IF(A3145&gt;162.1,Parameters!$B$5,Parameters!$B$4)</f>
        <v/>
      </c>
      <c r="C3145">
        <f>C3144-0.1*B3145+0</f>
        <v/>
      </c>
      <c r="D3145">
        <f>D3144-0.1*B3145+0</f>
        <v/>
      </c>
      <c r="E3145">
        <f>Parameters!$B$25</f>
        <v/>
      </c>
    </row>
    <row r="3146">
      <c r="A3146" t="n">
        <v>314.4</v>
      </c>
      <c r="B3146">
        <f>IF(A3146&gt;162.1,Parameters!$B$5,Parameters!$B$4)</f>
        <v/>
      </c>
      <c r="C3146">
        <f>C3145-0.1*B3146+0</f>
        <v/>
      </c>
      <c r="D3146">
        <f>D3145-0.1*B3146+0</f>
        <v/>
      </c>
      <c r="E3146">
        <f>Parameters!$B$25</f>
        <v/>
      </c>
    </row>
    <row r="3147">
      <c r="A3147" t="n">
        <v>314.5</v>
      </c>
      <c r="B3147">
        <f>IF(A3147&gt;162.1,Parameters!$B$5,Parameters!$B$4)</f>
        <v/>
      </c>
      <c r="C3147">
        <f>C3146-0.1*B3147+0</f>
        <v/>
      </c>
      <c r="D3147">
        <f>D3146-0.1*B3147+0</f>
        <v/>
      </c>
      <c r="E3147">
        <f>Parameters!$B$25</f>
        <v/>
      </c>
    </row>
    <row r="3148">
      <c r="A3148" t="n">
        <v>314.6</v>
      </c>
      <c r="B3148">
        <f>IF(A3148&gt;162.1,Parameters!$B$5,Parameters!$B$4)</f>
        <v/>
      </c>
      <c r="C3148">
        <f>C3147-0.1*B3148+0</f>
        <v/>
      </c>
      <c r="D3148">
        <f>D3147-0.1*B3148+0</f>
        <v/>
      </c>
      <c r="E3148">
        <f>Parameters!$B$25</f>
        <v/>
      </c>
    </row>
    <row r="3149">
      <c r="A3149" t="n">
        <v>314.7</v>
      </c>
      <c r="B3149">
        <f>IF(A3149&gt;162.1,Parameters!$B$5,Parameters!$B$4)</f>
        <v/>
      </c>
      <c r="C3149">
        <f>C3148-0.1*B3149+0</f>
        <v/>
      </c>
      <c r="D3149">
        <f>D3148-0.1*B3149+0</f>
        <v/>
      </c>
      <c r="E3149">
        <f>Parameters!$B$25</f>
        <v/>
      </c>
    </row>
    <row r="3150">
      <c r="A3150" t="n">
        <v>314.8</v>
      </c>
      <c r="B3150">
        <f>IF(A3150&gt;162.1,Parameters!$B$5,Parameters!$B$4)</f>
        <v/>
      </c>
      <c r="C3150">
        <f>C3149-0.1*B3150+0</f>
        <v/>
      </c>
      <c r="D3150">
        <f>D3149-0.1*B3150+0</f>
        <v/>
      </c>
      <c r="E3150">
        <f>Parameters!$B$25</f>
        <v/>
      </c>
    </row>
    <row r="3151">
      <c r="A3151" t="n">
        <v>314.9</v>
      </c>
      <c r="B3151">
        <f>IF(A3151&gt;162.1,Parameters!$B$5,Parameters!$B$4)</f>
        <v/>
      </c>
      <c r="C3151">
        <f>C3150-0.1*B3151+0</f>
        <v/>
      </c>
      <c r="D3151">
        <f>D3150-0.1*B3151+0</f>
        <v/>
      </c>
      <c r="E3151">
        <f>Parameters!$B$25</f>
        <v/>
      </c>
    </row>
    <row r="3152">
      <c r="A3152" t="n">
        <v>315</v>
      </c>
      <c r="B3152">
        <f>IF(A3152&gt;162.1,Parameters!$B$5,Parameters!$B$4)</f>
        <v/>
      </c>
      <c r="C3152">
        <f>C3151-0.1*B3152+0</f>
        <v/>
      </c>
      <c r="D3152">
        <f>D3151-0.1*B3152+0</f>
        <v/>
      </c>
      <c r="E3152">
        <f>Parameters!$B$25</f>
        <v/>
      </c>
    </row>
    <row r="3153">
      <c r="A3153" t="n">
        <v>315.1</v>
      </c>
      <c r="B3153">
        <f>IF(A3153&gt;162.1,Parameters!$B$5,Parameters!$B$4)</f>
        <v/>
      </c>
      <c r="C3153">
        <f>C3152-0.1*B3153+0</f>
        <v/>
      </c>
      <c r="D3153">
        <f>D3152-0.1*B3153+0</f>
        <v/>
      </c>
      <c r="E3153">
        <f>Parameters!$B$25</f>
        <v/>
      </c>
    </row>
    <row r="3154">
      <c r="A3154" t="n">
        <v>315.2</v>
      </c>
      <c r="B3154">
        <f>IF(A3154&gt;162.1,Parameters!$B$5,Parameters!$B$4)</f>
        <v/>
      </c>
      <c r="C3154">
        <f>C3153-0.1*B3154+0</f>
        <v/>
      </c>
      <c r="D3154">
        <f>D3153-0.1*B3154+0</f>
        <v/>
      </c>
      <c r="E3154">
        <f>Parameters!$B$25</f>
        <v/>
      </c>
    </row>
    <row r="3155">
      <c r="A3155" t="n">
        <v>315.3</v>
      </c>
      <c r="B3155">
        <f>IF(A3155&gt;162.1,Parameters!$B$5,Parameters!$B$4)</f>
        <v/>
      </c>
      <c r="C3155">
        <f>C3154-0.1*B3155+0</f>
        <v/>
      </c>
      <c r="D3155">
        <f>D3154-0.1*B3155+0</f>
        <v/>
      </c>
      <c r="E3155">
        <f>Parameters!$B$25</f>
        <v/>
      </c>
    </row>
    <row r="3156">
      <c r="A3156" t="n">
        <v>315.4</v>
      </c>
      <c r="B3156">
        <f>IF(A3156&gt;162.1,Parameters!$B$5,Parameters!$B$4)</f>
        <v/>
      </c>
      <c r="C3156">
        <f>C3155-0.1*B3156+0</f>
        <v/>
      </c>
      <c r="D3156">
        <f>D3155-0.1*B3156+0</f>
        <v/>
      </c>
      <c r="E3156">
        <f>Parameters!$B$25</f>
        <v/>
      </c>
    </row>
    <row r="3157">
      <c r="A3157" t="n">
        <v>315.5</v>
      </c>
      <c r="B3157">
        <f>IF(A3157&gt;162.1,Parameters!$B$5,Parameters!$B$4)</f>
        <v/>
      </c>
      <c r="C3157">
        <f>C3156-0.1*B3157+0</f>
        <v/>
      </c>
      <c r="D3157">
        <f>D3156-0.1*B3157+0</f>
        <v/>
      </c>
      <c r="E3157">
        <f>Parameters!$B$25</f>
        <v/>
      </c>
    </row>
    <row r="3158">
      <c r="A3158" t="n">
        <v>315.6</v>
      </c>
      <c r="B3158">
        <f>IF(A3158&gt;162.1,Parameters!$B$5,Parameters!$B$4)</f>
        <v/>
      </c>
      <c r="C3158">
        <f>C3157-0.1*B3158+0</f>
        <v/>
      </c>
      <c r="D3158">
        <f>D3157-0.1*B3158+0</f>
        <v/>
      </c>
      <c r="E3158">
        <f>Parameters!$B$25</f>
        <v/>
      </c>
    </row>
    <row r="3159">
      <c r="A3159" t="n">
        <v>315.7</v>
      </c>
      <c r="B3159">
        <f>IF(A3159&gt;162.1,Parameters!$B$5,Parameters!$B$4)</f>
        <v/>
      </c>
      <c r="C3159">
        <f>C3158-0.1*B3159+0</f>
        <v/>
      </c>
      <c r="D3159">
        <f>D3158-0.1*B3159+0</f>
        <v/>
      </c>
      <c r="E3159">
        <f>Parameters!$B$25</f>
        <v/>
      </c>
    </row>
    <row r="3160">
      <c r="A3160" t="n">
        <v>315.8</v>
      </c>
      <c r="B3160">
        <f>IF(A3160&gt;162.1,Parameters!$B$5,Parameters!$B$4)</f>
        <v/>
      </c>
      <c r="C3160">
        <f>C3159-0.1*B3160+0</f>
        <v/>
      </c>
      <c r="D3160">
        <f>D3159-0.1*B3160+0</f>
        <v/>
      </c>
      <c r="E3160">
        <f>Parameters!$B$25</f>
        <v/>
      </c>
    </row>
    <row r="3161">
      <c r="A3161" t="n">
        <v>315.9</v>
      </c>
      <c r="B3161">
        <f>IF(A3161&gt;162.1,Parameters!$B$5,Parameters!$B$4)</f>
        <v/>
      </c>
      <c r="C3161">
        <f>C3160-0.1*B3161+0</f>
        <v/>
      </c>
      <c r="D3161">
        <f>D3160-0.1*B3161+0</f>
        <v/>
      </c>
      <c r="E3161">
        <f>Parameters!$B$25</f>
        <v/>
      </c>
    </row>
    <row r="3162">
      <c r="A3162" t="n">
        <v>316</v>
      </c>
      <c r="B3162">
        <f>IF(A3162&gt;162.1,Parameters!$B$5,Parameters!$B$4)</f>
        <v/>
      </c>
      <c r="C3162">
        <f>C3161-0.1*B3162+0</f>
        <v/>
      </c>
      <c r="D3162">
        <f>D3161-0.1*B3162+0</f>
        <v/>
      </c>
      <c r="E3162">
        <f>Parameters!$B$25</f>
        <v/>
      </c>
    </row>
    <row r="3163">
      <c r="A3163" t="n">
        <v>316.1</v>
      </c>
      <c r="B3163">
        <f>IF(A3163&gt;162.1,Parameters!$B$5,Parameters!$B$4)</f>
        <v/>
      </c>
      <c r="C3163">
        <f>C3162-0.1*B3163+0</f>
        <v/>
      </c>
      <c r="D3163">
        <f>D3162-0.1*B3163+0</f>
        <v/>
      </c>
      <c r="E3163">
        <f>Parameters!$B$25</f>
        <v/>
      </c>
    </row>
    <row r="3164">
      <c r="A3164" t="n">
        <v>316.2</v>
      </c>
      <c r="B3164">
        <f>IF(A3164&gt;162.1,Parameters!$B$5,Parameters!$B$4)</f>
        <v/>
      </c>
      <c r="C3164">
        <f>C3163-0.1*B3164+0</f>
        <v/>
      </c>
      <c r="D3164">
        <f>D3163-0.1*B3164+0</f>
        <v/>
      </c>
      <c r="E3164">
        <f>Parameters!$B$25</f>
        <v/>
      </c>
    </row>
    <row r="3165">
      <c r="A3165" t="n">
        <v>316.3</v>
      </c>
      <c r="B3165">
        <f>IF(A3165&gt;162.1,Parameters!$B$5,Parameters!$B$4)</f>
        <v/>
      </c>
      <c r="C3165">
        <f>C3164-0.1*B3165+0</f>
        <v/>
      </c>
      <c r="D3165">
        <f>D3164-0.1*B3165+0</f>
        <v/>
      </c>
      <c r="E3165">
        <f>Parameters!$B$25</f>
        <v/>
      </c>
    </row>
    <row r="3166">
      <c r="A3166" t="n">
        <v>316.4</v>
      </c>
      <c r="B3166">
        <f>IF(A3166&gt;162.1,Parameters!$B$5,Parameters!$B$4)</f>
        <v/>
      </c>
      <c r="C3166">
        <f>C3165-0.1*B3166+0</f>
        <v/>
      </c>
      <c r="D3166">
        <f>D3165-0.1*B3166+0</f>
        <v/>
      </c>
      <c r="E3166">
        <f>Parameters!$B$25</f>
        <v/>
      </c>
    </row>
    <row r="3167">
      <c r="A3167" t="n">
        <v>316.5</v>
      </c>
      <c r="B3167">
        <f>IF(A3167&gt;162.1,Parameters!$B$5,Parameters!$B$4)</f>
        <v/>
      </c>
      <c r="C3167">
        <f>C3166-0.1*B3167+0</f>
        <v/>
      </c>
      <c r="D3167">
        <f>D3166-0.1*B3167+0</f>
        <v/>
      </c>
      <c r="E3167">
        <f>Parameters!$B$25</f>
        <v/>
      </c>
    </row>
    <row r="3168">
      <c r="A3168" t="n">
        <v>316.6</v>
      </c>
      <c r="B3168">
        <f>IF(A3168&gt;162.1,Parameters!$B$5,Parameters!$B$4)</f>
        <v/>
      </c>
      <c r="C3168">
        <f>C3167-0.1*B3168+0</f>
        <v/>
      </c>
      <c r="D3168">
        <f>D3167-0.1*B3168+0</f>
        <v/>
      </c>
      <c r="E3168">
        <f>Parameters!$B$25</f>
        <v/>
      </c>
    </row>
    <row r="3169">
      <c r="A3169" t="n">
        <v>316.7</v>
      </c>
      <c r="B3169">
        <f>IF(A3169&gt;162.1,Parameters!$B$5,Parameters!$B$4)</f>
        <v/>
      </c>
      <c r="C3169">
        <f>C3168-0.1*B3169+0</f>
        <v/>
      </c>
      <c r="D3169">
        <f>D3168-0.1*B3169+0</f>
        <v/>
      </c>
      <c r="E3169">
        <f>Parameters!$B$25</f>
        <v/>
      </c>
    </row>
    <row r="3170">
      <c r="A3170" t="n">
        <v>316.8</v>
      </c>
      <c r="B3170">
        <f>IF(A3170&gt;162.1,Parameters!$B$5,Parameters!$B$4)</f>
        <v/>
      </c>
      <c r="C3170">
        <f>C3169-0.1*B3170+0</f>
        <v/>
      </c>
      <c r="D3170">
        <f>D3169-0.1*B3170+0</f>
        <v/>
      </c>
      <c r="E3170">
        <f>Parameters!$B$25</f>
        <v/>
      </c>
    </row>
    <row r="3171">
      <c r="A3171" t="n">
        <v>316.9</v>
      </c>
      <c r="B3171">
        <f>IF(A3171&gt;162.1,Parameters!$B$5,Parameters!$B$4)</f>
        <v/>
      </c>
      <c r="C3171">
        <f>C3170-0.1*B3171+0</f>
        <v/>
      </c>
      <c r="D3171">
        <f>D3170-0.1*B3171+0</f>
        <v/>
      </c>
      <c r="E3171">
        <f>Parameters!$B$25</f>
        <v/>
      </c>
    </row>
    <row r="3172">
      <c r="A3172" t="n">
        <v>317</v>
      </c>
      <c r="B3172">
        <f>IF(A3172&gt;162.1,Parameters!$B$5,Parameters!$B$4)</f>
        <v/>
      </c>
      <c r="C3172">
        <f>C3171-0.1*B3172+0</f>
        <v/>
      </c>
      <c r="D3172">
        <f>D3171-0.1*B3172+0</f>
        <v/>
      </c>
      <c r="E3172">
        <f>Parameters!$B$25</f>
        <v/>
      </c>
    </row>
    <row r="3173">
      <c r="A3173" t="n">
        <v>317.1</v>
      </c>
      <c r="B3173">
        <f>IF(A3173&gt;162.1,Parameters!$B$5,Parameters!$B$4)</f>
        <v/>
      </c>
      <c r="C3173">
        <f>C3172-0.1*B3173+0</f>
        <v/>
      </c>
      <c r="D3173">
        <f>D3172-0.1*B3173+0</f>
        <v/>
      </c>
      <c r="E3173">
        <f>Parameters!$B$25</f>
        <v/>
      </c>
    </row>
    <row r="3174">
      <c r="A3174" t="n">
        <v>317.2</v>
      </c>
      <c r="B3174">
        <f>IF(A3174&gt;162.1,Parameters!$B$5,Parameters!$B$4)</f>
        <v/>
      </c>
      <c r="C3174">
        <f>C3173-0.1*B3174+0</f>
        <v/>
      </c>
      <c r="D3174">
        <f>D3173-0.1*B3174+0</f>
        <v/>
      </c>
      <c r="E3174">
        <f>Parameters!$B$25</f>
        <v/>
      </c>
    </row>
    <row r="3175">
      <c r="A3175" t="n">
        <v>317.3</v>
      </c>
      <c r="B3175">
        <f>IF(A3175&gt;162.1,Parameters!$B$5,Parameters!$B$4)</f>
        <v/>
      </c>
      <c r="C3175">
        <f>C3174-0.1*B3175+0</f>
        <v/>
      </c>
      <c r="D3175">
        <f>D3174-0.1*B3175+0</f>
        <v/>
      </c>
      <c r="E3175">
        <f>Parameters!$B$25</f>
        <v/>
      </c>
    </row>
    <row r="3176">
      <c r="A3176" t="n">
        <v>317.4</v>
      </c>
      <c r="B3176">
        <f>IF(A3176&gt;162.1,Parameters!$B$5,Parameters!$B$4)</f>
        <v/>
      </c>
      <c r="C3176">
        <f>C3175-0.1*B3176+0</f>
        <v/>
      </c>
      <c r="D3176">
        <f>D3175-0.1*B3176+0</f>
        <v/>
      </c>
      <c r="E3176">
        <f>Parameters!$B$25</f>
        <v/>
      </c>
    </row>
    <row r="3177">
      <c r="A3177" t="n">
        <v>317.5</v>
      </c>
      <c r="B3177">
        <f>IF(A3177&gt;162.1,Parameters!$B$5,Parameters!$B$4)</f>
        <v/>
      </c>
      <c r="C3177">
        <f>C3176-0.1*B3177+0</f>
        <v/>
      </c>
      <c r="D3177">
        <f>D3176-0.1*B3177+0</f>
        <v/>
      </c>
      <c r="E3177">
        <f>Parameters!$B$25</f>
        <v/>
      </c>
    </row>
    <row r="3178">
      <c r="A3178" t="n">
        <v>317.6</v>
      </c>
      <c r="B3178">
        <f>IF(A3178&gt;162.1,Parameters!$B$5,Parameters!$B$4)</f>
        <v/>
      </c>
      <c r="C3178">
        <f>C3177-0.1*B3178+0</f>
        <v/>
      </c>
      <c r="D3178">
        <f>D3177-0.1*B3178+0</f>
        <v/>
      </c>
      <c r="E3178">
        <f>Parameters!$B$25</f>
        <v/>
      </c>
    </row>
    <row r="3179">
      <c r="A3179" t="n">
        <v>317.7</v>
      </c>
      <c r="B3179">
        <f>IF(A3179&gt;162.1,Parameters!$B$5,Parameters!$B$4)</f>
        <v/>
      </c>
      <c r="C3179">
        <f>C3178-0.1*B3179+0</f>
        <v/>
      </c>
      <c r="D3179">
        <f>D3178-0.1*B3179+0</f>
        <v/>
      </c>
      <c r="E3179">
        <f>Parameters!$B$25</f>
        <v/>
      </c>
    </row>
    <row r="3180">
      <c r="A3180" t="n">
        <v>317.8</v>
      </c>
      <c r="B3180">
        <f>IF(A3180&gt;162.1,Parameters!$B$5,Parameters!$B$4)</f>
        <v/>
      </c>
      <c r="C3180">
        <f>C3179-0.1*B3180+0</f>
        <v/>
      </c>
      <c r="D3180">
        <f>D3179-0.1*B3180+0</f>
        <v/>
      </c>
      <c r="E3180">
        <f>Parameters!$B$25</f>
        <v/>
      </c>
    </row>
    <row r="3181">
      <c r="A3181" t="n">
        <v>317.9</v>
      </c>
      <c r="B3181">
        <f>IF(A3181&gt;162.1,Parameters!$B$5,Parameters!$B$4)</f>
        <v/>
      </c>
      <c r="C3181">
        <f>C3180-0.1*B3181+0</f>
        <v/>
      </c>
      <c r="D3181">
        <f>D3180-0.1*B3181+0</f>
        <v/>
      </c>
      <c r="E3181">
        <f>Parameters!$B$25</f>
        <v/>
      </c>
    </row>
    <row r="3182">
      <c r="A3182" t="n">
        <v>318</v>
      </c>
      <c r="B3182">
        <f>IF(A3182&gt;162.1,Parameters!$B$5,Parameters!$B$4)</f>
        <v/>
      </c>
      <c r="C3182">
        <f>C3181-0.1*B3182+0</f>
        <v/>
      </c>
      <c r="D3182">
        <f>D3181-0.1*B3182+0</f>
        <v/>
      </c>
      <c r="E3182">
        <f>Parameters!$B$25</f>
        <v/>
      </c>
    </row>
    <row r="3183">
      <c r="A3183" t="n">
        <v>318.1</v>
      </c>
      <c r="B3183">
        <f>IF(A3183&gt;162.1,Parameters!$B$5,Parameters!$B$4)</f>
        <v/>
      </c>
      <c r="C3183">
        <f>C3182-0.1*B3183+0</f>
        <v/>
      </c>
      <c r="D3183">
        <f>D3182-0.1*B3183+0</f>
        <v/>
      </c>
      <c r="E3183">
        <f>Parameters!$B$25</f>
        <v/>
      </c>
    </row>
    <row r="3184">
      <c r="A3184" t="n">
        <v>318.2</v>
      </c>
      <c r="B3184">
        <f>IF(A3184&gt;162.1,Parameters!$B$5,Parameters!$B$4)</f>
        <v/>
      </c>
      <c r="C3184">
        <f>C3183-0.1*B3184+0</f>
        <v/>
      </c>
      <c r="D3184">
        <f>D3183-0.1*B3184+0</f>
        <v/>
      </c>
      <c r="E3184">
        <f>Parameters!$B$25</f>
        <v/>
      </c>
    </row>
    <row r="3185">
      <c r="A3185" t="n">
        <v>318.3</v>
      </c>
      <c r="B3185">
        <f>IF(A3185&gt;162.1,Parameters!$B$5,Parameters!$B$4)</f>
        <v/>
      </c>
      <c r="C3185">
        <f>C3184-0.1*B3185+0</f>
        <v/>
      </c>
      <c r="D3185">
        <f>D3184-0.1*B3185+0</f>
        <v/>
      </c>
      <c r="E3185">
        <f>Parameters!$B$25</f>
        <v/>
      </c>
    </row>
    <row r="3186">
      <c r="A3186" t="n">
        <v>318.4</v>
      </c>
      <c r="B3186">
        <f>IF(A3186&gt;162.1,Parameters!$B$5,Parameters!$B$4)</f>
        <v/>
      </c>
      <c r="C3186">
        <f>C3185-0.1*B3186+0</f>
        <v/>
      </c>
      <c r="D3186">
        <f>D3185-0.1*B3186+0</f>
        <v/>
      </c>
      <c r="E3186">
        <f>Parameters!$B$25</f>
        <v/>
      </c>
    </row>
    <row r="3187">
      <c r="A3187" t="n">
        <v>318.5</v>
      </c>
      <c r="B3187">
        <f>IF(A3187&gt;162.1,Parameters!$B$5,Parameters!$B$4)</f>
        <v/>
      </c>
      <c r="C3187">
        <f>C3186-0.1*B3187+0</f>
        <v/>
      </c>
      <c r="D3187">
        <f>D3186-0.1*B3187+0</f>
        <v/>
      </c>
      <c r="E3187">
        <f>Parameters!$B$25</f>
        <v/>
      </c>
    </row>
    <row r="3188">
      <c r="A3188" t="n">
        <v>318.6</v>
      </c>
      <c r="B3188">
        <f>IF(A3188&gt;162.1,Parameters!$B$5,Parameters!$B$4)</f>
        <v/>
      </c>
      <c r="C3188">
        <f>C3187-0.1*B3188+0</f>
        <v/>
      </c>
      <c r="D3188">
        <f>D3187-0.1*B3188+0</f>
        <v/>
      </c>
      <c r="E3188">
        <f>Parameters!$B$25</f>
        <v/>
      </c>
    </row>
    <row r="3189">
      <c r="A3189" t="n">
        <v>318.7</v>
      </c>
      <c r="B3189">
        <f>IF(A3189&gt;162.1,Parameters!$B$5,Parameters!$B$4)</f>
        <v/>
      </c>
      <c r="C3189">
        <f>C3188-0.1*B3189+0</f>
        <v/>
      </c>
      <c r="D3189">
        <f>D3188-0.1*B3189+0</f>
        <v/>
      </c>
      <c r="E3189">
        <f>Parameters!$B$25</f>
        <v/>
      </c>
    </row>
    <row r="3190">
      <c r="A3190" t="n">
        <v>318.8</v>
      </c>
      <c r="B3190">
        <f>IF(A3190&gt;162.1,Parameters!$B$5,Parameters!$B$4)</f>
        <v/>
      </c>
      <c r="C3190">
        <f>C3189-0.1*B3190+0</f>
        <v/>
      </c>
      <c r="D3190">
        <f>D3189-0.1*B3190+0</f>
        <v/>
      </c>
      <c r="E3190">
        <f>Parameters!$B$25</f>
        <v/>
      </c>
    </row>
    <row r="3191">
      <c r="A3191" t="n">
        <v>318.9</v>
      </c>
      <c r="B3191">
        <f>IF(A3191&gt;162.1,Parameters!$B$5,Parameters!$B$4)</f>
        <v/>
      </c>
      <c r="C3191">
        <f>C3190-0.1*B3191+0</f>
        <v/>
      </c>
      <c r="D3191">
        <f>D3190-0.1*B3191+0</f>
        <v/>
      </c>
      <c r="E3191">
        <f>Parameters!$B$25</f>
        <v/>
      </c>
    </row>
    <row r="3192">
      <c r="A3192" t="n">
        <v>319</v>
      </c>
      <c r="B3192">
        <f>IF(A3192&gt;162.1,Parameters!$B$5,Parameters!$B$4)</f>
        <v/>
      </c>
      <c r="C3192">
        <f>C3191-0.1*B3192+0</f>
        <v/>
      </c>
      <c r="D3192">
        <f>D3191-0.1*B3192+0</f>
        <v/>
      </c>
      <c r="E3192">
        <f>Parameters!$B$25</f>
        <v/>
      </c>
    </row>
    <row r="3193">
      <c r="A3193" t="n">
        <v>319.1</v>
      </c>
      <c r="B3193">
        <f>IF(A3193&gt;162.1,Parameters!$B$5,Parameters!$B$4)</f>
        <v/>
      </c>
      <c r="C3193">
        <f>C3192-0.1*B3193+0</f>
        <v/>
      </c>
      <c r="D3193">
        <f>D3192-0.1*B3193+0</f>
        <v/>
      </c>
      <c r="E3193">
        <f>Parameters!$B$25</f>
        <v/>
      </c>
    </row>
    <row r="3194">
      <c r="A3194" t="n">
        <v>319.2</v>
      </c>
      <c r="B3194">
        <f>IF(A3194&gt;162.1,Parameters!$B$5,Parameters!$B$4)</f>
        <v/>
      </c>
      <c r="C3194">
        <f>C3193-0.1*B3194+0</f>
        <v/>
      </c>
      <c r="D3194">
        <f>D3193-0.1*B3194+0</f>
        <v/>
      </c>
      <c r="E3194">
        <f>Parameters!$B$25</f>
        <v/>
      </c>
    </row>
    <row r="3195">
      <c r="A3195" t="n">
        <v>319.3</v>
      </c>
      <c r="B3195">
        <f>IF(A3195&gt;162.1,Parameters!$B$5,Parameters!$B$4)</f>
        <v/>
      </c>
      <c r="C3195">
        <f>C3194-0.1*B3195+0</f>
        <v/>
      </c>
      <c r="D3195">
        <f>D3194-0.1*B3195+0</f>
        <v/>
      </c>
      <c r="E3195">
        <f>Parameters!$B$25</f>
        <v/>
      </c>
    </row>
    <row r="3196">
      <c r="A3196" t="n">
        <v>319.4</v>
      </c>
      <c r="B3196">
        <f>IF(A3196&gt;162.1,Parameters!$B$5,Parameters!$B$4)</f>
        <v/>
      </c>
      <c r="C3196">
        <f>C3195-0.1*B3196+0</f>
        <v/>
      </c>
      <c r="D3196">
        <f>D3195-0.1*B3196+0</f>
        <v/>
      </c>
      <c r="E3196">
        <f>Parameters!$B$25</f>
        <v/>
      </c>
    </row>
    <row r="3197">
      <c r="A3197" t="n">
        <v>319.5</v>
      </c>
      <c r="B3197">
        <f>IF(A3197&gt;162.1,Parameters!$B$5,Parameters!$B$4)</f>
        <v/>
      </c>
      <c r="C3197">
        <f>C3196-0.1*B3197+0</f>
        <v/>
      </c>
      <c r="D3197">
        <f>D3196-0.1*B3197+0</f>
        <v/>
      </c>
      <c r="E3197">
        <f>Parameters!$B$25</f>
        <v/>
      </c>
    </row>
    <row r="3198">
      <c r="A3198" t="n">
        <v>319.6</v>
      </c>
      <c r="B3198">
        <f>IF(A3198&gt;162.1,Parameters!$B$5,Parameters!$B$4)</f>
        <v/>
      </c>
      <c r="C3198">
        <f>C3197-0.1*B3198+0</f>
        <v/>
      </c>
      <c r="D3198">
        <f>D3197-0.1*B3198+0</f>
        <v/>
      </c>
      <c r="E3198">
        <f>Parameters!$B$25</f>
        <v/>
      </c>
    </row>
    <row r="3199">
      <c r="A3199" t="n">
        <v>319.7</v>
      </c>
      <c r="B3199">
        <f>IF(A3199&gt;162.1,Parameters!$B$5,Parameters!$B$4)</f>
        <v/>
      </c>
      <c r="C3199">
        <f>C3198-0.1*B3199+0</f>
        <v/>
      </c>
      <c r="D3199">
        <f>D3198-0.1*B3199+0</f>
        <v/>
      </c>
      <c r="E3199">
        <f>Parameters!$B$25</f>
        <v/>
      </c>
    </row>
    <row r="3200">
      <c r="A3200" t="n">
        <v>319.8</v>
      </c>
      <c r="B3200">
        <f>IF(A3200&gt;162.1,Parameters!$B$5,Parameters!$B$4)</f>
        <v/>
      </c>
      <c r="C3200">
        <f>C3199-0.1*B3200+0</f>
        <v/>
      </c>
      <c r="D3200">
        <f>D3199-0.1*B3200+0</f>
        <v/>
      </c>
      <c r="E3200">
        <f>Parameters!$B$25</f>
        <v/>
      </c>
    </row>
    <row r="3201">
      <c r="A3201" t="n">
        <v>319.9</v>
      </c>
      <c r="B3201">
        <f>IF(A3201&gt;162.1,Parameters!$B$5,Parameters!$B$4)</f>
        <v/>
      </c>
      <c r="C3201">
        <f>C3200-0.1*B3201+0</f>
        <v/>
      </c>
      <c r="D3201">
        <f>D3200-0.1*B3201+0</f>
        <v/>
      </c>
      <c r="E3201">
        <f>Parameters!$B$25</f>
        <v/>
      </c>
    </row>
    <row r="3202">
      <c r="A3202" t="n">
        <v>320</v>
      </c>
      <c r="B3202">
        <f>IF(A3202&gt;162.1,Parameters!$B$5,Parameters!$B$4)</f>
        <v/>
      </c>
      <c r="C3202">
        <f>C3201-0.1*B3202+0</f>
        <v/>
      </c>
      <c r="D3202">
        <f>D3201-0.1*B3202+0</f>
        <v/>
      </c>
      <c r="E3202">
        <f>Parameters!$B$25</f>
        <v/>
      </c>
    </row>
    <row r="3203">
      <c r="A3203" t="n">
        <v>320.1</v>
      </c>
      <c r="B3203">
        <f>IF(A3203&gt;162.1,Parameters!$B$5,Parameters!$B$4)</f>
        <v/>
      </c>
      <c r="C3203">
        <f>C3202-0.1*B3203+0</f>
        <v/>
      </c>
      <c r="D3203">
        <f>D3202-0.1*B3203+0</f>
        <v/>
      </c>
      <c r="E3203">
        <f>Parameters!$B$25</f>
        <v/>
      </c>
    </row>
    <row r="3204">
      <c r="A3204" t="n">
        <v>320.2</v>
      </c>
      <c r="B3204">
        <f>IF(A3204&gt;162.1,Parameters!$B$5,Parameters!$B$4)</f>
        <v/>
      </c>
      <c r="C3204">
        <f>C3203-0.1*B3204+0</f>
        <v/>
      </c>
      <c r="D3204">
        <f>D3203-0.1*B3204+0</f>
        <v/>
      </c>
      <c r="E3204">
        <f>Parameters!$B$25</f>
        <v/>
      </c>
    </row>
    <row r="3205">
      <c r="A3205" t="n">
        <v>320.3</v>
      </c>
      <c r="B3205">
        <f>IF(A3205&gt;162.1,Parameters!$B$5,Parameters!$B$4)</f>
        <v/>
      </c>
      <c r="C3205">
        <f>C3204-0.1*B3205+0</f>
        <v/>
      </c>
      <c r="D3205">
        <f>D3204-0.1*B3205+0</f>
        <v/>
      </c>
      <c r="E3205">
        <f>Parameters!$B$25</f>
        <v/>
      </c>
    </row>
    <row r="3206">
      <c r="A3206" t="n">
        <v>320.4</v>
      </c>
      <c r="B3206">
        <f>IF(A3206&gt;162.1,Parameters!$B$5,Parameters!$B$4)</f>
        <v/>
      </c>
      <c r="C3206">
        <f>C3205-0.1*B3206+0</f>
        <v/>
      </c>
      <c r="D3206">
        <f>D3205-0.1*B3206+0</f>
        <v/>
      </c>
      <c r="E3206">
        <f>Parameters!$B$25</f>
        <v/>
      </c>
    </row>
    <row r="3207">
      <c r="A3207" t="n">
        <v>320.5</v>
      </c>
      <c r="B3207">
        <f>IF(A3207&gt;162.1,Parameters!$B$5,Parameters!$B$4)</f>
        <v/>
      </c>
      <c r="C3207">
        <f>C3206-0.1*B3207+0</f>
        <v/>
      </c>
      <c r="D3207">
        <f>D3206-0.1*B3207+0</f>
        <v/>
      </c>
      <c r="E3207">
        <f>Parameters!$B$25</f>
        <v/>
      </c>
    </row>
    <row r="3208">
      <c r="A3208" t="n">
        <v>320.6</v>
      </c>
      <c r="B3208">
        <f>IF(A3208&gt;162.1,Parameters!$B$5,Parameters!$B$4)</f>
        <v/>
      </c>
      <c r="C3208">
        <f>C3207-0.1*B3208+0</f>
        <v/>
      </c>
      <c r="D3208">
        <f>D3207-0.1*B3208+0</f>
        <v/>
      </c>
      <c r="E3208">
        <f>Parameters!$B$25</f>
        <v/>
      </c>
    </row>
    <row r="3209">
      <c r="A3209" t="n">
        <v>320.7</v>
      </c>
      <c r="B3209">
        <f>IF(A3209&gt;162.1,Parameters!$B$5,Parameters!$B$4)</f>
        <v/>
      </c>
      <c r="C3209">
        <f>C3208-0.1*B3209+0</f>
        <v/>
      </c>
      <c r="D3209">
        <f>D3208-0.1*B3209+0</f>
        <v/>
      </c>
      <c r="E3209">
        <f>Parameters!$B$25</f>
        <v/>
      </c>
    </row>
    <row r="3210">
      <c r="A3210" t="n">
        <v>320.8</v>
      </c>
      <c r="B3210">
        <f>IF(A3210&gt;162.1,Parameters!$B$5,Parameters!$B$4)</f>
        <v/>
      </c>
      <c r="C3210">
        <f>C3209-0.1*B3210+0</f>
        <v/>
      </c>
      <c r="D3210">
        <f>D3209-0.1*B3210+0</f>
        <v/>
      </c>
      <c r="E3210">
        <f>Parameters!$B$25</f>
        <v/>
      </c>
    </row>
    <row r="3211">
      <c r="A3211" t="n">
        <v>320.9</v>
      </c>
      <c r="B3211">
        <f>IF(A3211&gt;162.1,Parameters!$B$5,Parameters!$B$4)</f>
        <v/>
      </c>
      <c r="C3211">
        <f>C3210-0.1*B3211+0</f>
        <v/>
      </c>
      <c r="D3211">
        <f>D3210-0.1*B3211+0</f>
        <v/>
      </c>
      <c r="E3211">
        <f>Parameters!$B$25</f>
        <v/>
      </c>
    </row>
    <row r="3212">
      <c r="A3212" t="n">
        <v>321</v>
      </c>
      <c r="B3212">
        <f>IF(A3212&gt;162.1,Parameters!$B$5,Parameters!$B$4)</f>
        <v/>
      </c>
      <c r="C3212">
        <f>C3211-0.1*B3212+0</f>
        <v/>
      </c>
      <c r="D3212">
        <f>D3211-0.1*B3212+0</f>
        <v/>
      </c>
      <c r="E3212">
        <f>Parameters!$B$25</f>
        <v/>
      </c>
    </row>
    <row r="3213">
      <c r="A3213" t="n">
        <v>321.1</v>
      </c>
      <c r="B3213">
        <f>IF(A3213&gt;162.1,Parameters!$B$5,Parameters!$B$4)</f>
        <v/>
      </c>
      <c r="C3213">
        <f>C3212-0.1*B3213+0</f>
        <v/>
      </c>
      <c r="D3213">
        <f>D3212-0.1*B3213+0</f>
        <v/>
      </c>
      <c r="E3213">
        <f>Parameters!$B$25</f>
        <v/>
      </c>
    </row>
    <row r="3214">
      <c r="A3214" t="n">
        <v>321.2</v>
      </c>
      <c r="B3214">
        <f>IF(A3214&gt;162.1,Parameters!$B$5,Parameters!$B$4)</f>
        <v/>
      </c>
      <c r="C3214">
        <f>C3213-0.1*B3214+0</f>
        <v/>
      </c>
      <c r="D3214">
        <f>D3213-0.1*B3214+0</f>
        <v/>
      </c>
      <c r="E3214">
        <f>Parameters!$B$25</f>
        <v/>
      </c>
    </row>
    <row r="3215">
      <c r="A3215" t="n">
        <v>321.3</v>
      </c>
      <c r="B3215">
        <f>IF(A3215&gt;162.1,Parameters!$B$5,Parameters!$B$4)</f>
        <v/>
      </c>
      <c r="C3215">
        <f>C3214-0.1*B3215+0</f>
        <v/>
      </c>
      <c r="D3215">
        <f>D3214-0.1*B3215+0</f>
        <v/>
      </c>
      <c r="E3215">
        <f>Parameters!$B$25</f>
        <v/>
      </c>
    </row>
    <row r="3216">
      <c r="A3216" t="n">
        <v>321.4</v>
      </c>
      <c r="B3216">
        <f>IF(A3216&gt;162.1,Parameters!$B$5,Parameters!$B$4)</f>
        <v/>
      </c>
      <c r="C3216">
        <f>C3215-0.1*B3216+0</f>
        <v/>
      </c>
      <c r="D3216">
        <f>D3215-0.1*B3216+0</f>
        <v/>
      </c>
      <c r="E3216">
        <f>Parameters!$B$25</f>
        <v/>
      </c>
    </row>
    <row r="3217">
      <c r="A3217" t="n">
        <v>321.5</v>
      </c>
      <c r="B3217">
        <f>IF(A3217&gt;162.1,Parameters!$B$5,Parameters!$B$4)</f>
        <v/>
      </c>
      <c r="C3217">
        <f>C3216-0.1*B3217+0</f>
        <v/>
      </c>
      <c r="D3217">
        <f>D3216-0.1*B3217+0</f>
        <v/>
      </c>
      <c r="E3217">
        <f>Parameters!$B$25</f>
        <v/>
      </c>
    </row>
    <row r="3218">
      <c r="A3218" t="n">
        <v>321.6</v>
      </c>
      <c r="B3218">
        <f>IF(A3218&gt;162.1,Parameters!$B$5,Parameters!$B$4)</f>
        <v/>
      </c>
      <c r="C3218">
        <f>C3217-0.1*B3218+0</f>
        <v/>
      </c>
      <c r="D3218">
        <f>D3217-0.1*B3218+0</f>
        <v/>
      </c>
      <c r="E3218">
        <f>Parameters!$B$25</f>
        <v/>
      </c>
    </row>
    <row r="3219">
      <c r="A3219" t="n">
        <v>321.7</v>
      </c>
      <c r="B3219">
        <f>IF(A3219&gt;162.1,Parameters!$B$5,Parameters!$B$4)</f>
        <v/>
      </c>
      <c r="C3219">
        <f>C3218-0.1*B3219+0</f>
        <v/>
      </c>
      <c r="D3219">
        <f>D3218-0.1*B3219+0</f>
        <v/>
      </c>
      <c r="E3219">
        <f>Parameters!$B$25</f>
        <v/>
      </c>
    </row>
    <row r="3220">
      <c r="A3220" t="n">
        <v>321.8</v>
      </c>
      <c r="B3220">
        <f>IF(A3220&gt;162.1,Parameters!$B$5,Parameters!$B$4)</f>
        <v/>
      </c>
      <c r="C3220">
        <f>C3219-0.1*B3220+0</f>
        <v/>
      </c>
      <c r="D3220">
        <f>D3219-0.1*B3220+0</f>
        <v/>
      </c>
      <c r="E3220">
        <f>Parameters!$B$25</f>
        <v/>
      </c>
    </row>
    <row r="3221">
      <c r="A3221" t="n">
        <v>321.9</v>
      </c>
      <c r="B3221">
        <f>IF(A3221&gt;162.1,Parameters!$B$5,Parameters!$B$4)</f>
        <v/>
      </c>
      <c r="C3221">
        <f>C3220-0.1*B3221+0</f>
        <v/>
      </c>
      <c r="D3221">
        <f>D3220-0.1*B3221+0</f>
        <v/>
      </c>
      <c r="E3221">
        <f>Parameters!$B$25</f>
        <v/>
      </c>
    </row>
    <row r="3222">
      <c r="A3222" t="n">
        <v>322</v>
      </c>
      <c r="B3222">
        <f>IF(A3222&gt;162.1,Parameters!$B$5,Parameters!$B$4)</f>
        <v/>
      </c>
      <c r="C3222">
        <f>C3221-0.1*B3222+0</f>
        <v/>
      </c>
      <c r="D3222">
        <f>D3221-0.1*B3222+0</f>
        <v/>
      </c>
      <c r="E3222">
        <f>Parameters!$B$25</f>
        <v/>
      </c>
    </row>
    <row r="3223">
      <c r="A3223" t="n">
        <v>322.1</v>
      </c>
      <c r="B3223">
        <f>IF(A3223&gt;162.1,Parameters!$B$5,Parameters!$B$4)</f>
        <v/>
      </c>
      <c r="C3223">
        <f>C3222-0.1*B3223+0</f>
        <v/>
      </c>
      <c r="D3223">
        <f>D3222-0.1*B3223+0</f>
        <v/>
      </c>
      <c r="E3223">
        <f>Parameters!$B$25</f>
        <v/>
      </c>
    </row>
    <row r="3224">
      <c r="A3224" t="n">
        <v>322.2</v>
      </c>
      <c r="B3224">
        <f>IF(A3224&gt;162.1,Parameters!$B$5,Parameters!$B$4)</f>
        <v/>
      </c>
      <c r="C3224">
        <f>C3223-0.1*B3224+0</f>
        <v/>
      </c>
      <c r="D3224">
        <f>D3223-0.1*B3224+0</f>
        <v/>
      </c>
      <c r="E3224">
        <f>Parameters!$B$25</f>
        <v/>
      </c>
    </row>
    <row r="3225">
      <c r="A3225" t="n">
        <v>322.3</v>
      </c>
      <c r="B3225">
        <f>IF(A3225&gt;162.1,Parameters!$B$5,Parameters!$B$4)</f>
        <v/>
      </c>
      <c r="C3225">
        <f>C3224-0.1*B3225+0</f>
        <v/>
      </c>
      <c r="D3225">
        <f>D3224-0.1*B3225+0</f>
        <v/>
      </c>
      <c r="E3225">
        <f>Parameters!$B$25</f>
        <v/>
      </c>
    </row>
    <row r="3226">
      <c r="A3226" t="n">
        <v>322.4</v>
      </c>
      <c r="B3226">
        <f>IF(A3226&gt;162.1,Parameters!$B$5,Parameters!$B$4)</f>
        <v/>
      </c>
      <c r="C3226">
        <f>C3225-0.1*B3226+0</f>
        <v/>
      </c>
      <c r="D3226">
        <f>D3225-0.1*B3226+0</f>
        <v/>
      </c>
      <c r="E3226">
        <f>Parameters!$B$25</f>
        <v/>
      </c>
    </row>
    <row r="3227">
      <c r="A3227" t="n">
        <v>322.5</v>
      </c>
      <c r="B3227">
        <f>IF(A3227&gt;162.1,Parameters!$B$5,Parameters!$B$4)</f>
        <v/>
      </c>
      <c r="C3227">
        <f>C3226-0.1*B3227+0</f>
        <v/>
      </c>
      <c r="D3227">
        <f>D3226-0.1*B3227+0</f>
        <v/>
      </c>
      <c r="E3227">
        <f>Parameters!$B$25</f>
        <v/>
      </c>
    </row>
    <row r="3228">
      <c r="A3228" t="n">
        <v>322.6</v>
      </c>
      <c r="B3228">
        <f>IF(A3228&gt;162.1,Parameters!$B$5,Parameters!$B$4)</f>
        <v/>
      </c>
      <c r="C3228">
        <f>C3227-0.1*B3228+0</f>
        <v/>
      </c>
      <c r="D3228">
        <f>D3227-0.1*B3228+0</f>
        <v/>
      </c>
      <c r="E3228">
        <f>Parameters!$B$25</f>
        <v/>
      </c>
    </row>
    <row r="3229">
      <c r="A3229" t="n">
        <v>322.7</v>
      </c>
      <c r="B3229">
        <f>IF(A3229&gt;162.1,Parameters!$B$5,Parameters!$B$4)</f>
        <v/>
      </c>
      <c r="C3229">
        <f>C3228-0.1*B3229+0</f>
        <v/>
      </c>
      <c r="D3229">
        <f>D3228-0.1*B3229+0</f>
        <v/>
      </c>
      <c r="E3229">
        <f>Parameters!$B$25</f>
        <v/>
      </c>
    </row>
    <row r="3230">
      <c r="A3230" t="n">
        <v>322.8</v>
      </c>
      <c r="B3230">
        <f>IF(A3230&gt;162.1,Parameters!$B$5,Parameters!$B$4)</f>
        <v/>
      </c>
      <c r="C3230">
        <f>C3229-0.1*B3230+0</f>
        <v/>
      </c>
      <c r="D3230">
        <f>D3229-0.1*B3230+0</f>
        <v/>
      </c>
      <c r="E3230">
        <f>Parameters!$B$25</f>
        <v/>
      </c>
    </row>
    <row r="3231">
      <c r="A3231" t="n">
        <v>322.9</v>
      </c>
      <c r="B3231">
        <f>IF(A3231&gt;162.1,Parameters!$B$5,Parameters!$B$4)</f>
        <v/>
      </c>
      <c r="C3231">
        <f>C3230-0.1*B3231+0</f>
        <v/>
      </c>
      <c r="D3231">
        <f>D3230-0.1*B3231+0</f>
        <v/>
      </c>
      <c r="E3231">
        <f>Parameters!$B$25</f>
        <v/>
      </c>
    </row>
    <row r="3232">
      <c r="A3232" t="n">
        <v>323</v>
      </c>
      <c r="B3232">
        <f>IF(A3232&gt;162.1,Parameters!$B$5,Parameters!$B$4)</f>
        <v/>
      </c>
      <c r="C3232">
        <f>C3231-0.1*B3232+0</f>
        <v/>
      </c>
      <c r="D3232">
        <f>D3231-0.1*B3232+0</f>
        <v/>
      </c>
      <c r="E3232">
        <f>Parameters!$B$25</f>
        <v/>
      </c>
    </row>
    <row r="3233">
      <c r="A3233" t="n">
        <v>323.1</v>
      </c>
      <c r="B3233">
        <f>IF(A3233&gt;162.1,Parameters!$B$5,Parameters!$B$4)</f>
        <v/>
      </c>
      <c r="C3233">
        <f>C3232-0.1*B3233+0</f>
        <v/>
      </c>
      <c r="D3233">
        <f>D3232-0.1*B3233+0</f>
        <v/>
      </c>
      <c r="E3233">
        <f>Parameters!$B$25</f>
        <v/>
      </c>
    </row>
    <row r="3234">
      <c r="A3234" t="n">
        <v>323.2</v>
      </c>
      <c r="B3234">
        <f>IF(A3234&gt;162.1,Parameters!$B$5,Parameters!$B$4)</f>
        <v/>
      </c>
      <c r="C3234">
        <f>C3233-0.1*B3234+0</f>
        <v/>
      </c>
      <c r="D3234">
        <f>D3233-0.1*B3234+0</f>
        <v/>
      </c>
      <c r="E3234">
        <f>Parameters!$B$25</f>
        <v/>
      </c>
    </row>
    <row r="3235">
      <c r="A3235" t="n">
        <v>323.3</v>
      </c>
      <c r="B3235">
        <f>IF(A3235&gt;162.1,Parameters!$B$5,Parameters!$B$4)</f>
        <v/>
      </c>
      <c r="C3235">
        <f>C3234-0.1*B3235+0</f>
        <v/>
      </c>
      <c r="D3235">
        <f>D3234-0.1*B3235+0</f>
        <v/>
      </c>
      <c r="E3235">
        <f>Parameters!$B$25</f>
        <v/>
      </c>
    </row>
    <row r="3236">
      <c r="A3236" t="n">
        <v>323.4</v>
      </c>
      <c r="B3236">
        <f>IF(A3236&gt;162.1,Parameters!$B$5,Parameters!$B$4)</f>
        <v/>
      </c>
      <c r="C3236">
        <f>C3235-0.1*B3236+0</f>
        <v/>
      </c>
      <c r="D3236">
        <f>D3235-0.1*B3236+0</f>
        <v/>
      </c>
      <c r="E3236">
        <f>Parameters!$B$25</f>
        <v/>
      </c>
    </row>
    <row r="3237">
      <c r="A3237" t="n">
        <v>323.5</v>
      </c>
      <c r="B3237">
        <f>IF(A3237&gt;162.1,Parameters!$B$5,Parameters!$B$4)</f>
        <v/>
      </c>
      <c r="C3237">
        <f>C3236-0.1*B3237+0</f>
        <v/>
      </c>
      <c r="D3237">
        <f>D3236-0.1*B3237+0</f>
        <v/>
      </c>
      <c r="E3237">
        <f>Parameters!$B$25</f>
        <v/>
      </c>
    </row>
    <row r="3238">
      <c r="A3238" t="n">
        <v>323.6</v>
      </c>
      <c r="B3238">
        <f>IF(A3238&gt;162.1,Parameters!$B$5,Parameters!$B$4)</f>
        <v/>
      </c>
      <c r="C3238">
        <f>C3237-0.1*B3238+0</f>
        <v/>
      </c>
      <c r="D3238">
        <f>D3237-0.1*B3238+0</f>
        <v/>
      </c>
      <c r="E3238">
        <f>Parameters!$B$25</f>
        <v/>
      </c>
    </row>
    <row r="3239">
      <c r="A3239" t="n">
        <v>323.7</v>
      </c>
      <c r="B3239">
        <f>IF(A3239&gt;162.1,Parameters!$B$5,Parameters!$B$4)</f>
        <v/>
      </c>
      <c r="C3239">
        <f>C3238-0.1*B3239+0</f>
        <v/>
      </c>
      <c r="D3239">
        <f>D3238-0.1*B3239+0</f>
        <v/>
      </c>
      <c r="E3239">
        <f>Parameters!$B$25</f>
        <v/>
      </c>
    </row>
    <row r="3240">
      <c r="A3240" t="n">
        <v>323.8</v>
      </c>
      <c r="B3240">
        <f>IF(A3240&gt;162.1,Parameters!$B$5,Parameters!$B$4)</f>
        <v/>
      </c>
      <c r="C3240">
        <f>C3239-0.1*B3240+0</f>
        <v/>
      </c>
      <c r="D3240">
        <f>D3239-0.1*B3240+0</f>
        <v/>
      </c>
      <c r="E3240">
        <f>Parameters!$B$25</f>
        <v/>
      </c>
    </row>
    <row r="3241">
      <c r="A3241" t="n">
        <v>323.9</v>
      </c>
      <c r="B3241">
        <f>IF(A3241&gt;162.1,Parameters!$B$5,Parameters!$B$4)</f>
        <v/>
      </c>
      <c r="C3241">
        <f>C3240-0.1*B3241+0</f>
        <v/>
      </c>
      <c r="D3241">
        <f>D3240-0.1*B3241+0</f>
        <v/>
      </c>
      <c r="E3241">
        <f>Parameters!$B$25</f>
        <v/>
      </c>
    </row>
    <row r="3242">
      <c r="A3242" t="n">
        <v>324</v>
      </c>
      <c r="B3242">
        <f>IF(A3242&gt;162.1,Parameters!$B$5,Parameters!$B$4)</f>
        <v/>
      </c>
      <c r="C3242">
        <f>C3241-0.1*B3242+0</f>
        <v/>
      </c>
      <c r="D3242">
        <f>D3241-0.1*B3242+0</f>
        <v/>
      </c>
      <c r="E3242">
        <f>Parameters!$B$25</f>
        <v/>
      </c>
    </row>
    <row r="3243">
      <c r="A3243" t="n">
        <v>324.1</v>
      </c>
      <c r="B3243">
        <f>IF(A3243&gt;162.1,Parameters!$B$5,Parameters!$B$4)</f>
        <v/>
      </c>
      <c r="C3243">
        <f>C3242-0.1*B3243+0</f>
        <v/>
      </c>
      <c r="D3243">
        <f>D3242-0.1*B3243+0</f>
        <v/>
      </c>
      <c r="E3243">
        <f>Parameters!$B$25</f>
        <v/>
      </c>
    </row>
    <row r="3244">
      <c r="A3244" t="n">
        <v>324.2</v>
      </c>
      <c r="B3244">
        <f>IF(A3244&gt;162.1,Parameters!$B$5,Parameters!$B$4)</f>
        <v/>
      </c>
      <c r="C3244">
        <f>C3243-0.1*B3244+0</f>
        <v/>
      </c>
      <c r="D3244">
        <f>D3243-0.1*B3244+0</f>
        <v/>
      </c>
      <c r="E3244">
        <f>Parameters!$B$25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0" customWidth="1" min="4" max="4"/>
    <col width="30" customWidth="1" min="5" max="5"/>
    <col width="20" customWidth="1" min="6" max="6"/>
    <col width="22" customWidth="1" min="7" max="7"/>
  </cols>
  <sheetData>
    <row r="1">
      <c r="A1" s="1" t="inlineStr">
        <is>
          <t>Charging scenarios — same physics, different plug power. All formulas; edit column A to test any power.</t>
        </is>
      </c>
    </row>
    <row r="3">
      <c r="A3" t="inlineStr">
        <is>
          <t>Fixed (non-charging) cycle time, min</t>
        </is>
      </c>
      <c r="B3">
        <f>2*(14.8/10*60+4/MIN(20,Parameters!$B$2)*60+75.7/MIN(25,Parameters!$B$2)*60)+2*(2/10*60+52.1/MIN(25,Parameters!$B$2)*60+10.5/MIN(20,Parameters!$B$2)*60)+2*(3/MIN(20,Parameters!$B$2)*60)+Parameters!$B$10+Parameters!$B$11+Parameters!$B$12+Parameters!$B$13+Parameters!$B$14+Parameters!$B$15*Parameters!$B$19</f>
        <v/>
      </c>
      <c r="C3" t="inlineStr">
        <is>
          <t>movement + allowances (port per toggle)</t>
        </is>
      </c>
    </row>
    <row r="4">
      <c r="A4" t="inlineStr">
        <is>
          <t>Charge energy per cycle, kWh</t>
        </is>
      </c>
      <c r="B4">
        <f>'Dwell Plans'!B8+'Dwell Plans'!B10+'Dwell Plans'!B12+'Dwell Plans'!B17*Parameters!$B$20</f>
        <v/>
      </c>
      <c r="C4" t="inlineStr">
        <is>
          <t>Vidalia + Plastic + (WB if any) + Macon top-up</t>
        </is>
      </c>
    </row>
    <row r="6">
      <c r="A6" s="2" t="inlineStr">
        <is>
          <t>charge power (kW)</t>
        </is>
      </c>
      <c r="B6" s="2" t="inlineStr">
        <is>
          <t>scenario</t>
        </is>
      </c>
      <c r="C6" s="2" t="inlineStr">
        <is>
          <t>charging h/cycle</t>
        </is>
      </c>
      <c r="D6" s="2" t="inlineStr">
        <is>
          <t>cycle h</t>
        </is>
      </c>
      <c r="E6" s="2" t="inlineStr">
        <is>
          <t>vs 24 h</t>
        </is>
      </c>
      <c r="F6" s="2" t="inlineStr">
        <is>
          <t>loads/day (3 vehicles)</t>
        </is>
      </c>
      <c r="G6" s="2" t="inlineStr">
        <is>
          <t>vehicles for 3 loads/day</t>
        </is>
      </c>
    </row>
    <row r="7">
      <c r="A7" s="5" t="n">
        <v>40</v>
      </c>
      <c r="B7" s="5" t="inlineStr">
        <is>
          <t>planned: one 40 kW DC mobile charger</t>
        </is>
      </c>
      <c r="C7" s="5">
        <f>$B$4/A7</f>
        <v/>
      </c>
      <c r="D7" s="5">
        <f>$B$3/60+C7</f>
        <v/>
      </c>
      <c r="E7" s="5">
        <f>IF(D7&lt;=Parameters!$B$16,"PASS — margin "&amp;TEXT((Parameters!$B$16-D7)/24,"h:mm"),"FAIL — over by "&amp;TEXT((D7-Parameters!$B$16)/24,"h:mm"))</f>
        <v/>
      </c>
      <c r="F7" s="5">
        <f>ROUND(3*24/D7,2)</f>
        <v/>
      </c>
      <c r="G7" s="5">
        <f>ROUNDUP(D7/(Parameters!$B$16/3),0)</f>
        <v/>
      </c>
    </row>
    <row r="8">
      <c r="A8" t="n">
        <v>80</v>
      </c>
      <c r="B8" t="inlineStr">
        <is>
          <t>two 40 kW mobile units charging simultaneously</t>
        </is>
      </c>
      <c r="C8">
        <f>$B$4/A8</f>
        <v/>
      </c>
      <c r="D8">
        <f>$B$3/60+C8</f>
        <v/>
      </c>
      <c r="E8">
        <f>IF(D8&lt;=Parameters!$B$16,"PASS — margin "&amp;TEXT((Parameters!$B$16-D8)/24,"h:mm"),"FAIL — over by "&amp;TEXT((D8-Parameters!$B$16)/24,"h:mm"))</f>
        <v/>
      </c>
      <c r="F8">
        <f>ROUND(3*24/D8,2)</f>
        <v/>
      </c>
      <c r="G8">
        <f>ROUNDUP(D8/(Parameters!$B$16/3),0)</f>
        <v/>
      </c>
    </row>
    <row r="9">
      <c r="A9" t="n">
        <v>11</v>
      </c>
      <c r="B9" t="inlineStr">
        <is>
          <t>fallback: no fast charge (24 h empty→full)</t>
        </is>
      </c>
      <c r="C9">
        <f>$B$4/A9</f>
        <v/>
      </c>
      <c r="D9">
        <f>$B$3/60+C9</f>
        <v/>
      </c>
      <c r="E9">
        <f>IF(D9&lt;=Parameters!$B$16,"PASS — margin "&amp;TEXT((Parameters!$B$16-D9)/24,"h:mm"),"FAIL — over by "&amp;TEXT((D9-Parameters!$B$16)/24,"h:mm"))</f>
        <v/>
      </c>
      <c r="F9">
        <f>ROUND(3*24/D9,2)</f>
        <v/>
      </c>
      <c r="G9">
        <f>ROUNDUP(D9/(Parameters!$B$16/3),0)</f>
        <v/>
      </c>
    </row>
    <row r="10">
      <c r="A10" t="n">
        <v>9.5</v>
      </c>
      <c r="B10" t="inlineStr">
        <is>
          <t>fallback: no fast charge (28 h empty→full)</t>
        </is>
      </c>
      <c r="C10">
        <f>$B$4/A10</f>
        <v/>
      </c>
      <c r="D10">
        <f>$B$3/60+C10</f>
        <v/>
      </c>
      <c r="E10">
        <f>IF(D10&lt;=Parameters!$B$16,"PASS — margin "&amp;TEXT((Parameters!$B$16-D10)/24,"h:mm"),"FAIL — over by "&amp;TEXT((D10-Parameters!$B$16)/24,"h:mm"))</f>
        <v/>
      </c>
      <c r="F10">
        <f>ROUND(3*24/D10,2)</f>
        <v/>
      </c>
      <c r="G10">
        <f>ROUNDUP(D10/(Parameters!$B$16/3),0)</f>
        <v/>
      </c>
    </row>
    <row r="11">
      <c r="A11" t="n">
        <v>67</v>
      </c>
      <c r="B11" t="inlineStr">
        <is>
          <t>minimum that exactly meets 24 h</t>
        </is>
      </c>
      <c r="C11">
        <f>$B$4/A11</f>
        <v/>
      </c>
      <c r="D11">
        <f>$B$3/60+C11</f>
        <v/>
      </c>
      <c r="E11">
        <f>IF(D11&lt;=Parameters!$B$16,"PASS — margin "&amp;TEXT((Parameters!$B$16-D11)/24,"h:mm"),"FAIL — over by "&amp;TEXT((D11-Parameters!$B$16)/24,"h:mm"))</f>
        <v/>
      </c>
      <c r="F11">
        <f>ROUND(3*24/D11,2)</f>
        <v/>
      </c>
      <c r="G11">
        <f>ROUNDUP(D11/(Parameters!$B$16/3),0)</f>
        <v/>
      </c>
    </row>
    <row r="12">
      <c r="A12" t="n">
        <v>150</v>
      </c>
      <c r="B12" t="inlineStr">
        <is>
          <t>prior planning assumption (reference)</t>
        </is>
      </c>
      <c r="C12">
        <f>$B$4/A12</f>
        <v/>
      </c>
      <c r="D12">
        <f>$B$3/60+C12</f>
        <v/>
      </c>
      <c r="E12">
        <f>IF(D12&lt;=Parameters!$B$16,"PASS — margin "&amp;TEXT((Parameters!$B$16-D12)/24,"h:mm"),"FAIL — over by "&amp;TEXT((D12-Parameters!$B$16)/24,"h:mm"))</f>
        <v/>
      </c>
      <c r="F12">
        <f>ROUND(3*24/D12,2)</f>
        <v/>
      </c>
      <c r="G12">
        <f>ROUNDUP(D12/(Parameters!$B$16/3),0)</f>
        <v/>
      </c>
    </row>
    <row r="14">
      <c r="A14" t="inlineStr">
        <is>
          <t>Reading: a load departs every (cycle ÷ fleet size) hours. 3 loads/day needs a departure every 8 h, so vehicles required = cycle ÷ 8, rounded 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2026-08-01T00:22:22Z</dcterms:created>
  <dcterms:modified xsi:type="dcterms:W3CDTF">2026-08-01T00:22:22Z</dcterms:modified>
</cp:coreProperties>
</file>