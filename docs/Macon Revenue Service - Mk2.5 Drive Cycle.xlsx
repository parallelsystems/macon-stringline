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7"/>
  <workbookPr/>
  <xr:revisionPtr revIDLastSave="0" documentId="8_{61CC3B48-EE6D-4D23-B7CF-A58AA4C9CB91}" xr6:coauthVersionLast="47" xr6:coauthVersionMax="47" xr10:uidLastSave="{00000000-0000-0000-0000-000000000000}"/>
  <bookViews>
    <workbookView xWindow="240" yWindow="105" windowWidth="14805" windowHeight="8010" firstSheet="3" activeTab="3" xr2:uid="{00000000-000D-0000-FFFF-FFFF00000000}"/>
  </bookViews>
  <sheets>
    <sheet name="SETUP INFO" sheetId="1" r:id="rId1"/>
    <sheet name="PARAMS" sheetId="3" r:id="rId2"/>
    <sheet name="DRIVE CYCLE" sheetId="2" r:id="rId3"/>
    <sheet name="DWELL PLANS" sheetId="5" r:id="rId4"/>
    <sheet name="TIME BUDGET" sheetId="4" r:id="rId5"/>
  </sheets>
  <externalReferences>
    <externalReference r:id="rId6"/>
    <externalReference r:id="rId7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B5" i="5" l="1"/>
  <c r="C3" i="5"/>
  <c r="C2" i="5"/>
  <c r="B4" i="5"/>
  <c r="B3" i="5"/>
  <c r="B2" i="5"/>
  <c r="B31" i="5"/>
  <c r="D30" i="5"/>
  <c r="C30" i="5"/>
  <c r="D29" i="5"/>
  <c r="C29" i="5"/>
  <c r="D28" i="5"/>
  <c r="C28" i="5"/>
  <c r="D27" i="5"/>
  <c r="C27" i="5"/>
  <c r="D26" i="5"/>
  <c r="C26" i="5"/>
  <c r="D25" i="5"/>
  <c r="C25" i="5"/>
  <c r="C24" i="5"/>
  <c r="D23" i="5"/>
  <c r="C23" i="5"/>
  <c r="D22" i="5"/>
  <c r="C22" i="5"/>
  <c r="D21" i="5"/>
  <c r="D31" i="5" s="1"/>
  <c r="C21" i="5"/>
  <c r="C31" i="5" s="1"/>
  <c r="F31" i="5" s="1"/>
  <c r="E20" i="5"/>
  <c r="E21" i="5" s="1"/>
  <c r="E22" i="5" s="1"/>
  <c r="E23" i="5" s="1"/>
  <c r="E24" i="5" s="1"/>
  <c r="E25" i="5" s="1"/>
  <c r="E26" i="5" s="1"/>
  <c r="E27" i="5" s="1"/>
  <c r="E28" i="5" s="1"/>
  <c r="E29" i="5" s="1"/>
  <c r="E30" i="5" s="1"/>
  <c r="C4" i="5"/>
  <c r="B4" i="4"/>
  <c r="B3" i="4"/>
  <c r="B5" i="4"/>
  <c r="B7" i="4" s="1"/>
  <c r="B2" i="4"/>
  <c r="B25" i="3"/>
  <c r="B22" i="3"/>
  <c r="B24" i="3" s="1"/>
  <c r="C23" i="2"/>
  <c r="H2" i="2"/>
  <c r="H4" i="2" s="1"/>
  <c r="D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D18" i="2" s="1"/>
  <c r="D19" i="2" s="1"/>
  <c r="D20" i="2" s="1"/>
  <c r="D21" i="2" s="1"/>
  <c r="D22" i="2" s="1"/>
  <c r="D23" i="2" s="1"/>
  <c r="D24" i="2" s="1"/>
  <c r="D25" i="2" s="1"/>
  <c r="D26" i="2" s="1"/>
  <c r="D27" i="2" s="1"/>
  <c r="D28" i="2" s="1"/>
  <c r="D29" i="2" s="1"/>
  <c r="D30" i="2" s="1"/>
  <c r="D31" i="2" s="1"/>
  <c r="D32" i="2" s="1"/>
  <c r="D33" i="2" s="1"/>
  <c r="D34" i="2" s="1"/>
  <c r="D35" i="2" s="1"/>
  <c r="D36" i="2" s="1"/>
  <c r="D37" i="2" s="1"/>
  <c r="D38" i="2" s="1"/>
  <c r="D39" i="2" s="1"/>
  <c r="D40" i="2" s="1"/>
  <c r="D41" i="2" s="1"/>
  <c r="D42" i="2" s="1"/>
  <c r="D43" i="2" s="1"/>
  <c r="D44" i="2" s="1"/>
  <c r="D45" i="2" s="1"/>
  <c r="D46" i="2" s="1"/>
  <c r="D47" i="2" s="1"/>
  <c r="D48" i="2" s="1"/>
  <c r="D49" i="2" s="1"/>
  <c r="D50" i="2" s="1"/>
  <c r="D51" i="2" s="1"/>
  <c r="D52" i="2" s="1"/>
  <c r="D53" i="2" s="1"/>
  <c r="D54" i="2" s="1"/>
  <c r="D55" i="2" s="1"/>
  <c r="D56" i="2" s="1"/>
  <c r="D57" i="2" s="1"/>
  <c r="D58" i="2" s="1"/>
  <c r="D59" i="2" s="1"/>
  <c r="D60" i="2" s="1"/>
  <c r="D61" i="2" s="1"/>
  <c r="D62" i="2" s="1"/>
  <c r="D63" i="2" s="1"/>
  <c r="D64" i="2" s="1"/>
  <c r="D65" i="2" s="1"/>
  <c r="D66" i="2" s="1"/>
  <c r="D67" i="2" s="1"/>
  <c r="D68" i="2" s="1"/>
  <c r="D69" i="2" s="1"/>
  <c r="D70" i="2" s="1"/>
  <c r="D71" i="2" s="1"/>
  <c r="D72" i="2" s="1"/>
  <c r="D73" i="2" s="1"/>
  <c r="D74" i="2" s="1"/>
  <c r="D75" i="2" s="1"/>
  <c r="D76" i="2" s="1"/>
  <c r="D77" i="2" s="1"/>
  <c r="D78" i="2" s="1"/>
  <c r="D79" i="2" s="1"/>
  <c r="D80" i="2" s="1"/>
  <c r="D81" i="2" s="1"/>
  <c r="D82" i="2" s="1"/>
  <c r="D83" i="2" s="1"/>
  <c r="D84" i="2" s="1"/>
  <c r="D85" i="2" s="1"/>
  <c r="D86" i="2" s="1"/>
  <c r="D87" i="2" s="1"/>
  <c r="D88" i="2" s="1"/>
  <c r="D89" i="2" s="1"/>
  <c r="D90" i="2" s="1"/>
  <c r="D91" i="2" s="1"/>
  <c r="D92" i="2" s="1"/>
  <c r="D93" i="2" s="1"/>
  <c r="D94" i="2" s="1"/>
  <c r="D95" i="2" s="1"/>
  <c r="D96" i="2" s="1"/>
  <c r="D97" i="2" s="1"/>
  <c r="D98" i="2" s="1"/>
  <c r="D99" i="2" s="1"/>
  <c r="D100" i="2" s="1"/>
  <c r="D101" i="2" s="1"/>
  <c r="D102" i="2" s="1"/>
  <c r="D103" i="2" s="1"/>
  <c r="D104" i="2" s="1"/>
  <c r="D105" i="2" s="1"/>
  <c r="D106" i="2" s="1"/>
  <c r="D107" i="2" s="1"/>
  <c r="D108" i="2" s="1"/>
  <c r="D109" i="2" s="1"/>
  <c r="D110" i="2" s="1"/>
  <c r="D111" i="2" s="1"/>
  <c r="D112" i="2" s="1"/>
  <c r="D113" i="2" s="1"/>
  <c r="D114" i="2" s="1"/>
  <c r="D115" i="2" s="1"/>
  <c r="D116" i="2" s="1"/>
  <c r="D117" i="2" s="1"/>
  <c r="D118" i="2" s="1"/>
  <c r="D119" i="2" s="1"/>
  <c r="D120" i="2" s="1"/>
  <c r="D121" i="2" s="1"/>
  <c r="D122" i="2" s="1"/>
  <c r="D123" i="2" s="1"/>
  <c r="D124" i="2" s="1"/>
  <c r="D125" i="2" s="1"/>
  <c r="D126" i="2" s="1"/>
  <c r="D127" i="2" s="1"/>
  <c r="D128" i="2" s="1"/>
  <c r="D129" i="2" s="1"/>
  <c r="D130" i="2" s="1"/>
  <c r="D131" i="2" s="1"/>
  <c r="D132" i="2" s="1"/>
  <c r="D133" i="2" s="1"/>
  <c r="D134" i="2" s="1"/>
  <c r="D135" i="2" s="1"/>
  <c r="D136" i="2" s="1"/>
  <c r="D137" i="2" s="1"/>
  <c r="D138" i="2" s="1"/>
  <c r="D139" i="2" s="1"/>
  <c r="D140" i="2" s="1"/>
  <c r="D141" i="2" s="1"/>
  <c r="D142" i="2" s="1"/>
  <c r="D143" i="2" s="1"/>
  <c r="D144" i="2" s="1"/>
  <c r="D145" i="2" s="1"/>
  <c r="D146" i="2" s="1"/>
  <c r="D147" i="2" s="1"/>
  <c r="D148" i="2" s="1"/>
  <c r="D149" i="2" s="1"/>
  <c r="D150" i="2" s="1"/>
  <c r="D151" i="2" s="1"/>
  <c r="D152" i="2" s="1"/>
  <c r="D153" i="2" s="1"/>
  <c r="D154" i="2" s="1"/>
  <c r="D155" i="2" s="1"/>
  <c r="D156" i="2" s="1"/>
  <c r="D157" i="2" s="1"/>
  <c r="D158" i="2" s="1"/>
  <c r="D159" i="2" s="1"/>
  <c r="D160" i="2" s="1"/>
  <c r="D161" i="2" s="1"/>
  <c r="D162" i="2" s="1"/>
  <c r="D163" i="2" s="1"/>
  <c r="D164" i="2" s="1"/>
  <c r="D165" i="2" s="1"/>
  <c r="D166" i="2" s="1"/>
  <c r="D167" i="2" s="1"/>
  <c r="D168" i="2" s="1"/>
  <c r="D169" i="2" s="1"/>
  <c r="D170" i="2" s="1"/>
  <c r="D171" i="2" s="1"/>
  <c r="D172" i="2" s="1"/>
  <c r="D173" i="2" s="1"/>
  <c r="D174" i="2" s="1"/>
  <c r="D175" i="2" s="1"/>
  <c r="D176" i="2" s="1"/>
  <c r="D177" i="2" s="1"/>
  <c r="D178" i="2" s="1"/>
  <c r="D179" i="2" s="1"/>
  <c r="D180" i="2" s="1"/>
  <c r="D181" i="2" s="1"/>
  <c r="D182" i="2" s="1"/>
  <c r="D183" i="2" s="1"/>
  <c r="D184" i="2" s="1"/>
  <c r="D185" i="2" s="1"/>
  <c r="D186" i="2" s="1"/>
  <c r="D187" i="2" s="1"/>
  <c r="D188" i="2" s="1"/>
  <c r="D189" i="2" s="1"/>
  <c r="D190" i="2" s="1"/>
  <c r="D191" i="2" s="1"/>
  <c r="D192" i="2" s="1"/>
  <c r="D193" i="2" s="1"/>
  <c r="D194" i="2" s="1"/>
  <c r="D195" i="2" s="1"/>
  <c r="D196" i="2" s="1"/>
  <c r="D197" i="2" s="1"/>
  <c r="D198" i="2" s="1"/>
  <c r="D199" i="2" s="1"/>
  <c r="D200" i="2" s="1"/>
  <c r="D201" i="2" s="1"/>
  <c r="D202" i="2" s="1"/>
  <c r="D203" i="2" s="1"/>
  <c r="D204" i="2" s="1"/>
  <c r="D205" i="2" s="1"/>
  <c r="D206" i="2" s="1"/>
  <c r="D207" i="2" s="1"/>
  <c r="D208" i="2" s="1"/>
  <c r="D209" i="2" s="1"/>
  <c r="D210" i="2" s="1"/>
  <c r="D211" i="2" s="1"/>
  <c r="D212" i="2" s="1"/>
  <c r="D213" i="2" s="1"/>
  <c r="D214" i="2" s="1"/>
  <c r="D215" i="2" s="1"/>
  <c r="D216" i="2" s="1"/>
  <c r="D217" i="2" s="1"/>
  <c r="D218" i="2" s="1"/>
  <c r="D219" i="2" s="1"/>
  <c r="D220" i="2" s="1"/>
  <c r="D221" i="2" s="1"/>
  <c r="D222" i="2" s="1"/>
  <c r="D223" i="2" s="1"/>
  <c r="D224" i="2" s="1"/>
  <c r="D225" i="2" s="1"/>
  <c r="D226" i="2" s="1"/>
  <c r="D227" i="2" s="1"/>
  <c r="D228" i="2" s="1"/>
  <c r="D229" i="2" s="1"/>
  <c r="D230" i="2" s="1"/>
  <c r="D231" i="2" s="1"/>
  <c r="D232" i="2" s="1"/>
  <c r="D233" i="2" s="1"/>
  <c r="D234" i="2" s="1"/>
  <c r="D235" i="2" s="1"/>
  <c r="D236" i="2" s="1"/>
  <c r="D237" i="2" s="1"/>
  <c r="D238" i="2" s="1"/>
  <c r="D239" i="2" s="1"/>
  <c r="D240" i="2" s="1"/>
  <c r="D241" i="2" s="1"/>
  <c r="D242" i="2" s="1"/>
  <c r="D243" i="2" s="1"/>
  <c r="D244" i="2" s="1"/>
  <c r="D245" i="2" s="1"/>
  <c r="D246" i="2" s="1"/>
  <c r="D247" i="2" s="1"/>
  <c r="D248" i="2" s="1"/>
  <c r="D249" i="2" s="1"/>
  <c r="D250" i="2" s="1"/>
  <c r="D251" i="2" s="1"/>
  <c r="D252" i="2" s="1"/>
  <c r="D253" i="2" s="1"/>
  <c r="D254" i="2" s="1"/>
  <c r="D255" i="2" s="1"/>
  <c r="D256" i="2" s="1"/>
  <c r="D257" i="2" s="1"/>
  <c r="D258" i="2" s="1"/>
  <c r="D259" i="2" s="1"/>
  <c r="D260" i="2" s="1"/>
  <c r="D261" i="2" s="1"/>
  <c r="D262" i="2" s="1"/>
  <c r="D263" i="2" s="1"/>
  <c r="D264" i="2" s="1"/>
  <c r="D265" i="2" s="1"/>
  <c r="D266" i="2" s="1"/>
  <c r="D267" i="2" s="1"/>
  <c r="D268" i="2" s="1"/>
  <c r="D269" i="2" s="1"/>
  <c r="D270" i="2" s="1"/>
  <c r="D271" i="2" s="1"/>
  <c r="D272" i="2" s="1"/>
  <c r="D273" i="2" s="1"/>
  <c r="D274" i="2" s="1"/>
  <c r="D275" i="2" s="1"/>
  <c r="D276" i="2" s="1"/>
  <c r="D277" i="2" s="1"/>
  <c r="D278" i="2" s="1"/>
  <c r="D279" i="2" s="1"/>
  <c r="D280" i="2" s="1"/>
  <c r="D281" i="2" s="1"/>
  <c r="D282" i="2" s="1"/>
  <c r="D283" i="2" s="1"/>
  <c r="D284" i="2" s="1"/>
  <c r="D285" i="2" s="1"/>
  <c r="D286" i="2" s="1"/>
  <c r="D287" i="2" s="1"/>
  <c r="D288" i="2" s="1"/>
  <c r="D289" i="2" s="1"/>
  <c r="D290" i="2" s="1"/>
  <c r="D291" i="2" s="1"/>
  <c r="D292" i="2" s="1"/>
  <c r="D293" i="2" s="1"/>
  <c r="D294" i="2" s="1"/>
  <c r="D295" i="2" s="1"/>
  <c r="D296" i="2" s="1"/>
  <c r="D297" i="2" s="1"/>
  <c r="D298" i="2" s="1"/>
  <c r="D299" i="2" s="1"/>
  <c r="D300" i="2" s="1"/>
  <c r="D301" i="2" s="1"/>
  <c r="D302" i="2" s="1"/>
  <c r="D303" i="2" s="1"/>
  <c r="D304" i="2" s="1"/>
  <c r="D305" i="2" s="1"/>
  <c r="D306" i="2" s="1"/>
  <c r="D307" i="2" s="1"/>
  <c r="D308" i="2" s="1"/>
  <c r="D309" i="2" s="1"/>
  <c r="D310" i="2" s="1"/>
  <c r="D311" i="2" s="1"/>
  <c r="D312" i="2" s="1"/>
  <c r="D313" i="2" s="1"/>
  <c r="D314" i="2" s="1"/>
  <c r="D315" i="2" s="1"/>
  <c r="D316" i="2" s="1"/>
  <c r="D317" i="2" s="1"/>
  <c r="D318" i="2" s="1"/>
  <c r="D319" i="2" s="1"/>
  <c r="D320" i="2" s="1"/>
  <c r="D321" i="2" s="1"/>
  <c r="D322" i="2" s="1"/>
  <c r="D323" i="2" s="1"/>
  <c r="D324" i="2" s="1"/>
  <c r="D325" i="2" s="1"/>
  <c r="D326" i="2" s="1"/>
  <c r="D327" i="2" s="1"/>
  <c r="D328" i="2" s="1"/>
  <c r="D329" i="2" s="1"/>
  <c r="D330" i="2" s="1"/>
  <c r="D331" i="2" s="1"/>
  <c r="D332" i="2" s="1"/>
  <c r="D333" i="2" s="1"/>
  <c r="D334" i="2" s="1"/>
  <c r="D335" i="2" s="1"/>
  <c r="D336" i="2" s="1"/>
  <c r="D337" i="2" s="1"/>
  <c r="D338" i="2" s="1"/>
  <c r="D339" i="2" s="1"/>
  <c r="D340" i="2" s="1"/>
  <c r="D341" i="2" s="1"/>
  <c r="D342" i="2" s="1"/>
  <c r="D343" i="2" s="1"/>
  <c r="D344" i="2" s="1"/>
  <c r="D345" i="2" s="1"/>
  <c r="D346" i="2" s="1"/>
  <c r="D347" i="2" s="1"/>
  <c r="D348" i="2" s="1"/>
  <c r="D349" i="2" s="1"/>
  <c r="D350" i="2" s="1"/>
  <c r="D351" i="2" s="1"/>
  <c r="D352" i="2" s="1"/>
  <c r="D353" i="2" s="1"/>
  <c r="D354" i="2" s="1"/>
  <c r="D355" i="2" s="1"/>
  <c r="D356" i="2" s="1"/>
  <c r="D357" i="2" s="1"/>
  <c r="D358" i="2" s="1"/>
  <c r="D359" i="2" s="1"/>
  <c r="D360" i="2" s="1"/>
  <c r="D361" i="2" s="1"/>
  <c r="D362" i="2" s="1"/>
  <c r="D363" i="2" s="1"/>
  <c r="D364" i="2" s="1"/>
  <c r="D365" i="2" s="1"/>
  <c r="D366" i="2" s="1"/>
  <c r="D367" i="2" s="1"/>
  <c r="D368" i="2" s="1"/>
  <c r="D369" i="2" s="1"/>
  <c r="D370" i="2" s="1"/>
  <c r="D371" i="2" s="1"/>
  <c r="D372" i="2" s="1"/>
  <c r="D373" i="2" s="1"/>
  <c r="D374" i="2" s="1"/>
  <c r="D375" i="2" s="1"/>
  <c r="D376" i="2" s="1"/>
  <c r="D377" i="2" s="1"/>
  <c r="D378" i="2" s="1"/>
  <c r="D379" i="2" s="1"/>
  <c r="D380" i="2" s="1"/>
  <c r="D381" i="2" s="1"/>
  <c r="D382" i="2" s="1"/>
  <c r="D383" i="2" s="1"/>
  <c r="D384" i="2" s="1"/>
  <c r="D385" i="2" s="1"/>
  <c r="D386" i="2" s="1"/>
  <c r="D387" i="2" s="1"/>
  <c r="D388" i="2" s="1"/>
  <c r="D389" i="2" s="1"/>
  <c r="D390" i="2" s="1"/>
  <c r="D391" i="2" s="1"/>
  <c r="D392" i="2" s="1"/>
  <c r="D393" i="2" s="1"/>
  <c r="D394" i="2" s="1"/>
  <c r="D395" i="2" s="1"/>
  <c r="D396" i="2" s="1"/>
  <c r="D397" i="2" s="1"/>
  <c r="D398" i="2" s="1"/>
  <c r="D399" i="2" s="1"/>
  <c r="D400" i="2" s="1"/>
  <c r="D401" i="2" s="1"/>
  <c r="D402" i="2" s="1"/>
  <c r="D403" i="2" s="1"/>
  <c r="D404" i="2" s="1"/>
  <c r="D405" i="2" s="1"/>
  <c r="D406" i="2" s="1"/>
  <c r="D407" i="2" s="1"/>
  <c r="D408" i="2" s="1"/>
  <c r="D409" i="2" s="1"/>
  <c r="D410" i="2" s="1"/>
  <c r="D411" i="2" s="1"/>
  <c r="D412" i="2" s="1"/>
  <c r="D413" i="2" s="1"/>
  <c r="D414" i="2" s="1"/>
  <c r="D415" i="2" s="1"/>
  <c r="D416" i="2" s="1"/>
  <c r="D417" i="2" s="1"/>
  <c r="D418" i="2" s="1"/>
  <c r="D419" i="2" s="1"/>
  <c r="D420" i="2" s="1"/>
  <c r="D421" i="2" s="1"/>
  <c r="D422" i="2" s="1"/>
  <c r="D423" i="2" s="1"/>
  <c r="D424" i="2" s="1"/>
  <c r="D425" i="2" s="1"/>
  <c r="D426" i="2" s="1"/>
  <c r="D427" i="2" s="1"/>
  <c r="D428" i="2" s="1"/>
  <c r="D429" i="2" s="1"/>
  <c r="D430" i="2" s="1"/>
  <c r="D431" i="2" s="1"/>
  <c r="D432" i="2" s="1"/>
  <c r="D433" i="2" s="1"/>
  <c r="D434" i="2" s="1"/>
  <c r="D435" i="2" s="1"/>
  <c r="D436" i="2" s="1"/>
  <c r="D437" i="2" s="1"/>
  <c r="D438" i="2" s="1"/>
  <c r="D439" i="2" s="1"/>
  <c r="D440" i="2" s="1"/>
  <c r="D441" i="2" s="1"/>
  <c r="D442" i="2" s="1"/>
  <c r="D443" i="2" s="1"/>
  <c r="D444" i="2" s="1"/>
  <c r="D445" i="2" s="1"/>
  <c r="D446" i="2" s="1"/>
  <c r="D447" i="2" s="1"/>
  <c r="D448" i="2" s="1"/>
  <c r="D449" i="2" s="1"/>
  <c r="D450" i="2" s="1"/>
  <c r="D451" i="2" s="1"/>
  <c r="D452" i="2" s="1"/>
  <c r="D453" i="2" s="1"/>
  <c r="D454" i="2" s="1"/>
  <c r="D455" i="2" s="1"/>
  <c r="D456" i="2" s="1"/>
  <c r="D457" i="2" s="1"/>
  <c r="D458" i="2" s="1"/>
  <c r="D459" i="2" s="1"/>
  <c r="D460" i="2" s="1"/>
  <c r="D461" i="2" s="1"/>
  <c r="D462" i="2" s="1"/>
  <c r="D463" i="2" s="1"/>
  <c r="D464" i="2" s="1"/>
  <c r="D465" i="2" s="1"/>
  <c r="D466" i="2" s="1"/>
  <c r="D467" i="2" s="1"/>
  <c r="D468" i="2" s="1"/>
  <c r="D469" i="2" s="1"/>
  <c r="D470" i="2" s="1"/>
  <c r="D471" i="2" s="1"/>
  <c r="D472" i="2" s="1"/>
  <c r="D473" i="2" s="1"/>
  <c r="D474" i="2" s="1"/>
  <c r="D475" i="2" s="1"/>
  <c r="D476" i="2" s="1"/>
  <c r="D477" i="2" s="1"/>
  <c r="D478" i="2" s="1"/>
  <c r="D479" i="2" s="1"/>
  <c r="D480" i="2" s="1"/>
  <c r="D481" i="2" s="1"/>
  <c r="D482" i="2" s="1"/>
  <c r="D483" i="2" s="1"/>
  <c r="D484" i="2" s="1"/>
  <c r="D485" i="2" s="1"/>
  <c r="D486" i="2" s="1"/>
  <c r="D487" i="2" s="1"/>
  <c r="D488" i="2" s="1"/>
  <c r="D489" i="2" s="1"/>
  <c r="D490" i="2" s="1"/>
  <c r="D491" i="2" s="1"/>
  <c r="D492" i="2" s="1"/>
  <c r="D493" i="2" s="1"/>
  <c r="D494" i="2" s="1"/>
  <c r="D495" i="2" s="1"/>
  <c r="D496" i="2" s="1"/>
  <c r="D497" i="2" s="1"/>
  <c r="D498" i="2" s="1"/>
  <c r="D499" i="2" s="1"/>
  <c r="D500" i="2" s="1"/>
  <c r="D501" i="2" s="1"/>
  <c r="D502" i="2" s="1"/>
  <c r="D503" i="2" s="1"/>
  <c r="D504" i="2" s="1"/>
  <c r="D505" i="2" s="1"/>
  <c r="D506" i="2" s="1"/>
  <c r="D507" i="2" s="1"/>
  <c r="D508" i="2" s="1"/>
  <c r="D509" i="2" s="1"/>
  <c r="D510" i="2" s="1"/>
  <c r="D511" i="2" s="1"/>
  <c r="D512" i="2" s="1"/>
  <c r="D513" i="2" s="1"/>
  <c r="D514" i="2" s="1"/>
  <c r="D515" i="2" s="1"/>
  <c r="D516" i="2" s="1"/>
  <c r="D517" i="2" s="1"/>
  <c r="D518" i="2" s="1"/>
  <c r="D519" i="2" s="1"/>
  <c r="D520" i="2" s="1"/>
  <c r="D521" i="2" s="1"/>
  <c r="D522" i="2" s="1"/>
  <c r="D523" i="2" s="1"/>
  <c r="D524" i="2" s="1"/>
  <c r="D525" i="2" s="1"/>
  <c r="D526" i="2" s="1"/>
  <c r="D527" i="2" s="1"/>
  <c r="D528" i="2" s="1"/>
  <c r="D529" i="2" s="1"/>
  <c r="D530" i="2" s="1"/>
  <c r="D531" i="2" s="1"/>
  <c r="D532" i="2" s="1"/>
  <c r="D533" i="2" s="1"/>
  <c r="D534" i="2" s="1"/>
  <c r="D535" i="2" s="1"/>
  <c r="D536" i="2" s="1"/>
  <c r="D537" i="2" s="1"/>
  <c r="D538" i="2" s="1"/>
  <c r="D539" i="2" s="1"/>
  <c r="D540" i="2" s="1"/>
  <c r="D541" i="2" s="1"/>
  <c r="D542" i="2" s="1"/>
  <c r="D543" i="2" s="1"/>
  <c r="D544" i="2" s="1"/>
  <c r="D545" i="2" s="1"/>
  <c r="D546" i="2" s="1"/>
  <c r="D547" i="2" s="1"/>
  <c r="D548" i="2" s="1"/>
  <c r="D549" i="2" s="1"/>
  <c r="D550" i="2" s="1"/>
  <c r="D551" i="2" s="1"/>
  <c r="D552" i="2" s="1"/>
  <c r="D553" i="2" s="1"/>
  <c r="D554" i="2" s="1"/>
  <c r="D555" i="2" s="1"/>
  <c r="D556" i="2" s="1"/>
  <c r="D557" i="2" s="1"/>
  <c r="D558" i="2" s="1"/>
  <c r="D559" i="2" s="1"/>
  <c r="D560" i="2" s="1"/>
  <c r="D561" i="2" s="1"/>
  <c r="D562" i="2" s="1"/>
  <c r="D563" i="2" s="1"/>
  <c r="D564" i="2" s="1"/>
  <c r="D565" i="2" s="1"/>
  <c r="D566" i="2" s="1"/>
  <c r="D567" i="2" s="1"/>
  <c r="D568" i="2" s="1"/>
  <c r="D569" i="2" s="1"/>
  <c r="D570" i="2" s="1"/>
  <c r="D571" i="2" s="1"/>
  <c r="D572" i="2" s="1"/>
  <c r="D573" i="2" s="1"/>
  <c r="D574" i="2" s="1"/>
  <c r="D575" i="2" s="1"/>
  <c r="D576" i="2" s="1"/>
  <c r="D577" i="2" s="1"/>
  <c r="D578" i="2" s="1"/>
  <c r="D579" i="2" s="1"/>
  <c r="D580" i="2" s="1"/>
  <c r="D581" i="2" s="1"/>
  <c r="D582" i="2" s="1"/>
  <c r="D583" i="2" s="1"/>
  <c r="D584" i="2" s="1"/>
  <c r="D585" i="2" s="1"/>
  <c r="D586" i="2" s="1"/>
  <c r="D587" i="2" s="1"/>
  <c r="D588" i="2" s="1"/>
  <c r="D589" i="2" s="1"/>
  <c r="D590" i="2" s="1"/>
  <c r="D591" i="2" s="1"/>
  <c r="D592" i="2" s="1"/>
  <c r="D593" i="2" s="1"/>
  <c r="D594" i="2" s="1"/>
  <c r="D595" i="2" s="1"/>
  <c r="D596" i="2" s="1"/>
  <c r="D597" i="2" s="1"/>
  <c r="D598" i="2" s="1"/>
  <c r="D599" i="2" s="1"/>
  <c r="D600" i="2" s="1"/>
  <c r="D601" i="2" s="1"/>
  <c r="D602" i="2" s="1"/>
  <c r="D603" i="2" s="1"/>
  <c r="D604" i="2" s="1"/>
  <c r="D605" i="2" s="1"/>
  <c r="D606" i="2" s="1"/>
  <c r="D607" i="2" s="1"/>
  <c r="D608" i="2" s="1"/>
  <c r="D609" i="2" s="1"/>
  <c r="D610" i="2" s="1"/>
  <c r="D611" i="2" s="1"/>
  <c r="D612" i="2" s="1"/>
  <c r="D613" i="2" s="1"/>
  <c r="D614" i="2" s="1"/>
  <c r="D615" i="2" s="1"/>
  <c r="D616" i="2" s="1"/>
  <c r="D617" i="2" s="1"/>
  <c r="D618" i="2" s="1"/>
  <c r="D619" i="2" s="1"/>
  <c r="D620" i="2" s="1"/>
  <c r="D621" i="2" s="1"/>
  <c r="D622" i="2" s="1"/>
  <c r="D623" i="2" s="1"/>
  <c r="D624" i="2" s="1"/>
  <c r="D625" i="2" s="1"/>
  <c r="D626" i="2" s="1"/>
  <c r="D627" i="2" s="1"/>
  <c r="D628" i="2" s="1"/>
  <c r="D629" i="2" s="1"/>
  <c r="D630" i="2" s="1"/>
  <c r="D631" i="2" s="1"/>
  <c r="D632" i="2" s="1"/>
  <c r="D633" i="2" s="1"/>
  <c r="D634" i="2" s="1"/>
  <c r="D635" i="2" s="1"/>
  <c r="D636" i="2" s="1"/>
  <c r="D637" i="2" s="1"/>
  <c r="D638" i="2" s="1"/>
  <c r="D639" i="2" s="1"/>
  <c r="D640" i="2" s="1"/>
  <c r="D641" i="2" s="1"/>
  <c r="D642" i="2" s="1"/>
  <c r="D643" i="2" s="1"/>
  <c r="D644" i="2" s="1"/>
  <c r="D645" i="2" s="1"/>
  <c r="D646" i="2" s="1"/>
  <c r="D647" i="2" s="1"/>
  <c r="D648" i="2" s="1"/>
  <c r="D649" i="2" s="1"/>
  <c r="D650" i="2" s="1"/>
  <c r="D651" i="2" s="1"/>
  <c r="D652" i="2" s="1"/>
  <c r="D653" i="2" s="1"/>
  <c r="D654" i="2" s="1"/>
  <c r="D655" i="2" s="1"/>
  <c r="D656" i="2" s="1"/>
  <c r="D657" i="2" s="1"/>
  <c r="D658" i="2" s="1"/>
  <c r="D659" i="2" s="1"/>
  <c r="D660" i="2" s="1"/>
  <c r="D661" i="2" s="1"/>
  <c r="D662" i="2" s="1"/>
  <c r="D663" i="2" s="1"/>
  <c r="D664" i="2" s="1"/>
  <c r="D665" i="2" s="1"/>
  <c r="D666" i="2" s="1"/>
  <c r="D667" i="2" s="1"/>
  <c r="D668" i="2" s="1"/>
  <c r="D669" i="2" s="1"/>
  <c r="D670" i="2" s="1"/>
  <c r="D671" i="2" s="1"/>
  <c r="D672" i="2" s="1"/>
  <c r="D673" i="2" s="1"/>
  <c r="D674" i="2" s="1"/>
  <c r="D675" i="2" s="1"/>
  <c r="D676" i="2" s="1"/>
  <c r="D677" i="2" s="1"/>
  <c r="D678" i="2" s="1"/>
  <c r="D679" i="2" s="1"/>
  <c r="D680" i="2" s="1"/>
  <c r="D681" i="2" s="1"/>
  <c r="D682" i="2" s="1"/>
  <c r="D683" i="2" s="1"/>
  <c r="D684" i="2" s="1"/>
  <c r="D685" i="2" s="1"/>
  <c r="D686" i="2" s="1"/>
  <c r="D687" i="2" s="1"/>
  <c r="D688" i="2" s="1"/>
  <c r="D689" i="2" s="1"/>
  <c r="D690" i="2" s="1"/>
  <c r="D691" i="2" s="1"/>
  <c r="D692" i="2" s="1"/>
  <c r="D693" i="2" s="1"/>
  <c r="D694" i="2" s="1"/>
  <c r="D695" i="2" s="1"/>
  <c r="D696" i="2" s="1"/>
  <c r="D697" i="2" s="1"/>
  <c r="D698" i="2" s="1"/>
  <c r="D699" i="2" s="1"/>
  <c r="D700" i="2" s="1"/>
  <c r="D701" i="2" s="1"/>
  <c r="D702" i="2" s="1"/>
  <c r="D703" i="2" s="1"/>
  <c r="D704" i="2" s="1"/>
  <c r="D705" i="2" s="1"/>
  <c r="D706" i="2" s="1"/>
  <c r="D707" i="2" s="1"/>
  <c r="D708" i="2" s="1"/>
  <c r="D709" i="2" s="1"/>
  <c r="D710" i="2" s="1"/>
  <c r="D711" i="2" s="1"/>
  <c r="D712" i="2" s="1"/>
  <c r="D713" i="2" s="1"/>
  <c r="D714" i="2" s="1"/>
  <c r="D715" i="2" s="1"/>
  <c r="D716" i="2" s="1"/>
  <c r="D717" i="2" s="1"/>
  <c r="D718" i="2" s="1"/>
  <c r="D719" i="2" s="1"/>
  <c r="D720" i="2" s="1"/>
  <c r="D721" i="2" s="1"/>
  <c r="D722" i="2" s="1"/>
  <c r="D723" i="2" s="1"/>
  <c r="D724" i="2" s="1"/>
  <c r="D725" i="2" s="1"/>
  <c r="D726" i="2" s="1"/>
  <c r="D727" i="2" s="1"/>
  <c r="D728" i="2" s="1"/>
  <c r="D729" i="2" s="1"/>
  <c r="D730" i="2" s="1"/>
  <c r="D731" i="2" s="1"/>
  <c r="D732" i="2" s="1"/>
  <c r="D733" i="2" s="1"/>
  <c r="D734" i="2" s="1"/>
  <c r="D735" i="2" s="1"/>
  <c r="D736" i="2" s="1"/>
  <c r="D737" i="2" s="1"/>
  <c r="D738" i="2" s="1"/>
  <c r="D739" i="2" s="1"/>
  <c r="D740" i="2" s="1"/>
  <c r="D741" i="2" s="1"/>
  <c r="D742" i="2" s="1"/>
  <c r="D743" i="2" s="1"/>
  <c r="D744" i="2" s="1"/>
  <c r="D745" i="2" s="1"/>
  <c r="D746" i="2" s="1"/>
  <c r="D747" i="2" s="1"/>
  <c r="D748" i="2" s="1"/>
  <c r="D749" i="2" s="1"/>
  <c r="D750" i="2" s="1"/>
  <c r="D751" i="2" s="1"/>
  <c r="D752" i="2" s="1"/>
  <c r="D753" i="2" s="1"/>
  <c r="D754" i="2" s="1"/>
  <c r="D755" i="2" s="1"/>
  <c r="D756" i="2" s="1"/>
  <c r="D757" i="2" s="1"/>
  <c r="D758" i="2" s="1"/>
  <c r="D759" i="2" s="1"/>
  <c r="D760" i="2" s="1"/>
  <c r="D761" i="2" s="1"/>
  <c r="D762" i="2" s="1"/>
  <c r="D763" i="2" s="1"/>
  <c r="D764" i="2" s="1"/>
  <c r="D765" i="2" s="1"/>
  <c r="D766" i="2" s="1"/>
  <c r="D767" i="2" s="1"/>
  <c r="D768" i="2" s="1"/>
  <c r="D769" i="2" s="1"/>
  <c r="D770" i="2" s="1"/>
  <c r="D771" i="2" s="1"/>
  <c r="D772" i="2" s="1"/>
  <c r="D773" i="2" s="1"/>
  <c r="D774" i="2" s="1"/>
  <c r="D775" i="2" s="1"/>
  <c r="D776" i="2" s="1"/>
  <c r="D777" i="2" s="1"/>
  <c r="D778" i="2" s="1"/>
  <c r="D779" i="2" s="1"/>
  <c r="D780" i="2" s="1"/>
  <c r="D781" i="2" s="1"/>
  <c r="D782" i="2" s="1"/>
  <c r="D783" i="2" s="1"/>
  <c r="D784" i="2" s="1"/>
  <c r="D785" i="2" s="1"/>
  <c r="D786" i="2" s="1"/>
  <c r="D787" i="2" s="1"/>
  <c r="D788" i="2" s="1"/>
  <c r="D789" i="2" s="1"/>
  <c r="D790" i="2" s="1"/>
  <c r="D791" i="2" s="1"/>
  <c r="D792" i="2" s="1"/>
  <c r="D793" i="2" s="1"/>
  <c r="D794" i="2" s="1"/>
  <c r="D795" i="2" s="1"/>
  <c r="D796" i="2" s="1"/>
  <c r="D797" i="2" s="1"/>
  <c r="D798" i="2" s="1"/>
  <c r="D799" i="2" s="1"/>
  <c r="D800" i="2" s="1"/>
  <c r="D801" i="2" s="1"/>
  <c r="D802" i="2" s="1"/>
  <c r="D803" i="2" s="1"/>
  <c r="D804" i="2" s="1"/>
  <c r="D805" i="2" s="1"/>
  <c r="D806" i="2" s="1"/>
  <c r="D807" i="2" s="1"/>
  <c r="D808" i="2" s="1"/>
  <c r="D809" i="2" s="1"/>
  <c r="D810" i="2" s="1"/>
  <c r="D811" i="2" s="1"/>
  <c r="D812" i="2" s="1"/>
  <c r="D813" i="2" s="1"/>
  <c r="D814" i="2" s="1"/>
  <c r="D815" i="2" s="1"/>
  <c r="D816" i="2" s="1"/>
  <c r="D817" i="2" s="1"/>
  <c r="D818" i="2" s="1"/>
  <c r="D819" i="2" s="1"/>
  <c r="D820" i="2" s="1"/>
  <c r="D821" i="2" s="1"/>
  <c r="D822" i="2" s="1"/>
  <c r="D823" i="2" s="1"/>
  <c r="D824" i="2" s="1"/>
  <c r="D825" i="2" s="1"/>
  <c r="D826" i="2" s="1"/>
  <c r="D827" i="2" s="1"/>
  <c r="D828" i="2" s="1"/>
  <c r="D829" i="2" s="1"/>
  <c r="D830" i="2" s="1"/>
  <c r="D831" i="2" s="1"/>
  <c r="D832" i="2" s="1"/>
  <c r="D833" i="2" s="1"/>
  <c r="D834" i="2" s="1"/>
  <c r="D835" i="2" s="1"/>
  <c r="D836" i="2" s="1"/>
  <c r="D837" i="2" s="1"/>
  <c r="D838" i="2" s="1"/>
  <c r="D839" i="2" s="1"/>
  <c r="D840" i="2" s="1"/>
  <c r="D841" i="2" s="1"/>
  <c r="D842" i="2" s="1"/>
  <c r="D843" i="2" s="1"/>
  <c r="D844" i="2" s="1"/>
  <c r="D845" i="2" s="1"/>
  <c r="D846" i="2" s="1"/>
  <c r="D847" i="2" s="1"/>
  <c r="D848" i="2" s="1"/>
  <c r="D849" i="2" s="1"/>
  <c r="D850" i="2" s="1"/>
  <c r="D851" i="2" s="1"/>
  <c r="D852" i="2" s="1"/>
  <c r="D853" i="2" s="1"/>
  <c r="D854" i="2" s="1"/>
  <c r="D855" i="2" s="1"/>
  <c r="D856" i="2" s="1"/>
  <c r="D857" i="2" s="1"/>
  <c r="D858" i="2" s="1"/>
  <c r="D859" i="2" s="1"/>
  <c r="D860" i="2" s="1"/>
  <c r="D861" i="2" s="1"/>
  <c r="D862" i="2" s="1"/>
  <c r="D863" i="2" s="1"/>
  <c r="D864" i="2" s="1"/>
  <c r="D865" i="2" s="1"/>
  <c r="D866" i="2" s="1"/>
  <c r="D867" i="2" s="1"/>
  <c r="D868" i="2" s="1"/>
  <c r="D869" i="2" s="1"/>
  <c r="D870" i="2" s="1"/>
  <c r="D871" i="2" s="1"/>
  <c r="D872" i="2" s="1"/>
  <c r="D873" i="2" s="1"/>
  <c r="D874" i="2" s="1"/>
  <c r="D875" i="2" s="1"/>
  <c r="D876" i="2" s="1"/>
  <c r="D877" i="2" s="1"/>
  <c r="D878" i="2" s="1"/>
  <c r="D879" i="2" s="1"/>
  <c r="D880" i="2" s="1"/>
  <c r="D881" i="2" s="1"/>
  <c r="D882" i="2" s="1"/>
  <c r="D883" i="2" s="1"/>
  <c r="D884" i="2" s="1"/>
  <c r="D885" i="2" s="1"/>
  <c r="D886" i="2" s="1"/>
  <c r="D887" i="2" s="1"/>
  <c r="D888" i="2" s="1"/>
  <c r="D889" i="2" s="1"/>
  <c r="D890" i="2" s="1"/>
  <c r="D891" i="2" s="1"/>
  <c r="D892" i="2" s="1"/>
  <c r="D893" i="2" s="1"/>
  <c r="D894" i="2" s="1"/>
  <c r="D895" i="2" s="1"/>
  <c r="D896" i="2" s="1"/>
  <c r="D897" i="2" s="1"/>
  <c r="D898" i="2" s="1"/>
  <c r="D899" i="2" s="1"/>
  <c r="D900" i="2" s="1"/>
  <c r="D901" i="2" s="1"/>
  <c r="D902" i="2" s="1"/>
  <c r="D903" i="2" s="1"/>
  <c r="D904" i="2" s="1"/>
  <c r="D905" i="2" s="1"/>
  <c r="D906" i="2" s="1"/>
  <c r="D907" i="2" s="1"/>
  <c r="D908" i="2" s="1"/>
  <c r="D909" i="2" s="1"/>
  <c r="D910" i="2" s="1"/>
  <c r="D911" i="2" s="1"/>
  <c r="D912" i="2" s="1"/>
  <c r="D913" i="2" s="1"/>
  <c r="D914" i="2" s="1"/>
  <c r="D915" i="2" s="1"/>
  <c r="D916" i="2" s="1"/>
  <c r="D917" i="2" s="1"/>
  <c r="D918" i="2" s="1"/>
  <c r="D919" i="2" s="1"/>
  <c r="D920" i="2" s="1"/>
  <c r="D921" i="2" s="1"/>
  <c r="D922" i="2" s="1"/>
  <c r="D923" i="2" s="1"/>
  <c r="D924" i="2" s="1"/>
  <c r="D925" i="2" s="1"/>
  <c r="D926" i="2" s="1"/>
  <c r="D927" i="2" s="1"/>
  <c r="D928" i="2" s="1"/>
  <c r="D929" i="2" s="1"/>
  <c r="D930" i="2" s="1"/>
  <c r="D931" i="2" s="1"/>
  <c r="D932" i="2" s="1"/>
  <c r="D933" i="2" s="1"/>
  <c r="D934" i="2" s="1"/>
  <c r="D935" i="2" s="1"/>
  <c r="D936" i="2" s="1"/>
  <c r="D937" i="2" s="1"/>
  <c r="D938" i="2" s="1"/>
  <c r="D939" i="2" s="1"/>
  <c r="D940" i="2" s="1"/>
  <c r="D941" i="2" s="1"/>
  <c r="D942" i="2" s="1"/>
  <c r="D943" i="2" s="1"/>
  <c r="D944" i="2" s="1"/>
  <c r="D945" i="2" s="1"/>
  <c r="D946" i="2" s="1"/>
  <c r="D947" i="2" s="1"/>
  <c r="D948" i="2" s="1"/>
  <c r="D949" i="2" s="1"/>
  <c r="D950" i="2" s="1"/>
  <c r="D951" i="2" s="1"/>
  <c r="D952" i="2" s="1"/>
  <c r="D953" i="2" s="1"/>
  <c r="D954" i="2" s="1"/>
  <c r="D955" i="2" s="1"/>
  <c r="D956" i="2" s="1"/>
  <c r="D957" i="2" s="1"/>
  <c r="D958" i="2" s="1"/>
  <c r="D959" i="2" s="1"/>
  <c r="D960" i="2" s="1"/>
  <c r="D961" i="2" s="1"/>
  <c r="D962" i="2" s="1"/>
  <c r="D963" i="2" s="1"/>
  <c r="D964" i="2" s="1"/>
  <c r="D965" i="2" s="1"/>
  <c r="D966" i="2" s="1"/>
  <c r="D967" i="2" s="1"/>
  <c r="D968" i="2" s="1"/>
  <c r="D969" i="2" s="1"/>
  <c r="D970" i="2" s="1"/>
  <c r="D971" i="2" s="1"/>
  <c r="D972" i="2" s="1"/>
  <c r="D973" i="2" s="1"/>
  <c r="D974" i="2" s="1"/>
  <c r="D975" i="2" s="1"/>
  <c r="D976" i="2" s="1"/>
  <c r="D977" i="2" s="1"/>
  <c r="D978" i="2" s="1"/>
  <c r="D979" i="2" s="1"/>
  <c r="D980" i="2" s="1"/>
  <c r="D981" i="2" s="1"/>
  <c r="D982" i="2" s="1"/>
  <c r="D983" i="2" s="1"/>
  <c r="D984" i="2" s="1"/>
  <c r="D985" i="2" s="1"/>
  <c r="D986" i="2" s="1"/>
  <c r="D987" i="2" s="1"/>
  <c r="D988" i="2" s="1"/>
  <c r="D989" i="2" s="1"/>
  <c r="D990" i="2" s="1"/>
  <c r="D991" i="2" s="1"/>
  <c r="D992" i="2" s="1"/>
  <c r="D993" i="2" s="1"/>
  <c r="D994" i="2" s="1"/>
  <c r="D995" i="2" s="1"/>
  <c r="D996" i="2" s="1"/>
  <c r="D997" i="2" s="1"/>
  <c r="D998" i="2" s="1"/>
  <c r="D999" i="2" s="1"/>
  <c r="D1000" i="2" s="1"/>
  <c r="D1001" i="2" s="1"/>
  <c r="D1002" i="2" s="1"/>
  <c r="D1003" i="2" s="1"/>
  <c r="D1004" i="2" s="1"/>
  <c r="D1005" i="2" s="1"/>
  <c r="D1006" i="2" s="1"/>
  <c r="D1007" i="2" s="1"/>
  <c r="D1008" i="2" s="1"/>
  <c r="D1009" i="2" s="1"/>
  <c r="D1010" i="2" s="1"/>
  <c r="D1011" i="2" s="1"/>
  <c r="D1012" i="2" s="1"/>
  <c r="D1013" i="2" s="1"/>
  <c r="D1014" i="2" s="1"/>
  <c r="D1015" i="2" s="1"/>
  <c r="D1016" i="2" s="1"/>
  <c r="D1017" i="2" s="1"/>
  <c r="D1018" i="2" s="1"/>
  <c r="D1019" i="2" s="1"/>
  <c r="D1020" i="2" s="1"/>
  <c r="D1021" i="2" s="1"/>
  <c r="D1022" i="2" s="1"/>
  <c r="D1023" i="2" s="1"/>
  <c r="D1024" i="2" s="1"/>
  <c r="D1025" i="2" s="1"/>
  <c r="D1026" i="2" s="1"/>
  <c r="D1027" i="2" s="1"/>
  <c r="D1028" i="2" s="1"/>
  <c r="D1029" i="2" s="1"/>
  <c r="D1030" i="2" s="1"/>
  <c r="D1031" i="2" s="1"/>
  <c r="D1032" i="2" s="1"/>
  <c r="D1033" i="2" s="1"/>
  <c r="D1034" i="2" s="1"/>
  <c r="D1035" i="2" s="1"/>
  <c r="D1036" i="2" s="1"/>
  <c r="D1037" i="2" s="1"/>
  <c r="D1038" i="2" s="1"/>
  <c r="D1039" i="2" s="1"/>
  <c r="D1040" i="2" s="1"/>
  <c r="D1041" i="2" s="1"/>
  <c r="D1042" i="2" s="1"/>
  <c r="D1043" i="2" s="1"/>
  <c r="D1044" i="2" s="1"/>
  <c r="D1045" i="2" s="1"/>
  <c r="D1046" i="2" s="1"/>
  <c r="D1047" i="2" s="1"/>
  <c r="D1048" i="2" s="1"/>
  <c r="D1049" i="2" s="1"/>
  <c r="D1050" i="2" s="1"/>
  <c r="D1051" i="2" s="1"/>
  <c r="D1052" i="2" s="1"/>
  <c r="D1053" i="2" s="1"/>
  <c r="D1054" i="2" s="1"/>
  <c r="D1055" i="2" s="1"/>
  <c r="D1056" i="2" s="1"/>
  <c r="D1057" i="2" s="1"/>
  <c r="D1058" i="2" s="1"/>
  <c r="D1059" i="2" s="1"/>
  <c r="D1060" i="2" s="1"/>
  <c r="D1061" i="2" s="1"/>
  <c r="D1062" i="2" s="1"/>
  <c r="D1063" i="2" s="1"/>
  <c r="D1064" i="2" s="1"/>
  <c r="D1065" i="2" s="1"/>
  <c r="D1066" i="2" s="1"/>
  <c r="D1067" i="2" s="1"/>
  <c r="D1068" i="2" s="1"/>
  <c r="D1069" i="2" s="1"/>
  <c r="D1070" i="2" s="1"/>
  <c r="D1071" i="2" s="1"/>
  <c r="D1072" i="2" s="1"/>
  <c r="D1073" i="2" s="1"/>
  <c r="D1074" i="2" s="1"/>
  <c r="D1075" i="2" s="1"/>
  <c r="D1076" i="2" s="1"/>
  <c r="D1077" i="2" s="1"/>
  <c r="D1078" i="2" s="1"/>
  <c r="D1079" i="2" s="1"/>
  <c r="D1080" i="2" s="1"/>
  <c r="D1081" i="2" s="1"/>
  <c r="D1082" i="2" s="1"/>
  <c r="D1083" i="2" s="1"/>
  <c r="D1084" i="2" s="1"/>
  <c r="D1085" i="2" s="1"/>
  <c r="D1086" i="2" s="1"/>
  <c r="D1087" i="2" s="1"/>
  <c r="D1088" i="2" s="1"/>
  <c r="D1089" i="2" s="1"/>
  <c r="D1090" i="2" s="1"/>
  <c r="D1091" i="2" s="1"/>
  <c r="D1092" i="2" s="1"/>
  <c r="D1093" i="2" s="1"/>
  <c r="D1094" i="2" s="1"/>
  <c r="D1095" i="2" s="1"/>
  <c r="D1096" i="2" s="1"/>
  <c r="D1097" i="2" s="1"/>
  <c r="D1098" i="2" s="1"/>
  <c r="D1099" i="2" s="1"/>
  <c r="D1100" i="2" s="1"/>
  <c r="D1101" i="2" s="1"/>
  <c r="D1102" i="2" s="1"/>
  <c r="D1103" i="2" s="1"/>
  <c r="D1104" i="2" s="1"/>
  <c r="D1105" i="2" s="1"/>
  <c r="D1106" i="2" s="1"/>
  <c r="D1107" i="2" s="1"/>
  <c r="D1108" i="2" s="1"/>
  <c r="D1109" i="2" s="1"/>
  <c r="D1110" i="2" s="1"/>
  <c r="D1111" i="2" s="1"/>
  <c r="D1112" i="2" s="1"/>
  <c r="D1113" i="2" s="1"/>
  <c r="D1114" i="2" s="1"/>
  <c r="D1115" i="2" s="1"/>
  <c r="D1116" i="2" s="1"/>
  <c r="D1117" i="2" s="1"/>
  <c r="D1118" i="2" s="1"/>
  <c r="D1119" i="2" s="1"/>
  <c r="D1120" i="2" s="1"/>
  <c r="D1121" i="2" s="1"/>
  <c r="D1122" i="2" s="1"/>
  <c r="D1123" i="2" s="1"/>
  <c r="D1124" i="2" s="1"/>
  <c r="D1125" i="2" s="1"/>
  <c r="D1126" i="2" s="1"/>
  <c r="D1127" i="2" s="1"/>
  <c r="D1128" i="2" s="1"/>
  <c r="D1129" i="2" s="1"/>
  <c r="D1130" i="2" s="1"/>
  <c r="D1131" i="2" s="1"/>
  <c r="D1132" i="2" s="1"/>
  <c r="D1133" i="2" s="1"/>
  <c r="D1134" i="2" s="1"/>
  <c r="D1135" i="2" s="1"/>
  <c r="D1136" i="2" s="1"/>
  <c r="D1137" i="2" s="1"/>
  <c r="D1138" i="2" s="1"/>
  <c r="D1139" i="2" s="1"/>
  <c r="D1140" i="2" s="1"/>
  <c r="D1141" i="2" s="1"/>
  <c r="D1142" i="2" s="1"/>
  <c r="D1143" i="2" s="1"/>
  <c r="D1144" i="2" s="1"/>
  <c r="D1145" i="2" s="1"/>
  <c r="D1146" i="2" s="1"/>
  <c r="D1147" i="2" s="1"/>
  <c r="D1148" i="2" s="1"/>
  <c r="D1149" i="2" s="1"/>
  <c r="D1150" i="2" s="1"/>
  <c r="D1151" i="2" s="1"/>
  <c r="D1152" i="2" s="1"/>
  <c r="D1153" i="2" s="1"/>
  <c r="D1154" i="2" s="1"/>
  <c r="D1155" i="2" s="1"/>
  <c r="D1156" i="2" s="1"/>
  <c r="D1157" i="2" s="1"/>
  <c r="D1158" i="2" s="1"/>
  <c r="D1159" i="2" s="1"/>
  <c r="D1160" i="2" s="1"/>
  <c r="D1161" i="2" s="1"/>
  <c r="D1162" i="2" s="1"/>
  <c r="D1163" i="2" s="1"/>
  <c r="D1164" i="2" s="1"/>
  <c r="D1165" i="2" s="1"/>
  <c r="D1166" i="2" s="1"/>
  <c r="D1167" i="2" s="1"/>
  <c r="D1168" i="2" s="1"/>
  <c r="D1169" i="2" s="1"/>
  <c r="D1170" i="2" s="1"/>
  <c r="D1171" i="2" s="1"/>
  <c r="D1172" i="2" s="1"/>
  <c r="D1173" i="2" s="1"/>
  <c r="D1174" i="2" s="1"/>
  <c r="D1175" i="2" s="1"/>
  <c r="D1176" i="2" s="1"/>
  <c r="D1177" i="2" s="1"/>
  <c r="D1178" i="2" s="1"/>
  <c r="D1179" i="2" s="1"/>
  <c r="D1180" i="2" s="1"/>
  <c r="D1181" i="2" s="1"/>
  <c r="D1182" i="2" s="1"/>
  <c r="D1183" i="2" s="1"/>
  <c r="D1184" i="2" s="1"/>
  <c r="D1185" i="2" s="1"/>
  <c r="D1186" i="2" s="1"/>
  <c r="D1187" i="2" s="1"/>
  <c r="D1188" i="2" s="1"/>
  <c r="D1189" i="2" s="1"/>
  <c r="D1190" i="2" s="1"/>
  <c r="D1191" i="2" s="1"/>
  <c r="D1192" i="2" s="1"/>
  <c r="D1193" i="2" s="1"/>
  <c r="D1194" i="2" s="1"/>
  <c r="D1195" i="2" s="1"/>
  <c r="D1196" i="2" s="1"/>
  <c r="D1197" i="2" s="1"/>
  <c r="D1198" i="2" s="1"/>
  <c r="D1199" i="2" s="1"/>
  <c r="D1200" i="2" s="1"/>
  <c r="D1201" i="2" s="1"/>
  <c r="D1202" i="2" s="1"/>
  <c r="D1203" i="2" s="1"/>
  <c r="D1204" i="2" s="1"/>
  <c r="D1205" i="2" s="1"/>
  <c r="D1206" i="2" s="1"/>
  <c r="D1207" i="2" s="1"/>
  <c r="D1208" i="2" s="1"/>
  <c r="D1209" i="2" s="1"/>
  <c r="D1210" i="2" s="1"/>
  <c r="D1211" i="2" s="1"/>
  <c r="D1212" i="2" s="1"/>
  <c r="D1213" i="2" s="1"/>
  <c r="D1214" i="2" s="1"/>
  <c r="D1215" i="2" s="1"/>
  <c r="D1216" i="2" s="1"/>
  <c r="D1217" i="2" s="1"/>
  <c r="D1218" i="2" s="1"/>
  <c r="D1219" i="2" s="1"/>
  <c r="D1220" i="2" s="1"/>
  <c r="D1221" i="2" s="1"/>
  <c r="D1222" i="2" s="1"/>
  <c r="D1223" i="2" s="1"/>
  <c r="D1224" i="2" s="1"/>
  <c r="D1225" i="2" s="1"/>
  <c r="D1226" i="2" s="1"/>
  <c r="D1227" i="2" s="1"/>
  <c r="D1228" i="2" s="1"/>
  <c r="D1229" i="2" s="1"/>
  <c r="D1230" i="2" s="1"/>
  <c r="D1231" i="2" s="1"/>
  <c r="D1232" i="2" s="1"/>
  <c r="D1233" i="2" s="1"/>
  <c r="D1234" i="2" s="1"/>
  <c r="D1235" i="2" s="1"/>
  <c r="D1236" i="2" s="1"/>
  <c r="D1237" i="2" s="1"/>
  <c r="D1238" i="2" s="1"/>
  <c r="D1239" i="2" s="1"/>
  <c r="D1240" i="2" s="1"/>
  <c r="D1241" i="2" s="1"/>
  <c r="D1242" i="2" s="1"/>
  <c r="D1243" i="2" s="1"/>
  <c r="D1244" i="2" s="1"/>
  <c r="D1245" i="2" s="1"/>
  <c r="D1246" i="2" s="1"/>
  <c r="D1247" i="2" s="1"/>
  <c r="D1248" i="2" s="1"/>
  <c r="D1249" i="2" s="1"/>
  <c r="D1250" i="2" s="1"/>
  <c r="D1251" i="2" s="1"/>
  <c r="D1252" i="2" s="1"/>
  <c r="D1253" i="2" s="1"/>
  <c r="D1254" i="2" s="1"/>
  <c r="D1255" i="2" s="1"/>
  <c r="D1256" i="2" s="1"/>
  <c r="D1257" i="2" s="1"/>
  <c r="D1258" i="2" s="1"/>
  <c r="D1259" i="2" s="1"/>
  <c r="D1260" i="2" s="1"/>
  <c r="D1261" i="2" s="1"/>
  <c r="D1262" i="2" s="1"/>
  <c r="D1263" i="2" s="1"/>
  <c r="D1264" i="2" s="1"/>
  <c r="D1265" i="2" s="1"/>
  <c r="D1266" i="2" s="1"/>
  <c r="D1267" i="2" s="1"/>
  <c r="D1268" i="2" s="1"/>
  <c r="D1269" i="2" s="1"/>
  <c r="D1270" i="2" s="1"/>
  <c r="D1271" i="2" s="1"/>
  <c r="D1272" i="2" s="1"/>
  <c r="D1273" i="2" s="1"/>
  <c r="D1274" i="2" s="1"/>
  <c r="D1275" i="2" s="1"/>
  <c r="D1276" i="2" s="1"/>
  <c r="D1277" i="2" s="1"/>
  <c r="D1278" i="2" s="1"/>
  <c r="D1279" i="2" s="1"/>
  <c r="D1280" i="2" s="1"/>
  <c r="D1281" i="2" s="1"/>
  <c r="D1282" i="2" s="1"/>
  <c r="D1283" i="2" s="1"/>
  <c r="D1284" i="2" s="1"/>
  <c r="D1285" i="2" s="1"/>
  <c r="D1286" i="2" s="1"/>
  <c r="D1287" i="2" s="1"/>
  <c r="D1288" i="2" s="1"/>
  <c r="D1289" i="2" s="1"/>
  <c r="D1290" i="2" s="1"/>
  <c r="D1291" i="2" s="1"/>
  <c r="D1292" i="2" s="1"/>
  <c r="D1293" i="2" s="1"/>
  <c r="D1294" i="2" s="1"/>
  <c r="D1295" i="2" s="1"/>
  <c r="D1296" i="2" s="1"/>
  <c r="D1297" i="2" s="1"/>
  <c r="D1298" i="2" s="1"/>
  <c r="D1299" i="2" s="1"/>
  <c r="D1300" i="2" s="1"/>
  <c r="D1301" i="2" s="1"/>
  <c r="D1302" i="2" s="1"/>
  <c r="D1303" i="2" s="1"/>
  <c r="D1304" i="2" s="1"/>
  <c r="D1305" i="2" s="1"/>
  <c r="D1306" i="2" s="1"/>
  <c r="D1307" i="2" s="1"/>
  <c r="D1308" i="2" s="1"/>
  <c r="D1309" i="2" s="1"/>
  <c r="D1310" i="2" s="1"/>
  <c r="D1311" i="2" s="1"/>
  <c r="D1312" i="2" s="1"/>
  <c r="D1313" i="2" s="1"/>
  <c r="D1314" i="2" s="1"/>
  <c r="D1315" i="2" s="1"/>
  <c r="D1316" i="2" s="1"/>
  <c r="D1317" i="2" s="1"/>
  <c r="D1318" i="2" s="1"/>
  <c r="D1319" i="2" s="1"/>
  <c r="D1320" i="2" s="1"/>
  <c r="D1321" i="2" s="1"/>
  <c r="D1322" i="2" s="1"/>
  <c r="D1323" i="2" s="1"/>
  <c r="D1324" i="2" s="1"/>
  <c r="D1325" i="2" s="1"/>
  <c r="D1326" i="2" s="1"/>
  <c r="D1327" i="2" s="1"/>
  <c r="D1328" i="2" s="1"/>
  <c r="D1329" i="2" s="1"/>
  <c r="D1330" i="2" s="1"/>
  <c r="D1331" i="2" s="1"/>
  <c r="D1332" i="2" s="1"/>
  <c r="D1333" i="2" s="1"/>
  <c r="D1334" i="2" s="1"/>
  <c r="D1335" i="2" s="1"/>
  <c r="D1336" i="2" s="1"/>
  <c r="D1337" i="2" s="1"/>
  <c r="D1338" i="2" s="1"/>
  <c r="D1339" i="2" s="1"/>
  <c r="D1340" i="2" s="1"/>
  <c r="D1341" i="2" s="1"/>
  <c r="D1342" i="2" s="1"/>
  <c r="D1343" i="2" s="1"/>
  <c r="D1344" i="2" s="1"/>
  <c r="D1345" i="2" s="1"/>
  <c r="D1346" i="2" s="1"/>
  <c r="D1347" i="2" s="1"/>
  <c r="D1348" i="2" s="1"/>
  <c r="D1349" i="2" s="1"/>
  <c r="D1350" i="2" s="1"/>
  <c r="D1351" i="2" s="1"/>
  <c r="D1352" i="2" s="1"/>
  <c r="D1353" i="2" s="1"/>
  <c r="D1354" i="2" s="1"/>
  <c r="D1355" i="2" s="1"/>
  <c r="D1356" i="2" s="1"/>
  <c r="D1357" i="2" s="1"/>
  <c r="D1358" i="2" s="1"/>
  <c r="D1359" i="2" s="1"/>
  <c r="D1360" i="2" s="1"/>
  <c r="D1361" i="2" s="1"/>
  <c r="D1362" i="2" s="1"/>
  <c r="D1363" i="2" s="1"/>
  <c r="D1364" i="2" s="1"/>
  <c r="D1365" i="2" s="1"/>
  <c r="D1366" i="2" s="1"/>
  <c r="D1367" i="2" s="1"/>
  <c r="D1368" i="2" s="1"/>
  <c r="D1369" i="2" s="1"/>
  <c r="D1370" i="2" s="1"/>
  <c r="D1371" i="2" s="1"/>
  <c r="D1372" i="2" s="1"/>
  <c r="D1373" i="2" s="1"/>
  <c r="D1374" i="2" s="1"/>
  <c r="D1375" i="2" s="1"/>
  <c r="D1376" i="2" s="1"/>
  <c r="D1377" i="2" s="1"/>
  <c r="D1378" i="2" s="1"/>
  <c r="D1379" i="2" s="1"/>
  <c r="D1380" i="2" s="1"/>
  <c r="D1381" i="2" s="1"/>
  <c r="D1382" i="2" s="1"/>
  <c r="D1383" i="2" s="1"/>
  <c r="D1384" i="2" s="1"/>
  <c r="D1385" i="2" s="1"/>
  <c r="D1386" i="2" s="1"/>
  <c r="D1387" i="2" s="1"/>
  <c r="D1388" i="2" s="1"/>
  <c r="D1389" i="2" s="1"/>
  <c r="D1390" i="2" s="1"/>
  <c r="D1391" i="2" s="1"/>
  <c r="D1392" i="2" s="1"/>
  <c r="D1393" i="2" s="1"/>
  <c r="D1394" i="2" s="1"/>
  <c r="D1395" i="2" s="1"/>
  <c r="D1396" i="2" s="1"/>
  <c r="D1397" i="2" s="1"/>
  <c r="D1398" i="2" s="1"/>
  <c r="D1399" i="2" s="1"/>
  <c r="D1400" i="2" s="1"/>
  <c r="D1401" i="2" s="1"/>
  <c r="D1402" i="2" s="1"/>
  <c r="D1403" i="2" s="1"/>
  <c r="D1404" i="2" s="1"/>
  <c r="D1405" i="2" s="1"/>
  <c r="D1406" i="2" s="1"/>
  <c r="D1407" i="2" s="1"/>
  <c r="D1408" i="2" s="1"/>
  <c r="D1409" i="2" s="1"/>
  <c r="D1410" i="2" s="1"/>
  <c r="D1411" i="2" s="1"/>
  <c r="D1412" i="2" s="1"/>
  <c r="D1413" i="2" s="1"/>
  <c r="D1414" i="2" s="1"/>
  <c r="D1415" i="2" s="1"/>
  <c r="D1416" i="2" s="1"/>
  <c r="D1417" i="2" s="1"/>
  <c r="D1418" i="2" s="1"/>
  <c r="D1419" i="2" s="1"/>
  <c r="D1420" i="2" s="1"/>
  <c r="D1421" i="2" s="1"/>
  <c r="D1422" i="2" s="1"/>
  <c r="D1423" i="2" s="1"/>
  <c r="D1424" i="2" s="1"/>
  <c r="D1425" i="2" s="1"/>
  <c r="D1426" i="2" s="1"/>
  <c r="D1427" i="2" s="1"/>
  <c r="D1428" i="2" s="1"/>
  <c r="D1429" i="2" s="1"/>
  <c r="D1430" i="2" s="1"/>
  <c r="D1431" i="2" s="1"/>
  <c r="D1432" i="2" s="1"/>
  <c r="D1433" i="2" s="1"/>
  <c r="D1434" i="2" s="1"/>
  <c r="D1435" i="2" s="1"/>
  <c r="D1436" i="2" s="1"/>
  <c r="D1437" i="2" s="1"/>
  <c r="D1438" i="2" s="1"/>
  <c r="D1439" i="2" s="1"/>
  <c r="D1440" i="2" s="1"/>
  <c r="D1441" i="2" s="1"/>
  <c r="D1442" i="2" s="1"/>
  <c r="D1443" i="2" s="1"/>
  <c r="D1444" i="2" s="1"/>
  <c r="D1445" i="2" s="1"/>
  <c r="D1446" i="2" s="1"/>
  <c r="D1447" i="2" s="1"/>
  <c r="D1448" i="2" s="1"/>
  <c r="D1449" i="2" s="1"/>
  <c r="D1450" i="2" s="1"/>
  <c r="D1451" i="2" s="1"/>
  <c r="D1452" i="2" s="1"/>
  <c r="D1453" i="2" s="1"/>
  <c r="D1454" i="2" s="1"/>
  <c r="D1455" i="2" s="1"/>
  <c r="D1456" i="2" s="1"/>
  <c r="D1457" i="2" s="1"/>
  <c r="D1458" i="2" s="1"/>
  <c r="D1459" i="2" s="1"/>
  <c r="D1460" i="2" s="1"/>
  <c r="D1461" i="2" s="1"/>
  <c r="D1462" i="2" s="1"/>
  <c r="D1463" i="2" s="1"/>
  <c r="D1464" i="2" s="1"/>
  <c r="D1465" i="2" s="1"/>
  <c r="D1466" i="2" s="1"/>
  <c r="D1467" i="2" s="1"/>
  <c r="D1468" i="2" s="1"/>
  <c r="D1469" i="2" s="1"/>
  <c r="D1470" i="2" s="1"/>
  <c r="D1471" i="2" s="1"/>
  <c r="D1472" i="2" s="1"/>
  <c r="D1473" i="2" s="1"/>
  <c r="D1474" i="2" s="1"/>
  <c r="D1475" i="2" s="1"/>
  <c r="D1476" i="2" s="1"/>
  <c r="D1477" i="2" s="1"/>
  <c r="D1478" i="2" s="1"/>
  <c r="D1479" i="2" s="1"/>
  <c r="D1480" i="2" s="1"/>
  <c r="D1481" i="2" s="1"/>
  <c r="D1482" i="2" s="1"/>
  <c r="D1483" i="2" s="1"/>
  <c r="D1484" i="2" s="1"/>
  <c r="D1485" i="2" s="1"/>
  <c r="D1486" i="2" s="1"/>
  <c r="D1487" i="2" s="1"/>
  <c r="D1488" i="2" s="1"/>
  <c r="D1489" i="2" s="1"/>
  <c r="D1490" i="2" s="1"/>
  <c r="D1491" i="2" s="1"/>
  <c r="D1492" i="2" s="1"/>
  <c r="D1493" i="2" s="1"/>
  <c r="D1494" i="2" s="1"/>
  <c r="D1495" i="2" s="1"/>
  <c r="D1496" i="2" s="1"/>
  <c r="D1497" i="2" s="1"/>
  <c r="D1498" i="2" s="1"/>
  <c r="D1499" i="2" s="1"/>
  <c r="D1500" i="2" s="1"/>
  <c r="D1501" i="2" s="1"/>
  <c r="D1502" i="2" s="1"/>
  <c r="D1503" i="2" s="1"/>
  <c r="D1504" i="2" s="1"/>
  <c r="D1505" i="2" s="1"/>
  <c r="D1506" i="2" s="1"/>
  <c r="D1507" i="2" s="1"/>
  <c r="D1508" i="2" s="1"/>
  <c r="D1509" i="2" s="1"/>
  <c r="D1510" i="2" s="1"/>
  <c r="D1511" i="2" s="1"/>
  <c r="D1512" i="2" s="1"/>
  <c r="D1513" i="2" s="1"/>
  <c r="D1514" i="2" s="1"/>
  <c r="D1515" i="2" s="1"/>
  <c r="D1516" i="2" s="1"/>
  <c r="D1517" i="2" s="1"/>
  <c r="D1518" i="2" s="1"/>
  <c r="D1519" i="2" s="1"/>
  <c r="D1520" i="2" s="1"/>
  <c r="D1521" i="2" s="1"/>
  <c r="D1522" i="2" s="1"/>
  <c r="D1523" i="2" s="1"/>
  <c r="D1524" i="2" s="1"/>
  <c r="D1525" i="2" s="1"/>
  <c r="D1526" i="2" s="1"/>
  <c r="D1527" i="2" s="1"/>
  <c r="D1528" i="2" s="1"/>
  <c r="D1529" i="2" s="1"/>
  <c r="D1530" i="2" s="1"/>
  <c r="D1531" i="2" s="1"/>
  <c r="D1532" i="2" s="1"/>
  <c r="D1533" i="2" s="1"/>
  <c r="D1534" i="2" s="1"/>
  <c r="D1535" i="2" s="1"/>
  <c r="D1536" i="2" s="1"/>
  <c r="D1537" i="2" s="1"/>
  <c r="D1538" i="2" s="1"/>
  <c r="D1539" i="2" s="1"/>
  <c r="D1540" i="2" s="1"/>
  <c r="D1541" i="2" s="1"/>
  <c r="D1542" i="2" s="1"/>
  <c r="D1543" i="2" s="1"/>
  <c r="D1544" i="2" s="1"/>
  <c r="D1545" i="2" s="1"/>
  <c r="D1546" i="2" s="1"/>
  <c r="D1547" i="2" s="1"/>
  <c r="D1548" i="2" s="1"/>
  <c r="D1549" i="2" s="1"/>
  <c r="D1550" i="2" s="1"/>
  <c r="D1551" i="2" s="1"/>
  <c r="D1552" i="2" s="1"/>
  <c r="D1553" i="2" s="1"/>
  <c r="D1554" i="2" s="1"/>
  <c r="D1555" i="2" s="1"/>
  <c r="D1556" i="2" s="1"/>
  <c r="D1557" i="2" s="1"/>
  <c r="D1558" i="2" s="1"/>
  <c r="D1559" i="2" s="1"/>
  <c r="D1560" i="2" s="1"/>
  <c r="D1561" i="2" s="1"/>
  <c r="D1562" i="2" s="1"/>
  <c r="D1563" i="2" s="1"/>
  <c r="D1564" i="2" s="1"/>
  <c r="D1565" i="2" s="1"/>
  <c r="D1566" i="2" s="1"/>
  <c r="D1567" i="2" s="1"/>
  <c r="D1568" i="2" s="1"/>
  <c r="D1569" i="2" s="1"/>
  <c r="D1570" i="2" s="1"/>
  <c r="D1571" i="2" s="1"/>
  <c r="D1572" i="2" s="1"/>
  <c r="D1573" i="2" s="1"/>
  <c r="D1574" i="2" s="1"/>
  <c r="D1575" i="2" s="1"/>
  <c r="D1576" i="2" s="1"/>
  <c r="D1577" i="2" s="1"/>
  <c r="D1578" i="2" s="1"/>
  <c r="D1579" i="2" s="1"/>
  <c r="D1580" i="2" s="1"/>
  <c r="D1581" i="2" s="1"/>
  <c r="D1582" i="2" s="1"/>
  <c r="D1583" i="2" s="1"/>
  <c r="D1584" i="2" s="1"/>
  <c r="D1585" i="2" s="1"/>
  <c r="D1586" i="2" s="1"/>
  <c r="D1587" i="2" s="1"/>
  <c r="D1588" i="2" s="1"/>
  <c r="D1589" i="2" s="1"/>
  <c r="D1590" i="2" s="1"/>
  <c r="D1591" i="2" s="1"/>
  <c r="D1592" i="2" s="1"/>
  <c r="D1593" i="2" s="1"/>
  <c r="E1593" i="2" s="1"/>
  <c r="B40" i="1"/>
  <c r="E23" i="1"/>
  <c r="E25" i="1"/>
  <c r="G23" i="1"/>
  <c r="G8" i="1"/>
  <c r="C25" i="1"/>
  <c r="C24" i="1"/>
  <c r="E24" i="1" s="1"/>
  <c r="C23" i="1"/>
  <c r="D3" i="1"/>
  <c r="G19" i="1"/>
  <c r="G9" i="1"/>
  <c r="G10" i="1"/>
  <c r="G11" i="1"/>
  <c r="G12" i="1"/>
  <c r="G13" i="1"/>
  <c r="G14" i="1"/>
  <c r="G15" i="1"/>
  <c r="G16" i="1"/>
  <c r="G17" i="1"/>
  <c r="G18" i="1"/>
  <c r="G20" i="1"/>
  <c r="B6" i="5" l="1"/>
  <c r="C1593" i="2"/>
  <c r="E1592" i="2"/>
  <c r="B12" i="5" l="1"/>
  <c r="B7" i="5"/>
  <c r="C1592" i="2"/>
  <c r="E1591" i="2"/>
  <c r="B8" i="5" l="1"/>
  <c r="C1591" i="2"/>
  <c r="E1590" i="2"/>
  <c r="B13" i="5" l="1"/>
  <c r="B9" i="5"/>
  <c r="C1590" i="2"/>
  <c r="E1589" i="2"/>
  <c r="B10" i="5" l="1"/>
  <c r="C1589" i="2"/>
  <c r="E1588" i="2"/>
  <c r="B14" i="5" l="1"/>
  <c r="B11" i="5"/>
  <c r="B15" i="5" s="1"/>
  <c r="B16" i="5" s="1"/>
  <c r="C1588" i="2"/>
  <c r="E1587" i="2"/>
  <c r="C1587" i="2" l="1"/>
  <c r="E1586" i="2"/>
  <c r="C1586" i="2" l="1"/>
  <c r="E1585" i="2"/>
  <c r="C1585" i="2" l="1"/>
  <c r="E1584" i="2"/>
  <c r="C1584" i="2" l="1"/>
  <c r="E1583" i="2"/>
  <c r="C1583" i="2" l="1"/>
  <c r="E1582" i="2"/>
  <c r="C1582" i="2" l="1"/>
  <c r="E1581" i="2"/>
  <c r="C1581" i="2" l="1"/>
  <c r="E1580" i="2"/>
  <c r="C1580" i="2" l="1"/>
  <c r="E1579" i="2"/>
  <c r="C1579" i="2" l="1"/>
  <c r="E1578" i="2"/>
  <c r="C1578" i="2" l="1"/>
  <c r="E1577" i="2"/>
  <c r="C1577" i="2" l="1"/>
  <c r="E1576" i="2"/>
  <c r="C1576" i="2" l="1"/>
  <c r="E1575" i="2"/>
  <c r="C1575" i="2" l="1"/>
  <c r="E1574" i="2"/>
  <c r="C1574" i="2" l="1"/>
  <c r="E1573" i="2"/>
  <c r="C1573" i="2" l="1"/>
  <c r="E1572" i="2"/>
  <c r="C1572" i="2" l="1"/>
  <c r="E1571" i="2"/>
  <c r="C1571" i="2" l="1"/>
  <c r="E1570" i="2"/>
  <c r="C1570" i="2" l="1"/>
  <c r="E1569" i="2"/>
  <c r="C1569" i="2" l="1"/>
  <c r="E1568" i="2"/>
  <c r="C1568" i="2" l="1"/>
  <c r="E1567" i="2"/>
  <c r="C1567" i="2" l="1"/>
  <c r="E1566" i="2"/>
  <c r="C1566" i="2" l="1"/>
  <c r="E1565" i="2"/>
  <c r="C1565" i="2" l="1"/>
  <c r="E1564" i="2"/>
  <c r="C1564" i="2" l="1"/>
  <c r="E1563" i="2"/>
  <c r="C1563" i="2" l="1"/>
  <c r="E1562" i="2"/>
  <c r="C1562" i="2" l="1"/>
  <c r="E1561" i="2"/>
  <c r="C1561" i="2" l="1"/>
  <c r="E1560" i="2"/>
  <c r="C1560" i="2" l="1"/>
  <c r="E1559" i="2"/>
  <c r="C1559" i="2" l="1"/>
  <c r="E1558" i="2"/>
  <c r="C1558" i="2" l="1"/>
  <c r="E1557" i="2"/>
  <c r="C1557" i="2" l="1"/>
  <c r="E1556" i="2"/>
  <c r="C1556" i="2" l="1"/>
  <c r="E1555" i="2"/>
  <c r="C1555" i="2" l="1"/>
  <c r="E1554" i="2"/>
  <c r="C1554" i="2" l="1"/>
  <c r="E1553" i="2"/>
  <c r="C1553" i="2" l="1"/>
  <c r="E1552" i="2"/>
  <c r="C1552" i="2" l="1"/>
  <c r="E1551" i="2"/>
  <c r="C1551" i="2" l="1"/>
  <c r="E1550" i="2"/>
  <c r="C1550" i="2" l="1"/>
  <c r="E1549" i="2"/>
  <c r="C1549" i="2" l="1"/>
  <c r="E1548" i="2"/>
  <c r="C1548" i="2" l="1"/>
  <c r="E1547" i="2"/>
  <c r="C1547" i="2" l="1"/>
  <c r="E1546" i="2"/>
  <c r="C1546" i="2" l="1"/>
  <c r="E1545" i="2"/>
  <c r="C1545" i="2" l="1"/>
  <c r="E1544" i="2"/>
  <c r="C1544" i="2" l="1"/>
  <c r="E1543" i="2"/>
  <c r="C1543" i="2" l="1"/>
  <c r="E1542" i="2"/>
  <c r="C1542" i="2" l="1"/>
  <c r="E1541" i="2"/>
  <c r="C1541" i="2" l="1"/>
  <c r="E1540" i="2"/>
  <c r="C1540" i="2" l="1"/>
  <c r="E1539" i="2"/>
  <c r="C1539" i="2" l="1"/>
  <c r="E1538" i="2"/>
  <c r="C1538" i="2" l="1"/>
  <c r="E1537" i="2"/>
  <c r="C1537" i="2" l="1"/>
  <c r="E1536" i="2"/>
  <c r="C1536" i="2" l="1"/>
  <c r="E1535" i="2"/>
  <c r="C1535" i="2" l="1"/>
  <c r="E1534" i="2"/>
  <c r="C1534" i="2" l="1"/>
  <c r="E1533" i="2"/>
  <c r="C1533" i="2" l="1"/>
  <c r="E1532" i="2"/>
  <c r="C1532" i="2" l="1"/>
  <c r="E1531" i="2"/>
  <c r="C1531" i="2" l="1"/>
  <c r="E1530" i="2"/>
  <c r="C1530" i="2" l="1"/>
  <c r="E1529" i="2"/>
  <c r="C1529" i="2" l="1"/>
  <c r="E1528" i="2"/>
  <c r="C1528" i="2" l="1"/>
  <c r="E1527" i="2"/>
  <c r="C1527" i="2" l="1"/>
  <c r="E1526" i="2"/>
  <c r="C1526" i="2" l="1"/>
  <c r="E1525" i="2"/>
  <c r="C1525" i="2" l="1"/>
  <c r="E1524" i="2"/>
  <c r="C1524" i="2" l="1"/>
  <c r="E1523" i="2"/>
  <c r="C1523" i="2" l="1"/>
  <c r="E1522" i="2"/>
  <c r="C1522" i="2" l="1"/>
  <c r="E1521" i="2"/>
  <c r="C1521" i="2" l="1"/>
  <c r="E1520" i="2"/>
  <c r="C1520" i="2" l="1"/>
  <c r="E1519" i="2"/>
  <c r="C1519" i="2" l="1"/>
  <c r="E1518" i="2"/>
  <c r="C1518" i="2" l="1"/>
  <c r="E1517" i="2"/>
  <c r="C1517" i="2" l="1"/>
  <c r="E1516" i="2"/>
  <c r="C1516" i="2" l="1"/>
  <c r="E1515" i="2"/>
  <c r="C1515" i="2" l="1"/>
  <c r="E1514" i="2"/>
  <c r="C1514" i="2" l="1"/>
  <c r="E1513" i="2"/>
  <c r="C1513" i="2" l="1"/>
  <c r="E1512" i="2"/>
  <c r="C1512" i="2" l="1"/>
  <c r="E1511" i="2"/>
  <c r="C1511" i="2" l="1"/>
  <c r="E1510" i="2"/>
  <c r="C1510" i="2" l="1"/>
  <c r="E1509" i="2"/>
  <c r="C1509" i="2" l="1"/>
  <c r="E1508" i="2"/>
  <c r="C1508" i="2" l="1"/>
  <c r="E1507" i="2"/>
  <c r="C1507" i="2" l="1"/>
  <c r="E1506" i="2"/>
  <c r="C1506" i="2" l="1"/>
  <c r="E1505" i="2"/>
  <c r="C1505" i="2" l="1"/>
  <c r="E1504" i="2"/>
  <c r="C1504" i="2" l="1"/>
  <c r="E1503" i="2"/>
  <c r="C1503" i="2" l="1"/>
  <c r="E1502" i="2"/>
  <c r="C1502" i="2" l="1"/>
  <c r="E1501" i="2"/>
  <c r="C1501" i="2" l="1"/>
  <c r="E1500" i="2"/>
  <c r="C1500" i="2" l="1"/>
  <c r="E1499" i="2"/>
  <c r="C1499" i="2" l="1"/>
  <c r="E1498" i="2"/>
  <c r="C1498" i="2" l="1"/>
  <c r="E1497" i="2"/>
  <c r="C1497" i="2" l="1"/>
  <c r="E1496" i="2"/>
  <c r="C1496" i="2" l="1"/>
  <c r="E1495" i="2"/>
  <c r="C1495" i="2" l="1"/>
  <c r="E1494" i="2"/>
  <c r="C1494" i="2" l="1"/>
  <c r="E1493" i="2"/>
  <c r="C1493" i="2" l="1"/>
  <c r="E1492" i="2"/>
  <c r="C1492" i="2" l="1"/>
  <c r="E1491" i="2"/>
  <c r="C1491" i="2" l="1"/>
  <c r="E1490" i="2"/>
  <c r="C1490" i="2" l="1"/>
  <c r="E1489" i="2"/>
  <c r="C1489" i="2" l="1"/>
  <c r="E1488" i="2"/>
  <c r="C1488" i="2" l="1"/>
  <c r="E1487" i="2"/>
  <c r="C1487" i="2" l="1"/>
  <c r="E1486" i="2"/>
  <c r="C1486" i="2" l="1"/>
  <c r="E1485" i="2"/>
  <c r="C1485" i="2" l="1"/>
  <c r="E1484" i="2"/>
  <c r="C1484" i="2" l="1"/>
  <c r="E1483" i="2"/>
  <c r="C1483" i="2" l="1"/>
  <c r="E1482" i="2"/>
  <c r="C1482" i="2" l="1"/>
  <c r="E1481" i="2"/>
  <c r="C1481" i="2" l="1"/>
  <c r="E1480" i="2"/>
  <c r="C1480" i="2" l="1"/>
  <c r="E1479" i="2"/>
  <c r="C1479" i="2" l="1"/>
  <c r="E1478" i="2"/>
  <c r="C1478" i="2" l="1"/>
  <c r="E1477" i="2"/>
  <c r="C1477" i="2" l="1"/>
  <c r="E1476" i="2"/>
  <c r="C1476" i="2" l="1"/>
  <c r="E1475" i="2"/>
  <c r="C1475" i="2" l="1"/>
  <c r="E1474" i="2"/>
  <c r="C1474" i="2" l="1"/>
  <c r="E1473" i="2"/>
  <c r="C1473" i="2" l="1"/>
  <c r="E1472" i="2"/>
  <c r="C1472" i="2" l="1"/>
  <c r="E1471" i="2"/>
  <c r="C1471" i="2" l="1"/>
  <c r="E1470" i="2"/>
  <c r="C1470" i="2" l="1"/>
  <c r="E1469" i="2"/>
  <c r="C1469" i="2" l="1"/>
  <c r="E1468" i="2"/>
  <c r="C1468" i="2" l="1"/>
  <c r="E1467" i="2"/>
  <c r="C1467" i="2" l="1"/>
  <c r="E1466" i="2"/>
  <c r="C1466" i="2" l="1"/>
  <c r="E1465" i="2"/>
  <c r="C1465" i="2" l="1"/>
  <c r="E1464" i="2"/>
  <c r="C1464" i="2" l="1"/>
  <c r="E1463" i="2"/>
  <c r="C1463" i="2" l="1"/>
  <c r="E1462" i="2"/>
  <c r="C1462" i="2" l="1"/>
  <c r="E1461" i="2"/>
  <c r="C1461" i="2" l="1"/>
  <c r="E1460" i="2"/>
  <c r="C1460" i="2" l="1"/>
  <c r="E1459" i="2"/>
  <c r="C1459" i="2" l="1"/>
  <c r="E1458" i="2"/>
  <c r="C1458" i="2" l="1"/>
  <c r="E1457" i="2"/>
  <c r="C1457" i="2" l="1"/>
  <c r="E1456" i="2"/>
  <c r="C1456" i="2" l="1"/>
  <c r="E1455" i="2"/>
  <c r="C1455" i="2" l="1"/>
  <c r="E1454" i="2"/>
  <c r="C1454" i="2" l="1"/>
  <c r="E1453" i="2"/>
  <c r="C1453" i="2" l="1"/>
  <c r="E1452" i="2"/>
  <c r="C1452" i="2" l="1"/>
  <c r="E1451" i="2"/>
  <c r="C1451" i="2" l="1"/>
  <c r="E1450" i="2"/>
  <c r="C1450" i="2" l="1"/>
  <c r="E1449" i="2"/>
  <c r="C1449" i="2" l="1"/>
  <c r="E1448" i="2"/>
  <c r="C1448" i="2" l="1"/>
  <c r="E1447" i="2"/>
  <c r="C1447" i="2" l="1"/>
  <c r="E1446" i="2"/>
  <c r="C1446" i="2" l="1"/>
  <c r="E1445" i="2"/>
  <c r="C1445" i="2" l="1"/>
  <c r="E1444" i="2"/>
  <c r="C1444" i="2" l="1"/>
  <c r="E1443" i="2"/>
  <c r="C1443" i="2" l="1"/>
  <c r="E1442" i="2"/>
  <c r="C1442" i="2" l="1"/>
  <c r="E1441" i="2"/>
  <c r="C1441" i="2" l="1"/>
  <c r="E1440" i="2"/>
  <c r="C1440" i="2" l="1"/>
  <c r="E1439" i="2"/>
  <c r="C1439" i="2" l="1"/>
  <c r="E1438" i="2"/>
  <c r="C1438" i="2" l="1"/>
  <c r="E1437" i="2"/>
  <c r="C1437" i="2" l="1"/>
  <c r="E1436" i="2"/>
  <c r="C1436" i="2" l="1"/>
  <c r="E1435" i="2"/>
  <c r="C1435" i="2" l="1"/>
  <c r="E1434" i="2"/>
  <c r="C1434" i="2" l="1"/>
  <c r="E1433" i="2"/>
  <c r="C1433" i="2" l="1"/>
  <c r="E1432" i="2"/>
  <c r="C1432" i="2" l="1"/>
  <c r="E1431" i="2"/>
  <c r="C1431" i="2" l="1"/>
  <c r="E1430" i="2"/>
  <c r="C1430" i="2" l="1"/>
  <c r="E1429" i="2"/>
  <c r="C1429" i="2" l="1"/>
  <c r="E1428" i="2"/>
  <c r="C1428" i="2" l="1"/>
  <c r="E1427" i="2"/>
  <c r="C1427" i="2" l="1"/>
  <c r="E1426" i="2"/>
  <c r="C1426" i="2" l="1"/>
  <c r="E1425" i="2"/>
  <c r="C1425" i="2" l="1"/>
  <c r="E1424" i="2"/>
  <c r="C1424" i="2" l="1"/>
  <c r="E1423" i="2"/>
  <c r="C1423" i="2" l="1"/>
  <c r="E1422" i="2"/>
  <c r="C1422" i="2" l="1"/>
  <c r="E1421" i="2"/>
  <c r="C1421" i="2" l="1"/>
  <c r="E1420" i="2"/>
  <c r="C1420" i="2" l="1"/>
  <c r="E1419" i="2"/>
  <c r="C1419" i="2" l="1"/>
  <c r="E1418" i="2"/>
  <c r="C1418" i="2" l="1"/>
  <c r="E1417" i="2"/>
  <c r="C1417" i="2" l="1"/>
  <c r="E1416" i="2"/>
  <c r="C1416" i="2" l="1"/>
  <c r="E1415" i="2"/>
  <c r="C1415" i="2" l="1"/>
  <c r="E1414" i="2"/>
  <c r="C1414" i="2" l="1"/>
  <c r="E1413" i="2"/>
  <c r="C1413" i="2" l="1"/>
  <c r="E1412" i="2"/>
  <c r="C1412" i="2" l="1"/>
  <c r="E1411" i="2"/>
  <c r="C1411" i="2" l="1"/>
  <c r="E1410" i="2"/>
  <c r="C1410" i="2" l="1"/>
  <c r="E1409" i="2"/>
  <c r="C1409" i="2" l="1"/>
  <c r="E1408" i="2"/>
  <c r="C1408" i="2" l="1"/>
  <c r="E1407" i="2"/>
  <c r="C1407" i="2" l="1"/>
  <c r="E1406" i="2"/>
  <c r="C1406" i="2" l="1"/>
  <c r="E1405" i="2"/>
  <c r="C1405" i="2" l="1"/>
  <c r="E1404" i="2"/>
  <c r="C1404" i="2" l="1"/>
  <c r="E1403" i="2"/>
  <c r="C1403" i="2" l="1"/>
  <c r="E1402" i="2"/>
  <c r="C1402" i="2" l="1"/>
  <c r="E1401" i="2"/>
  <c r="C1401" i="2" l="1"/>
  <c r="E1400" i="2"/>
  <c r="C1400" i="2" l="1"/>
  <c r="E1399" i="2"/>
  <c r="C1399" i="2" l="1"/>
  <c r="E1398" i="2"/>
  <c r="C1398" i="2" l="1"/>
  <c r="E1397" i="2"/>
  <c r="C1397" i="2" l="1"/>
  <c r="E1396" i="2"/>
  <c r="C1396" i="2" l="1"/>
  <c r="E1395" i="2"/>
  <c r="C1395" i="2" l="1"/>
  <c r="E1394" i="2"/>
  <c r="C1394" i="2" l="1"/>
  <c r="E1393" i="2"/>
  <c r="C1393" i="2" l="1"/>
  <c r="E1392" i="2"/>
  <c r="C1392" i="2" l="1"/>
  <c r="E1391" i="2"/>
  <c r="C1391" i="2" l="1"/>
  <c r="E1390" i="2"/>
  <c r="C1390" i="2" l="1"/>
  <c r="E1389" i="2"/>
  <c r="C1389" i="2" l="1"/>
  <c r="E1388" i="2"/>
  <c r="C1388" i="2" l="1"/>
  <c r="E1387" i="2"/>
  <c r="C1387" i="2" l="1"/>
  <c r="E1386" i="2"/>
  <c r="C1386" i="2" l="1"/>
  <c r="E1385" i="2"/>
  <c r="C1385" i="2" l="1"/>
  <c r="E1384" i="2"/>
  <c r="C1384" i="2" l="1"/>
  <c r="E1383" i="2"/>
  <c r="C1383" i="2" l="1"/>
  <c r="E1382" i="2"/>
  <c r="C1382" i="2" l="1"/>
  <c r="E1381" i="2"/>
  <c r="C1381" i="2" l="1"/>
  <c r="E1380" i="2"/>
  <c r="C1380" i="2" l="1"/>
  <c r="E1379" i="2"/>
  <c r="C1379" i="2" l="1"/>
  <c r="E1378" i="2"/>
  <c r="C1378" i="2" l="1"/>
  <c r="E1377" i="2"/>
  <c r="C1377" i="2" l="1"/>
  <c r="E1376" i="2"/>
  <c r="C1376" i="2" l="1"/>
  <c r="E1375" i="2"/>
  <c r="C1375" i="2" l="1"/>
  <c r="E1374" i="2"/>
  <c r="C1374" i="2" l="1"/>
  <c r="E1373" i="2"/>
  <c r="C1373" i="2" l="1"/>
  <c r="E1372" i="2"/>
  <c r="C1372" i="2" l="1"/>
  <c r="E1371" i="2"/>
  <c r="C1371" i="2" l="1"/>
  <c r="E1370" i="2"/>
  <c r="C1370" i="2" l="1"/>
  <c r="E1369" i="2"/>
  <c r="C1369" i="2" l="1"/>
  <c r="E1368" i="2"/>
  <c r="C1368" i="2" l="1"/>
  <c r="E1367" i="2"/>
  <c r="C1367" i="2" l="1"/>
  <c r="E1366" i="2"/>
  <c r="C1366" i="2" l="1"/>
  <c r="E1365" i="2"/>
  <c r="C1365" i="2" l="1"/>
  <c r="E1364" i="2"/>
  <c r="C1364" i="2" l="1"/>
  <c r="E1363" i="2"/>
  <c r="C1363" i="2" l="1"/>
  <c r="E1362" i="2"/>
  <c r="C1362" i="2" l="1"/>
  <c r="E1361" i="2"/>
  <c r="C1361" i="2" l="1"/>
  <c r="E1360" i="2"/>
  <c r="C1360" i="2" l="1"/>
  <c r="E1359" i="2"/>
  <c r="C1359" i="2" l="1"/>
  <c r="E1358" i="2"/>
  <c r="C1358" i="2" l="1"/>
  <c r="E1357" i="2"/>
  <c r="C1357" i="2" l="1"/>
  <c r="E1356" i="2"/>
  <c r="C1356" i="2" l="1"/>
  <c r="E1355" i="2"/>
  <c r="C1355" i="2" l="1"/>
  <c r="E1354" i="2"/>
  <c r="C1354" i="2" l="1"/>
  <c r="E1353" i="2"/>
  <c r="C1353" i="2" l="1"/>
  <c r="E1352" i="2"/>
  <c r="C1352" i="2" l="1"/>
  <c r="E1351" i="2"/>
  <c r="C1351" i="2" l="1"/>
  <c r="E1350" i="2"/>
  <c r="C1350" i="2" l="1"/>
  <c r="E1349" i="2"/>
  <c r="C1349" i="2" l="1"/>
  <c r="E1348" i="2"/>
  <c r="C1348" i="2" l="1"/>
  <c r="E1347" i="2"/>
  <c r="C1347" i="2" l="1"/>
  <c r="E1346" i="2"/>
  <c r="C1346" i="2" l="1"/>
  <c r="E1345" i="2"/>
  <c r="C1345" i="2" l="1"/>
  <c r="E1344" i="2"/>
  <c r="C1344" i="2" l="1"/>
  <c r="E1343" i="2"/>
  <c r="C1343" i="2" l="1"/>
  <c r="E1342" i="2"/>
  <c r="C1342" i="2" l="1"/>
  <c r="E1341" i="2"/>
  <c r="C1341" i="2" l="1"/>
  <c r="E1340" i="2"/>
  <c r="C1340" i="2" l="1"/>
  <c r="E1339" i="2"/>
  <c r="C1339" i="2" l="1"/>
  <c r="E1338" i="2"/>
  <c r="C1338" i="2" l="1"/>
  <c r="E1337" i="2"/>
  <c r="C1337" i="2" l="1"/>
  <c r="E1336" i="2"/>
  <c r="C1336" i="2" l="1"/>
  <c r="E1335" i="2"/>
  <c r="C1335" i="2" l="1"/>
  <c r="E1334" i="2"/>
  <c r="C1334" i="2" l="1"/>
  <c r="E1333" i="2"/>
  <c r="C1333" i="2" l="1"/>
  <c r="E1332" i="2"/>
  <c r="C1332" i="2" l="1"/>
  <c r="E1331" i="2"/>
  <c r="C1331" i="2" l="1"/>
  <c r="E1330" i="2"/>
  <c r="C1330" i="2" l="1"/>
  <c r="E1329" i="2"/>
  <c r="C1329" i="2" l="1"/>
  <c r="E1328" i="2"/>
  <c r="C1328" i="2" l="1"/>
  <c r="E1327" i="2"/>
  <c r="C1327" i="2" l="1"/>
  <c r="E1326" i="2"/>
  <c r="C1326" i="2" l="1"/>
  <c r="E1325" i="2"/>
  <c r="C1325" i="2" l="1"/>
  <c r="E1324" i="2"/>
  <c r="C1324" i="2" l="1"/>
  <c r="E1323" i="2"/>
  <c r="C1323" i="2" l="1"/>
  <c r="E1322" i="2"/>
  <c r="C1322" i="2" l="1"/>
  <c r="E1321" i="2"/>
  <c r="C1321" i="2" l="1"/>
  <c r="E1320" i="2"/>
  <c r="C1320" i="2" l="1"/>
  <c r="E1319" i="2"/>
  <c r="C1319" i="2" l="1"/>
  <c r="E1318" i="2"/>
  <c r="C1318" i="2" l="1"/>
  <c r="E1317" i="2"/>
  <c r="C1317" i="2" l="1"/>
  <c r="E1316" i="2"/>
  <c r="C1316" i="2" l="1"/>
  <c r="E1315" i="2"/>
  <c r="C1315" i="2" l="1"/>
  <c r="E1314" i="2"/>
  <c r="C1314" i="2" l="1"/>
  <c r="E1313" i="2"/>
  <c r="C1313" i="2" l="1"/>
  <c r="E1312" i="2"/>
  <c r="C1312" i="2" l="1"/>
  <c r="E1311" i="2"/>
  <c r="C1311" i="2" l="1"/>
  <c r="E1310" i="2"/>
  <c r="C1310" i="2" l="1"/>
  <c r="E1309" i="2"/>
  <c r="C1309" i="2" l="1"/>
  <c r="E1308" i="2"/>
  <c r="C1308" i="2" l="1"/>
  <c r="E1307" i="2"/>
  <c r="C1307" i="2" l="1"/>
  <c r="E1306" i="2"/>
  <c r="C1306" i="2" l="1"/>
  <c r="E1305" i="2"/>
  <c r="C1305" i="2" l="1"/>
  <c r="E1304" i="2"/>
  <c r="C1304" i="2" l="1"/>
  <c r="E1303" i="2"/>
  <c r="C1303" i="2" l="1"/>
  <c r="E1302" i="2"/>
  <c r="C1302" i="2" l="1"/>
  <c r="E1301" i="2"/>
  <c r="C1301" i="2" l="1"/>
  <c r="E1300" i="2"/>
  <c r="C1300" i="2" l="1"/>
  <c r="E1299" i="2"/>
  <c r="C1299" i="2" l="1"/>
  <c r="E1298" i="2"/>
  <c r="C1298" i="2" l="1"/>
  <c r="E1297" i="2"/>
  <c r="C1297" i="2" l="1"/>
  <c r="E1296" i="2"/>
  <c r="C1296" i="2" l="1"/>
  <c r="E1295" i="2"/>
  <c r="C1295" i="2" l="1"/>
  <c r="E1294" i="2"/>
  <c r="C1294" i="2" l="1"/>
  <c r="E1293" i="2"/>
  <c r="C1293" i="2" l="1"/>
  <c r="E1292" i="2"/>
  <c r="C1292" i="2" l="1"/>
  <c r="E1291" i="2"/>
  <c r="C1291" i="2" l="1"/>
  <c r="E1290" i="2"/>
  <c r="C1290" i="2" l="1"/>
  <c r="E1289" i="2"/>
  <c r="C1289" i="2" l="1"/>
  <c r="E1288" i="2"/>
  <c r="C1288" i="2" l="1"/>
  <c r="E1287" i="2"/>
  <c r="C1287" i="2" l="1"/>
  <c r="E1286" i="2"/>
  <c r="C1286" i="2" l="1"/>
  <c r="E1285" i="2"/>
  <c r="C1285" i="2" l="1"/>
  <c r="E1284" i="2"/>
  <c r="C1284" i="2" l="1"/>
  <c r="E1283" i="2"/>
  <c r="C1283" i="2" l="1"/>
  <c r="E1282" i="2"/>
  <c r="C1282" i="2" l="1"/>
  <c r="E1281" i="2"/>
  <c r="C1281" i="2" l="1"/>
  <c r="E1280" i="2"/>
  <c r="C1280" i="2" l="1"/>
  <c r="E1279" i="2"/>
  <c r="C1279" i="2" l="1"/>
  <c r="E1278" i="2"/>
  <c r="C1278" i="2" l="1"/>
  <c r="E1277" i="2"/>
  <c r="C1277" i="2" l="1"/>
  <c r="E1276" i="2"/>
  <c r="C1276" i="2" l="1"/>
  <c r="E1275" i="2"/>
  <c r="C1275" i="2" l="1"/>
  <c r="E1274" i="2"/>
  <c r="C1274" i="2" l="1"/>
  <c r="E1273" i="2"/>
  <c r="C1273" i="2" l="1"/>
  <c r="E1272" i="2"/>
  <c r="C1272" i="2" l="1"/>
  <c r="E1271" i="2"/>
  <c r="C1271" i="2" l="1"/>
  <c r="E1270" i="2"/>
  <c r="C1270" i="2" l="1"/>
  <c r="E1269" i="2"/>
  <c r="C1269" i="2" l="1"/>
  <c r="E1268" i="2"/>
  <c r="C1268" i="2" l="1"/>
  <c r="E1267" i="2"/>
  <c r="C1267" i="2" l="1"/>
  <c r="E1266" i="2"/>
  <c r="C1266" i="2" l="1"/>
  <c r="E1265" i="2"/>
  <c r="C1265" i="2" l="1"/>
  <c r="E1264" i="2"/>
  <c r="C1264" i="2" l="1"/>
  <c r="E1263" i="2"/>
  <c r="C1263" i="2" l="1"/>
  <c r="E1262" i="2"/>
  <c r="C1262" i="2" l="1"/>
  <c r="E1261" i="2"/>
  <c r="C1261" i="2" l="1"/>
  <c r="E1260" i="2"/>
  <c r="C1260" i="2" l="1"/>
  <c r="E1259" i="2"/>
  <c r="C1259" i="2" l="1"/>
  <c r="E1258" i="2"/>
  <c r="C1258" i="2" l="1"/>
  <c r="E1257" i="2"/>
  <c r="C1257" i="2" l="1"/>
  <c r="E1256" i="2"/>
  <c r="C1256" i="2" l="1"/>
  <c r="E1255" i="2"/>
  <c r="C1255" i="2" l="1"/>
  <c r="E1254" i="2"/>
  <c r="C1254" i="2" l="1"/>
  <c r="E1253" i="2"/>
  <c r="C1253" i="2" l="1"/>
  <c r="E1252" i="2"/>
  <c r="C1252" i="2" l="1"/>
  <c r="E1251" i="2"/>
  <c r="C1251" i="2" l="1"/>
  <c r="E1250" i="2"/>
  <c r="C1250" i="2" l="1"/>
  <c r="E1249" i="2"/>
  <c r="C1249" i="2" l="1"/>
  <c r="E1248" i="2"/>
  <c r="C1248" i="2" l="1"/>
  <c r="E1247" i="2"/>
  <c r="C1247" i="2" l="1"/>
  <c r="E1246" i="2"/>
  <c r="C1246" i="2" l="1"/>
  <c r="E1245" i="2"/>
  <c r="C1245" i="2" l="1"/>
  <c r="E1244" i="2"/>
  <c r="C1244" i="2" l="1"/>
  <c r="E1243" i="2"/>
  <c r="C1243" i="2" l="1"/>
  <c r="E1242" i="2"/>
  <c r="C1242" i="2" l="1"/>
  <c r="E1241" i="2"/>
  <c r="C1241" i="2" l="1"/>
  <c r="E1240" i="2"/>
  <c r="C1240" i="2" l="1"/>
  <c r="E1239" i="2"/>
  <c r="C1239" i="2" l="1"/>
  <c r="E1238" i="2"/>
  <c r="C1238" i="2" l="1"/>
  <c r="E1237" i="2"/>
  <c r="C1237" i="2" l="1"/>
  <c r="E1236" i="2"/>
  <c r="C1236" i="2" l="1"/>
  <c r="E1235" i="2"/>
  <c r="C1235" i="2" l="1"/>
  <c r="E1234" i="2"/>
  <c r="C1234" i="2" l="1"/>
  <c r="E1233" i="2"/>
  <c r="C1233" i="2" l="1"/>
  <c r="E1232" i="2"/>
  <c r="C1232" i="2" l="1"/>
  <c r="E1231" i="2"/>
  <c r="C1231" i="2" l="1"/>
  <c r="E1230" i="2"/>
  <c r="C1230" i="2" l="1"/>
  <c r="E1229" i="2"/>
  <c r="C1229" i="2" l="1"/>
  <c r="E1228" i="2"/>
  <c r="C1228" i="2" l="1"/>
  <c r="E1227" i="2"/>
  <c r="C1227" i="2" l="1"/>
  <c r="E1226" i="2"/>
  <c r="C1226" i="2" l="1"/>
  <c r="E1225" i="2"/>
  <c r="C1225" i="2" l="1"/>
  <c r="E1224" i="2"/>
  <c r="C1224" i="2" l="1"/>
  <c r="E1223" i="2"/>
  <c r="C1223" i="2" l="1"/>
  <c r="E1222" i="2"/>
  <c r="C1222" i="2" l="1"/>
  <c r="E1221" i="2"/>
  <c r="C1221" i="2" l="1"/>
  <c r="E1220" i="2"/>
  <c r="C1220" i="2" l="1"/>
  <c r="E1219" i="2"/>
  <c r="C1219" i="2" l="1"/>
  <c r="E1218" i="2"/>
  <c r="C1218" i="2" l="1"/>
  <c r="E1217" i="2"/>
  <c r="C1217" i="2" l="1"/>
  <c r="E1216" i="2"/>
  <c r="C1216" i="2" l="1"/>
  <c r="E1215" i="2"/>
  <c r="C1215" i="2" l="1"/>
  <c r="E1214" i="2"/>
  <c r="C1214" i="2" l="1"/>
  <c r="E1213" i="2"/>
  <c r="C1213" i="2" l="1"/>
  <c r="E1212" i="2"/>
  <c r="C1212" i="2" l="1"/>
  <c r="E1211" i="2"/>
  <c r="C1211" i="2" l="1"/>
  <c r="E1210" i="2"/>
  <c r="C1210" i="2" l="1"/>
  <c r="E1209" i="2"/>
  <c r="C1209" i="2" l="1"/>
  <c r="E1208" i="2"/>
  <c r="C1208" i="2" l="1"/>
  <c r="E1207" i="2"/>
  <c r="C1207" i="2" l="1"/>
  <c r="E1206" i="2"/>
  <c r="C1206" i="2" l="1"/>
  <c r="E1205" i="2"/>
  <c r="C1205" i="2" l="1"/>
  <c r="E1204" i="2"/>
  <c r="C1204" i="2" l="1"/>
  <c r="E1203" i="2"/>
  <c r="C1203" i="2" l="1"/>
  <c r="E1202" i="2"/>
  <c r="C1202" i="2" l="1"/>
  <c r="E1201" i="2"/>
  <c r="C1201" i="2" l="1"/>
  <c r="E1200" i="2"/>
  <c r="C1200" i="2" l="1"/>
  <c r="E1199" i="2"/>
  <c r="C1199" i="2" l="1"/>
  <c r="E1198" i="2"/>
  <c r="C1198" i="2" l="1"/>
  <c r="E1197" i="2"/>
  <c r="C1197" i="2" l="1"/>
  <c r="E1196" i="2"/>
  <c r="C1196" i="2" l="1"/>
  <c r="E1195" i="2"/>
  <c r="C1195" i="2" l="1"/>
  <c r="E1194" i="2"/>
  <c r="C1194" i="2" l="1"/>
  <c r="E1193" i="2"/>
  <c r="C1193" i="2" l="1"/>
  <c r="E1192" i="2"/>
  <c r="C1192" i="2" l="1"/>
  <c r="E1191" i="2"/>
  <c r="C1191" i="2" l="1"/>
  <c r="E1190" i="2"/>
  <c r="C1190" i="2" l="1"/>
  <c r="E1189" i="2"/>
  <c r="C1189" i="2" l="1"/>
  <c r="E1188" i="2"/>
  <c r="C1188" i="2" l="1"/>
  <c r="E1187" i="2"/>
  <c r="C1187" i="2" l="1"/>
  <c r="E1186" i="2"/>
  <c r="C1186" i="2" l="1"/>
  <c r="E1185" i="2"/>
  <c r="C1185" i="2" l="1"/>
  <c r="E1184" i="2"/>
  <c r="C1184" i="2" l="1"/>
  <c r="E1183" i="2"/>
  <c r="C1183" i="2" l="1"/>
  <c r="E1182" i="2"/>
  <c r="C1182" i="2" l="1"/>
  <c r="E1181" i="2"/>
  <c r="C1181" i="2" l="1"/>
  <c r="E1180" i="2"/>
  <c r="C1180" i="2" l="1"/>
  <c r="E1179" i="2"/>
  <c r="C1179" i="2" l="1"/>
  <c r="E1178" i="2"/>
  <c r="C1178" i="2" l="1"/>
  <c r="E1177" i="2"/>
  <c r="C1177" i="2" l="1"/>
  <c r="E1176" i="2"/>
  <c r="C1176" i="2" l="1"/>
  <c r="E1175" i="2"/>
  <c r="C1175" i="2" l="1"/>
  <c r="E1174" i="2"/>
  <c r="C1174" i="2" l="1"/>
  <c r="E1173" i="2"/>
  <c r="C1173" i="2" l="1"/>
  <c r="E1172" i="2"/>
  <c r="C1172" i="2" l="1"/>
  <c r="E1171" i="2"/>
  <c r="C1171" i="2" l="1"/>
  <c r="E1170" i="2"/>
  <c r="C1170" i="2" l="1"/>
  <c r="E1169" i="2"/>
  <c r="C1169" i="2" l="1"/>
  <c r="E1168" i="2"/>
  <c r="C1168" i="2" l="1"/>
  <c r="E1167" i="2"/>
  <c r="C1167" i="2" l="1"/>
  <c r="E1166" i="2"/>
  <c r="C1166" i="2" l="1"/>
  <c r="E1165" i="2"/>
  <c r="C1165" i="2" l="1"/>
  <c r="E1164" i="2"/>
  <c r="C1164" i="2" l="1"/>
  <c r="E1163" i="2"/>
  <c r="C1163" i="2" l="1"/>
  <c r="E1162" i="2"/>
  <c r="C1162" i="2" l="1"/>
  <c r="E1161" i="2"/>
  <c r="C1161" i="2" l="1"/>
  <c r="E1160" i="2"/>
  <c r="C1160" i="2" l="1"/>
  <c r="E1159" i="2"/>
  <c r="C1159" i="2" l="1"/>
  <c r="E1158" i="2"/>
  <c r="C1158" i="2" l="1"/>
  <c r="E1157" i="2"/>
  <c r="C1157" i="2" l="1"/>
  <c r="E1156" i="2"/>
  <c r="C1156" i="2" l="1"/>
  <c r="E1155" i="2"/>
  <c r="C1155" i="2" l="1"/>
  <c r="E1154" i="2"/>
  <c r="C1154" i="2" l="1"/>
  <c r="E1153" i="2"/>
  <c r="C1153" i="2" l="1"/>
  <c r="E1152" i="2"/>
  <c r="C1152" i="2" l="1"/>
  <c r="E1151" i="2"/>
  <c r="C1151" i="2" l="1"/>
  <c r="E1150" i="2"/>
  <c r="C1150" i="2" l="1"/>
  <c r="E1149" i="2"/>
  <c r="C1149" i="2" l="1"/>
  <c r="E1148" i="2"/>
  <c r="C1148" i="2" l="1"/>
  <c r="E1147" i="2"/>
  <c r="C1147" i="2" l="1"/>
  <c r="E1146" i="2"/>
  <c r="C1146" i="2" l="1"/>
  <c r="E1145" i="2"/>
  <c r="C1145" i="2" l="1"/>
  <c r="E1144" i="2"/>
  <c r="C1144" i="2" l="1"/>
  <c r="E1143" i="2"/>
  <c r="C1143" i="2" l="1"/>
  <c r="E1142" i="2"/>
  <c r="C1142" i="2" l="1"/>
  <c r="E1141" i="2"/>
  <c r="C1141" i="2" l="1"/>
  <c r="E1140" i="2"/>
  <c r="C1140" i="2" l="1"/>
  <c r="E1139" i="2"/>
  <c r="C1139" i="2" l="1"/>
  <c r="E1138" i="2"/>
  <c r="C1138" i="2" l="1"/>
  <c r="E1137" i="2"/>
  <c r="C1137" i="2" l="1"/>
  <c r="E1136" i="2"/>
  <c r="C1136" i="2" l="1"/>
  <c r="E1135" i="2"/>
  <c r="C1135" i="2" l="1"/>
  <c r="E1134" i="2"/>
  <c r="C1134" i="2" l="1"/>
  <c r="E1133" i="2"/>
  <c r="C1133" i="2" l="1"/>
  <c r="E1132" i="2"/>
  <c r="C1132" i="2" l="1"/>
  <c r="E1131" i="2"/>
  <c r="C1131" i="2" l="1"/>
  <c r="E1130" i="2"/>
  <c r="C1130" i="2" l="1"/>
  <c r="E1129" i="2"/>
  <c r="C1129" i="2" l="1"/>
  <c r="E1128" i="2"/>
  <c r="C1128" i="2" l="1"/>
  <c r="E1127" i="2"/>
  <c r="C1127" i="2" l="1"/>
  <c r="E1126" i="2"/>
  <c r="C1126" i="2" l="1"/>
  <c r="E1125" i="2"/>
  <c r="C1125" i="2" l="1"/>
  <c r="E1124" i="2"/>
  <c r="C1124" i="2" l="1"/>
  <c r="E1123" i="2"/>
  <c r="C1123" i="2" l="1"/>
  <c r="E1122" i="2"/>
  <c r="C1122" i="2" l="1"/>
  <c r="E1121" i="2"/>
  <c r="C1121" i="2" l="1"/>
  <c r="E1120" i="2"/>
  <c r="C1120" i="2" l="1"/>
  <c r="E1119" i="2"/>
  <c r="C1119" i="2" l="1"/>
  <c r="E1118" i="2"/>
  <c r="C1118" i="2" l="1"/>
  <c r="E1117" i="2"/>
  <c r="C1117" i="2" l="1"/>
  <c r="E1116" i="2"/>
  <c r="C1116" i="2" l="1"/>
  <c r="E1115" i="2"/>
  <c r="C1115" i="2" l="1"/>
  <c r="E1114" i="2"/>
  <c r="C1114" i="2" l="1"/>
  <c r="E1113" i="2"/>
  <c r="C1113" i="2" l="1"/>
  <c r="E1112" i="2"/>
  <c r="C1112" i="2" l="1"/>
  <c r="E1111" i="2"/>
  <c r="C1111" i="2" l="1"/>
  <c r="E1110" i="2"/>
  <c r="C1110" i="2" l="1"/>
  <c r="E1109" i="2"/>
  <c r="C1109" i="2" l="1"/>
  <c r="E1108" i="2"/>
  <c r="C1108" i="2" l="1"/>
  <c r="E1107" i="2"/>
  <c r="C1107" i="2" l="1"/>
  <c r="E1106" i="2"/>
  <c r="C1106" i="2" l="1"/>
  <c r="E1105" i="2"/>
  <c r="C1105" i="2" l="1"/>
  <c r="E1104" i="2"/>
  <c r="C1104" i="2" l="1"/>
  <c r="E1103" i="2"/>
  <c r="C1103" i="2" l="1"/>
  <c r="E1102" i="2"/>
  <c r="C1102" i="2" l="1"/>
  <c r="E1101" i="2"/>
  <c r="C1101" i="2" l="1"/>
  <c r="E1100" i="2"/>
  <c r="C1100" i="2" l="1"/>
  <c r="E1099" i="2"/>
  <c r="C1099" i="2" l="1"/>
  <c r="E1098" i="2"/>
  <c r="C1098" i="2" l="1"/>
  <c r="E1097" i="2"/>
  <c r="C1097" i="2" l="1"/>
  <c r="E1096" i="2"/>
  <c r="C1096" i="2" l="1"/>
  <c r="E1095" i="2"/>
  <c r="C1095" i="2" l="1"/>
  <c r="E1094" i="2"/>
  <c r="C1094" i="2" l="1"/>
  <c r="E1093" i="2"/>
  <c r="C1093" i="2" l="1"/>
  <c r="E1092" i="2"/>
  <c r="C1092" i="2" l="1"/>
  <c r="E1091" i="2"/>
  <c r="C1091" i="2" l="1"/>
  <c r="E1090" i="2"/>
  <c r="C1090" i="2" l="1"/>
  <c r="E1089" i="2"/>
  <c r="C1089" i="2" l="1"/>
  <c r="E1088" i="2"/>
  <c r="C1088" i="2" l="1"/>
  <c r="E1087" i="2"/>
  <c r="C1087" i="2" l="1"/>
  <c r="E1086" i="2"/>
  <c r="C1086" i="2" l="1"/>
  <c r="E1085" i="2"/>
  <c r="C1085" i="2" l="1"/>
  <c r="E1084" i="2"/>
  <c r="C1084" i="2" l="1"/>
  <c r="E1083" i="2"/>
  <c r="C1083" i="2" l="1"/>
  <c r="E1082" i="2"/>
  <c r="C1082" i="2" l="1"/>
  <c r="E1081" i="2"/>
  <c r="C1081" i="2" l="1"/>
  <c r="E1080" i="2"/>
  <c r="C1080" i="2" l="1"/>
  <c r="E1079" i="2"/>
  <c r="C1079" i="2" l="1"/>
  <c r="E1078" i="2"/>
  <c r="C1078" i="2" l="1"/>
  <c r="E1077" i="2"/>
  <c r="C1077" i="2" l="1"/>
  <c r="E1076" i="2"/>
  <c r="C1076" i="2" l="1"/>
  <c r="E1075" i="2"/>
  <c r="C1075" i="2" l="1"/>
  <c r="E1074" i="2"/>
  <c r="C1074" i="2" l="1"/>
  <c r="E1073" i="2"/>
  <c r="C1073" i="2" l="1"/>
  <c r="E1072" i="2"/>
  <c r="C1072" i="2" l="1"/>
  <c r="E1071" i="2"/>
  <c r="C1071" i="2" l="1"/>
  <c r="E1070" i="2"/>
  <c r="C1070" i="2" l="1"/>
  <c r="E1069" i="2"/>
  <c r="C1069" i="2" l="1"/>
  <c r="E1068" i="2"/>
  <c r="C1068" i="2" l="1"/>
  <c r="E1067" i="2"/>
  <c r="C1067" i="2" l="1"/>
  <c r="E1066" i="2"/>
  <c r="C1066" i="2" l="1"/>
  <c r="E1065" i="2"/>
  <c r="C1065" i="2" l="1"/>
  <c r="E1064" i="2"/>
  <c r="C1064" i="2" l="1"/>
  <c r="E1063" i="2"/>
  <c r="C1063" i="2" l="1"/>
  <c r="E1062" i="2"/>
  <c r="C1062" i="2" l="1"/>
  <c r="E1061" i="2"/>
  <c r="C1061" i="2" l="1"/>
  <c r="E1060" i="2"/>
  <c r="C1060" i="2" l="1"/>
  <c r="E1059" i="2"/>
  <c r="C1059" i="2" l="1"/>
  <c r="E1058" i="2"/>
  <c r="C1058" i="2" l="1"/>
  <c r="E1057" i="2"/>
  <c r="C1057" i="2" l="1"/>
  <c r="E1056" i="2"/>
  <c r="C1056" i="2" l="1"/>
  <c r="E1055" i="2"/>
  <c r="C1055" i="2" l="1"/>
  <c r="E1054" i="2"/>
  <c r="C1054" i="2" l="1"/>
  <c r="E1053" i="2"/>
  <c r="C1053" i="2" l="1"/>
  <c r="E1052" i="2"/>
  <c r="C1052" i="2" l="1"/>
  <c r="E1051" i="2"/>
  <c r="C1051" i="2" l="1"/>
  <c r="E1050" i="2"/>
  <c r="C1050" i="2" l="1"/>
  <c r="E1049" i="2"/>
  <c r="C1049" i="2" l="1"/>
  <c r="E1048" i="2"/>
  <c r="C1048" i="2" l="1"/>
  <c r="E1047" i="2"/>
  <c r="C1047" i="2" l="1"/>
  <c r="E1046" i="2"/>
  <c r="C1046" i="2" l="1"/>
  <c r="E1045" i="2"/>
  <c r="C1045" i="2" l="1"/>
  <c r="E1044" i="2"/>
  <c r="C1044" i="2" l="1"/>
  <c r="E1043" i="2"/>
  <c r="C1043" i="2" l="1"/>
  <c r="E1042" i="2"/>
  <c r="C1042" i="2" l="1"/>
  <c r="E1041" i="2"/>
  <c r="C1041" i="2" l="1"/>
  <c r="E1040" i="2"/>
  <c r="C1040" i="2" l="1"/>
  <c r="E1039" i="2"/>
  <c r="C1039" i="2" l="1"/>
  <c r="E1038" i="2"/>
  <c r="C1038" i="2" l="1"/>
  <c r="E1037" i="2"/>
  <c r="C1037" i="2" l="1"/>
  <c r="E1036" i="2"/>
  <c r="C1036" i="2" l="1"/>
  <c r="E1035" i="2"/>
  <c r="C1035" i="2" l="1"/>
  <c r="E1034" i="2"/>
  <c r="C1034" i="2" l="1"/>
  <c r="E1033" i="2"/>
  <c r="C1033" i="2" l="1"/>
  <c r="E1032" i="2"/>
  <c r="C1032" i="2" l="1"/>
  <c r="E1031" i="2"/>
  <c r="C1031" i="2" l="1"/>
  <c r="E1030" i="2"/>
  <c r="C1030" i="2" l="1"/>
  <c r="E1029" i="2"/>
  <c r="C1029" i="2" l="1"/>
  <c r="E1028" i="2"/>
  <c r="C1028" i="2" l="1"/>
  <c r="E1027" i="2"/>
  <c r="C1027" i="2" l="1"/>
  <c r="E1026" i="2"/>
  <c r="C1026" i="2" l="1"/>
  <c r="E1025" i="2"/>
  <c r="C1025" i="2" l="1"/>
  <c r="E1024" i="2"/>
  <c r="C1024" i="2" l="1"/>
  <c r="E1023" i="2"/>
  <c r="C1023" i="2" l="1"/>
  <c r="E1022" i="2"/>
  <c r="C1022" i="2" l="1"/>
  <c r="E1021" i="2"/>
  <c r="C1021" i="2" l="1"/>
  <c r="E1020" i="2"/>
  <c r="C1020" i="2" l="1"/>
  <c r="E1019" i="2"/>
  <c r="C1019" i="2" l="1"/>
  <c r="E1018" i="2"/>
  <c r="C1018" i="2" l="1"/>
  <c r="E1017" i="2"/>
  <c r="C1017" i="2" l="1"/>
  <c r="E1016" i="2"/>
  <c r="C1016" i="2" l="1"/>
  <c r="E1015" i="2"/>
  <c r="C1015" i="2" l="1"/>
  <c r="E1014" i="2"/>
  <c r="C1014" i="2" l="1"/>
  <c r="E1013" i="2"/>
  <c r="C1013" i="2" l="1"/>
  <c r="E1012" i="2"/>
  <c r="C1012" i="2" l="1"/>
  <c r="E1011" i="2"/>
  <c r="C1011" i="2" l="1"/>
  <c r="E1010" i="2"/>
  <c r="C1010" i="2" l="1"/>
  <c r="E1009" i="2"/>
  <c r="C1009" i="2" l="1"/>
  <c r="E1008" i="2"/>
  <c r="C1008" i="2" l="1"/>
  <c r="E1007" i="2"/>
  <c r="C1007" i="2" l="1"/>
  <c r="E1006" i="2"/>
  <c r="C1006" i="2" l="1"/>
  <c r="E1005" i="2"/>
  <c r="C1005" i="2" l="1"/>
  <c r="E1004" i="2"/>
  <c r="C1004" i="2" l="1"/>
  <c r="E1003" i="2"/>
  <c r="C1003" i="2" l="1"/>
  <c r="E1002" i="2"/>
  <c r="C1002" i="2" l="1"/>
  <c r="E1001" i="2"/>
  <c r="C1001" i="2" l="1"/>
  <c r="E1000" i="2"/>
  <c r="C1000" i="2" l="1"/>
  <c r="E999" i="2"/>
  <c r="C999" i="2" l="1"/>
  <c r="E998" i="2"/>
  <c r="C998" i="2" l="1"/>
  <c r="E997" i="2"/>
  <c r="C997" i="2" l="1"/>
  <c r="E996" i="2"/>
  <c r="C996" i="2" l="1"/>
  <c r="E995" i="2"/>
  <c r="C995" i="2" l="1"/>
  <c r="E994" i="2"/>
  <c r="C994" i="2" l="1"/>
  <c r="E993" i="2"/>
  <c r="C993" i="2" l="1"/>
  <c r="E992" i="2"/>
  <c r="C992" i="2" l="1"/>
  <c r="E991" i="2"/>
  <c r="C991" i="2" l="1"/>
  <c r="E990" i="2"/>
  <c r="C990" i="2" l="1"/>
  <c r="E989" i="2"/>
  <c r="C989" i="2" l="1"/>
  <c r="E988" i="2"/>
  <c r="C988" i="2" l="1"/>
  <c r="E987" i="2"/>
  <c r="C987" i="2" l="1"/>
  <c r="E986" i="2"/>
  <c r="C986" i="2" l="1"/>
  <c r="E985" i="2"/>
  <c r="C985" i="2" l="1"/>
  <c r="E984" i="2"/>
  <c r="C984" i="2" l="1"/>
  <c r="E983" i="2"/>
  <c r="C983" i="2" l="1"/>
  <c r="E982" i="2"/>
  <c r="C982" i="2" l="1"/>
  <c r="E981" i="2"/>
  <c r="C981" i="2" l="1"/>
  <c r="E980" i="2"/>
  <c r="C980" i="2" l="1"/>
  <c r="E979" i="2"/>
  <c r="C979" i="2" l="1"/>
  <c r="E978" i="2"/>
  <c r="C978" i="2" l="1"/>
  <c r="E977" i="2"/>
  <c r="C977" i="2" l="1"/>
  <c r="E976" i="2"/>
  <c r="C976" i="2" l="1"/>
  <c r="E975" i="2"/>
  <c r="C975" i="2" l="1"/>
  <c r="E974" i="2"/>
  <c r="C974" i="2" l="1"/>
  <c r="E973" i="2"/>
  <c r="C973" i="2" l="1"/>
  <c r="E972" i="2"/>
  <c r="C972" i="2" l="1"/>
  <c r="E971" i="2"/>
  <c r="C971" i="2" l="1"/>
  <c r="E970" i="2"/>
  <c r="C970" i="2" l="1"/>
  <c r="E969" i="2"/>
  <c r="C969" i="2" l="1"/>
  <c r="E968" i="2"/>
  <c r="C968" i="2" l="1"/>
  <c r="E967" i="2"/>
  <c r="C967" i="2" l="1"/>
  <c r="E966" i="2"/>
  <c r="C966" i="2" l="1"/>
  <c r="E965" i="2"/>
  <c r="C965" i="2" l="1"/>
  <c r="E964" i="2"/>
  <c r="C964" i="2" l="1"/>
  <c r="E963" i="2"/>
  <c r="C963" i="2" l="1"/>
  <c r="E962" i="2"/>
  <c r="C962" i="2" l="1"/>
  <c r="E961" i="2"/>
  <c r="C961" i="2" l="1"/>
  <c r="E960" i="2"/>
  <c r="C960" i="2" l="1"/>
  <c r="E959" i="2"/>
  <c r="C959" i="2" l="1"/>
  <c r="E958" i="2"/>
  <c r="C958" i="2" l="1"/>
  <c r="E957" i="2"/>
  <c r="C957" i="2" l="1"/>
  <c r="E956" i="2"/>
  <c r="C956" i="2" l="1"/>
  <c r="E955" i="2"/>
  <c r="C955" i="2" l="1"/>
  <c r="E954" i="2"/>
  <c r="C954" i="2" l="1"/>
  <c r="E953" i="2"/>
  <c r="C953" i="2" l="1"/>
  <c r="E952" i="2"/>
  <c r="C952" i="2" l="1"/>
  <c r="E951" i="2"/>
  <c r="C951" i="2" l="1"/>
  <c r="E950" i="2"/>
  <c r="C950" i="2" l="1"/>
  <c r="E949" i="2"/>
  <c r="C949" i="2" l="1"/>
  <c r="E948" i="2"/>
  <c r="C948" i="2" l="1"/>
  <c r="E947" i="2"/>
  <c r="C947" i="2" l="1"/>
  <c r="E946" i="2"/>
  <c r="C946" i="2" l="1"/>
  <c r="E945" i="2"/>
  <c r="C945" i="2" l="1"/>
  <c r="E944" i="2"/>
  <c r="C944" i="2" l="1"/>
  <c r="E943" i="2"/>
  <c r="C943" i="2" l="1"/>
  <c r="E942" i="2"/>
  <c r="C942" i="2" l="1"/>
  <c r="E941" i="2"/>
  <c r="C941" i="2" l="1"/>
  <c r="E940" i="2"/>
  <c r="C940" i="2" l="1"/>
  <c r="E939" i="2"/>
  <c r="C939" i="2" l="1"/>
  <c r="E938" i="2"/>
  <c r="C938" i="2" l="1"/>
  <c r="E937" i="2"/>
  <c r="C937" i="2" l="1"/>
  <c r="E936" i="2"/>
  <c r="C936" i="2" l="1"/>
  <c r="E935" i="2"/>
  <c r="C935" i="2" l="1"/>
  <c r="E934" i="2"/>
  <c r="C934" i="2" l="1"/>
  <c r="E933" i="2"/>
  <c r="C933" i="2" l="1"/>
  <c r="E932" i="2"/>
  <c r="C932" i="2" l="1"/>
  <c r="E931" i="2"/>
  <c r="C931" i="2" l="1"/>
  <c r="E930" i="2"/>
  <c r="C930" i="2" l="1"/>
  <c r="E929" i="2"/>
  <c r="C929" i="2" l="1"/>
  <c r="E928" i="2"/>
  <c r="C928" i="2" l="1"/>
  <c r="E927" i="2"/>
  <c r="C927" i="2" l="1"/>
  <c r="E926" i="2"/>
  <c r="C926" i="2" l="1"/>
  <c r="E925" i="2"/>
  <c r="C925" i="2" l="1"/>
  <c r="E924" i="2"/>
  <c r="C924" i="2" l="1"/>
  <c r="E923" i="2"/>
  <c r="C923" i="2" l="1"/>
  <c r="E922" i="2"/>
  <c r="C922" i="2" l="1"/>
  <c r="E921" i="2"/>
  <c r="C921" i="2" l="1"/>
  <c r="E920" i="2"/>
  <c r="C920" i="2" l="1"/>
  <c r="E919" i="2"/>
  <c r="C919" i="2" l="1"/>
  <c r="E918" i="2"/>
  <c r="C918" i="2" l="1"/>
  <c r="E917" i="2"/>
  <c r="C917" i="2" l="1"/>
  <c r="E916" i="2"/>
  <c r="C916" i="2" l="1"/>
  <c r="E915" i="2"/>
  <c r="C915" i="2" l="1"/>
  <c r="E914" i="2"/>
  <c r="C914" i="2" l="1"/>
  <c r="E913" i="2"/>
  <c r="C913" i="2" l="1"/>
  <c r="E912" i="2"/>
  <c r="C912" i="2" l="1"/>
  <c r="E911" i="2"/>
  <c r="C911" i="2" l="1"/>
  <c r="E910" i="2"/>
  <c r="C910" i="2" l="1"/>
  <c r="E909" i="2"/>
  <c r="C909" i="2" l="1"/>
  <c r="E908" i="2"/>
  <c r="C908" i="2" l="1"/>
  <c r="E907" i="2"/>
  <c r="C907" i="2" l="1"/>
  <c r="E906" i="2"/>
  <c r="C906" i="2" l="1"/>
  <c r="E905" i="2"/>
  <c r="C905" i="2" l="1"/>
  <c r="E904" i="2"/>
  <c r="C904" i="2" l="1"/>
  <c r="E903" i="2"/>
  <c r="C903" i="2" l="1"/>
  <c r="E902" i="2"/>
  <c r="C902" i="2" l="1"/>
  <c r="E901" i="2"/>
  <c r="C901" i="2" l="1"/>
  <c r="E900" i="2"/>
  <c r="C900" i="2" l="1"/>
  <c r="E899" i="2"/>
  <c r="C899" i="2" l="1"/>
  <c r="E898" i="2"/>
  <c r="C898" i="2" l="1"/>
  <c r="E897" i="2"/>
  <c r="C897" i="2" l="1"/>
  <c r="E896" i="2"/>
  <c r="C896" i="2" l="1"/>
  <c r="E895" i="2"/>
  <c r="C895" i="2" l="1"/>
  <c r="E894" i="2"/>
  <c r="C894" i="2" l="1"/>
  <c r="E893" i="2"/>
  <c r="C893" i="2" l="1"/>
  <c r="E892" i="2"/>
  <c r="C892" i="2" l="1"/>
  <c r="E891" i="2"/>
  <c r="C891" i="2" l="1"/>
  <c r="E890" i="2"/>
  <c r="C890" i="2" l="1"/>
  <c r="E889" i="2"/>
  <c r="C889" i="2" l="1"/>
  <c r="E888" i="2"/>
  <c r="C888" i="2" l="1"/>
  <c r="E887" i="2"/>
  <c r="C887" i="2" l="1"/>
  <c r="E886" i="2"/>
  <c r="C886" i="2" l="1"/>
  <c r="E885" i="2"/>
  <c r="C885" i="2" l="1"/>
  <c r="E884" i="2"/>
  <c r="C884" i="2" l="1"/>
  <c r="E883" i="2"/>
  <c r="C883" i="2" l="1"/>
  <c r="E882" i="2"/>
  <c r="C882" i="2" l="1"/>
  <c r="E881" i="2"/>
  <c r="C881" i="2" l="1"/>
  <c r="E880" i="2"/>
  <c r="C880" i="2" l="1"/>
  <c r="E879" i="2"/>
  <c r="C879" i="2" l="1"/>
  <c r="E878" i="2"/>
  <c r="C878" i="2" l="1"/>
  <c r="E877" i="2"/>
  <c r="C877" i="2" l="1"/>
  <c r="E876" i="2"/>
  <c r="C876" i="2" l="1"/>
  <c r="E875" i="2"/>
  <c r="C875" i="2" l="1"/>
  <c r="E874" i="2"/>
  <c r="C874" i="2" l="1"/>
  <c r="E873" i="2"/>
  <c r="C873" i="2" l="1"/>
  <c r="E872" i="2"/>
  <c r="C872" i="2" l="1"/>
  <c r="E871" i="2"/>
  <c r="C871" i="2" l="1"/>
  <c r="E870" i="2"/>
  <c r="C870" i="2" l="1"/>
  <c r="E869" i="2"/>
  <c r="C869" i="2" l="1"/>
  <c r="E868" i="2"/>
  <c r="C868" i="2" l="1"/>
  <c r="E867" i="2"/>
  <c r="C867" i="2" l="1"/>
  <c r="E866" i="2"/>
  <c r="C866" i="2" l="1"/>
  <c r="E865" i="2"/>
  <c r="C865" i="2" l="1"/>
  <c r="E864" i="2"/>
  <c r="C864" i="2" l="1"/>
  <c r="E863" i="2"/>
  <c r="C863" i="2" l="1"/>
  <c r="E862" i="2"/>
  <c r="C862" i="2" l="1"/>
  <c r="E861" i="2"/>
  <c r="C861" i="2" l="1"/>
  <c r="E860" i="2"/>
  <c r="C860" i="2" l="1"/>
  <c r="E859" i="2"/>
  <c r="C859" i="2" l="1"/>
  <c r="E858" i="2"/>
  <c r="C858" i="2" l="1"/>
  <c r="E857" i="2"/>
  <c r="C857" i="2" l="1"/>
  <c r="E856" i="2"/>
  <c r="C856" i="2" l="1"/>
  <c r="E855" i="2"/>
  <c r="C855" i="2" l="1"/>
  <c r="E854" i="2"/>
  <c r="C854" i="2" l="1"/>
  <c r="E853" i="2"/>
  <c r="C853" i="2" l="1"/>
  <c r="E852" i="2"/>
  <c r="C852" i="2" l="1"/>
  <c r="E851" i="2"/>
  <c r="C851" i="2" l="1"/>
  <c r="E850" i="2"/>
  <c r="C850" i="2" l="1"/>
  <c r="E849" i="2"/>
  <c r="C849" i="2" l="1"/>
  <c r="E848" i="2"/>
  <c r="C848" i="2" l="1"/>
  <c r="E847" i="2"/>
  <c r="C847" i="2" l="1"/>
  <c r="E846" i="2"/>
  <c r="C846" i="2" l="1"/>
  <c r="E845" i="2"/>
  <c r="C845" i="2" l="1"/>
  <c r="E844" i="2"/>
  <c r="C844" i="2" l="1"/>
  <c r="E843" i="2"/>
  <c r="C843" i="2" l="1"/>
  <c r="E842" i="2"/>
  <c r="C842" i="2" l="1"/>
  <c r="E841" i="2"/>
  <c r="C841" i="2" l="1"/>
  <c r="E840" i="2"/>
  <c r="C840" i="2" l="1"/>
  <c r="E839" i="2"/>
  <c r="C839" i="2" l="1"/>
  <c r="E838" i="2"/>
  <c r="C838" i="2" l="1"/>
  <c r="E837" i="2"/>
  <c r="C837" i="2" l="1"/>
  <c r="E836" i="2"/>
  <c r="C836" i="2" l="1"/>
  <c r="E835" i="2"/>
  <c r="C835" i="2" l="1"/>
  <c r="E834" i="2"/>
  <c r="C834" i="2" l="1"/>
  <c r="E833" i="2"/>
  <c r="C833" i="2" l="1"/>
  <c r="E832" i="2"/>
  <c r="C832" i="2" l="1"/>
  <c r="E831" i="2"/>
  <c r="C831" i="2" l="1"/>
  <c r="E830" i="2"/>
  <c r="C830" i="2" l="1"/>
  <c r="E829" i="2"/>
  <c r="C829" i="2" l="1"/>
  <c r="E828" i="2"/>
  <c r="C828" i="2" l="1"/>
  <c r="E827" i="2"/>
  <c r="C827" i="2" l="1"/>
  <c r="E826" i="2"/>
  <c r="C826" i="2" l="1"/>
  <c r="E825" i="2"/>
  <c r="C825" i="2" l="1"/>
  <c r="E824" i="2"/>
  <c r="C824" i="2" l="1"/>
  <c r="E823" i="2"/>
  <c r="C823" i="2" l="1"/>
  <c r="E822" i="2"/>
  <c r="C822" i="2" l="1"/>
  <c r="E821" i="2"/>
  <c r="C821" i="2" l="1"/>
  <c r="E820" i="2"/>
  <c r="C820" i="2" l="1"/>
  <c r="E819" i="2"/>
  <c r="C819" i="2" l="1"/>
  <c r="E818" i="2"/>
  <c r="C818" i="2" l="1"/>
  <c r="E817" i="2"/>
  <c r="C817" i="2" l="1"/>
  <c r="E816" i="2"/>
  <c r="C816" i="2" l="1"/>
  <c r="E815" i="2"/>
  <c r="C815" i="2" l="1"/>
  <c r="E814" i="2"/>
  <c r="C814" i="2" l="1"/>
  <c r="E813" i="2"/>
  <c r="C813" i="2" l="1"/>
  <c r="E812" i="2"/>
  <c r="C812" i="2" l="1"/>
  <c r="E811" i="2"/>
  <c r="C811" i="2" l="1"/>
  <c r="E810" i="2"/>
  <c r="C810" i="2" l="1"/>
  <c r="E809" i="2"/>
  <c r="C809" i="2" l="1"/>
  <c r="E808" i="2"/>
  <c r="C808" i="2" l="1"/>
  <c r="E807" i="2"/>
  <c r="C807" i="2" l="1"/>
  <c r="E806" i="2"/>
  <c r="C806" i="2" l="1"/>
  <c r="E805" i="2"/>
  <c r="C805" i="2" l="1"/>
  <c r="E804" i="2"/>
  <c r="C804" i="2" l="1"/>
  <c r="E803" i="2"/>
  <c r="C803" i="2" l="1"/>
  <c r="E802" i="2"/>
  <c r="C802" i="2" l="1"/>
  <c r="E801" i="2"/>
  <c r="C801" i="2" l="1"/>
  <c r="E800" i="2"/>
  <c r="C800" i="2" l="1"/>
  <c r="E799" i="2"/>
  <c r="C799" i="2" l="1"/>
  <c r="E798" i="2"/>
  <c r="C798" i="2" l="1"/>
  <c r="E797" i="2"/>
  <c r="C797" i="2" l="1"/>
  <c r="E796" i="2"/>
  <c r="C796" i="2" l="1"/>
  <c r="E795" i="2"/>
  <c r="C795" i="2" l="1"/>
  <c r="E794" i="2"/>
  <c r="C794" i="2" l="1"/>
  <c r="E793" i="2"/>
  <c r="C793" i="2" l="1"/>
  <c r="E792" i="2"/>
  <c r="C792" i="2" l="1"/>
  <c r="E791" i="2"/>
  <c r="C791" i="2" l="1"/>
  <c r="E790" i="2"/>
  <c r="C790" i="2" l="1"/>
  <c r="E789" i="2"/>
  <c r="C789" i="2" l="1"/>
  <c r="E788" i="2"/>
  <c r="C788" i="2" l="1"/>
  <c r="E787" i="2"/>
  <c r="C787" i="2" l="1"/>
  <c r="E786" i="2"/>
  <c r="C786" i="2" l="1"/>
  <c r="E785" i="2"/>
  <c r="C785" i="2" l="1"/>
  <c r="E784" i="2"/>
  <c r="C784" i="2" l="1"/>
  <c r="E783" i="2"/>
  <c r="C783" i="2" l="1"/>
  <c r="E782" i="2"/>
  <c r="C782" i="2" l="1"/>
  <c r="E781" i="2"/>
  <c r="C781" i="2" l="1"/>
  <c r="E780" i="2"/>
  <c r="C780" i="2" l="1"/>
  <c r="E779" i="2"/>
  <c r="C779" i="2" l="1"/>
  <c r="E778" i="2"/>
  <c r="C778" i="2" l="1"/>
  <c r="E777" i="2"/>
  <c r="C777" i="2" l="1"/>
  <c r="E776" i="2"/>
  <c r="C776" i="2" l="1"/>
  <c r="E775" i="2"/>
  <c r="C775" i="2" l="1"/>
  <c r="E774" i="2"/>
  <c r="C774" i="2" l="1"/>
  <c r="E773" i="2"/>
  <c r="C773" i="2" l="1"/>
  <c r="E772" i="2"/>
  <c r="C772" i="2" l="1"/>
  <c r="E771" i="2"/>
  <c r="C771" i="2" l="1"/>
  <c r="E770" i="2"/>
  <c r="C770" i="2" l="1"/>
  <c r="E769" i="2"/>
  <c r="C769" i="2" l="1"/>
  <c r="E768" i="2"/>
  <c r="C768" i="2" l="1"/>
  <c r="E767" i="2"/>
  <c r="C767" i="2" l="1"/>
  <c r="E766" i="2"/>
  <c r="C766" i="2" l="1"/>
  <c r="E765" i="2"/>
  <c r="C765" i="2" l="1"/>
  <c r="E764" i="2"/>
  <c r="C764" i="2" l="1"/>
  <c r="E763" i="2"/>
  <c r="C763" i="2" l="1"/>
  <c r="E762" i="2"/>
  <c r="C762" i="2" l="1"/>
  <c r="E761" i="2"/>
  <c r="C761" i="2" l="1"/>
  <c r="E760" i="2"/>
  <c r="C760" i="2" l="1"/>
  <c r="E759" i="2"/>
  <c r="C759" i="2" l="1"/>
  <c r="E758" i="2"/>
  <c r="C758" i="2" l="1"/>
  <c r="E757" i="2"/>
  <c r="C757" i="2" l="1"/>
  <c r="E756" i="2"/>
  <c r="C756" i="2" l="1"/>
  <c r="E755" i="2"/>
  <c r="C755" i="2" l="1"/>
  <c r="E754" i="2"/>
  <c r="C754" i="2" l="1"/>
  <c r="E753" i="2"/>
  <c r="C753" i="2" l="1"/>
  <c r="E752" i="2"/>
  <c r="C752" i="2" l="1"/>
  <c r="E751" i="2"/>
  <c r="C751" i="2" l="1"/>
  <c r="E750" i="2"/>
  <c r="C750" i="2" l="1"/>
  <c r="E749" i="2"/>
  <c r="C749" i="2" l="1"/>
  <c r="E748" i="2"/>
  <c r="C748" i="2" l="1"/>
  <c r="E747" i="2"/>
  <c r="C747" i="2" l="1"/>
  <c r="E746" i="2"/>
  <c r="C746" i="2" l="1"/>
  <c r="E745" i="2"/>
  <c r="C745" i="2" l="1"/>
  <c r="E744" i="2"/>
  <c r="C744" i="2" l="1"/>
  <c r="E743" i="2"/>
  <c r="C743" i="2" l="1"/>
  <c r="E742" i="2"/>
  <c r="C742" i="2" l="1"/>
  <c r="E741" i="2"/>
  <c r="C741" i="2" l="1"/>
  <c r="E740" i="2"/>
  <c r="C740" i="2" l="1"/>
  <c r="E739" i="2"/>
  <c r="C739" i="2" l="1"/>
  <c r="E738" i="2"/>
  <c r="C738" i="2" l="1"/>
  <c r="E737" i="2"/>
  <c r="C737" i="2" l="1"/>
  <c r="E736" i="2"/>
  <c r="C736" i="2" l="1"/>
  <c r="E735" i="2"/>
  <c r="C735" i="2" l="1"/>
  <c r="E734" i="2"/>
  <c r="C734" i="2" l="1"/>
  <c r="E733" i="2"/>
  <c r="C733" i="2" l="1"/>
  <c r="E732" i="2"/>
  <c r="C732" i="2" l="1"/>
  <c r="E731" i="2"/>
  <c r="C731" i="2" l="1"/>
  <c r="E730" i="2"/>
  <c r="C730" i="2" l="1"/>
  <c r="E729" i="2"/>
  <c r="C729" i="2" l="1"/>
  <c r="E728" i="2"/>
  <c r="C728" i="2" l="1"/>
  <c r="E727" i="2"/>
  <c r="C727" i="2" l="1"/>
  <c r="E726" i="2"/>
  <c r="C726" i="2" l="1"/>
  <c r="E725" i="2"/>
  <c r="C725" i="2" l="1"/>
  <c r="E724" i="2"/>
  <c r="C724" i="2" l="1"/>
  <c r="E723" i="2"/>
  <c r="C723" i="2" l="1"/>
  <c r="E722" i="2"/>
  <c r="C722" i="2" l="1"/>
  <c r="E721" i="2"/>
  <c r="C721" i="2" l="1"/>
  <c r="E720" i="2"/>
  <c r="C720" i="2" l="1"/>
  <c r="E719" i="2"/>
  <c r="C719" i="2" l="1"/>
  <c r="E718" i="2"/>
  <c r="C718" i="2" l="1"/>
  <c r="E717" i="2"/>
  <c r="C717" i="2" l="1"/>
  <c r="E716" i="2"/>
  <c r="C716" i="2" l="1"/>
  <c r="E715" i="2"/>
  <c r="C715" i="2" l="1"/>
  <c r="E714" i="2"/>
  <c r="C714" i="2" l="1"/>
  <c r="E713" i="2"/>
  <c r="C713" i="2" l="1"/>
  <c r="E712" i="2"/>
  <c r="C712" i="2" l="1"/>
  <c r="E711" i="2"/>
  <c r="C711" i="2" l="1"/>
  <c r="E710" i="2"/>
  <c r="C710" i="2" l="1"/>
  <c r="E709" i="2"/>
  <c r="C709" i="2" l="1"/>
  <c r="E708" i="2"/>
  <c r="C708" i="2" l="1"/>
  <c r="E707" i="2"/>
  <c r="C707" i="2" l="1"/>
  <c r="E706" i="2"/>
  <c r="C706" i="2" l="1"/>
  <c r="E705" i="2"/>
  <c r="C705" i="2" l="1"/>
  <c r="E704" i="2"/>
  <c r="C704" i="2" l="1"/>
  <c r="E703" i="2"/>
  <c r="C703" i="2" l="1"/>
  <c r="E702" i="2"/>
  <c r="C702" i="2" l="1"/>
  <c r="E701" i="2"/>
  <c r="C701" i="2" l="1"/>
  <c r="E700" i="2"/>
  <c r="C700" i="2" l="1"/>
  <c r="E699" i="2"/>
  <c r="C699" i="2" l="1"/>
  <c r="E698" i="2"/>
  <c r="C698" i="2" l="1"/>
  <c r="E697" i="2"/>
  <c r="C697" i="2" l="1"/>
  <c r="E696" i="2"/>
  <c r="C696" i="2" l="1"/>
  <c r="E695" i="2"/>
  <c r="C695" i="2" l="1"/>
  <c r="E694" i="2"/>
  <c r="C694" i="2" l="1"/>
  <c r="E693" i="2"/>
  <c r="C693" i="2" l="1"/>
  <c r="E692" i="2"/>
  <c r="C692" i="2" l="1"/>
  <c r="E691" i="2"/>
  <c r="C691" i="2" l="1"/>
  <c r="E690" i="2"/>
  <c r="C690" i="2" l="1"/>
  <c r="E689" i="2"/>
  <c r="C689" i="2" l="1"/>
  <c r="E688" i="2"/>
  <c r="C688" i="2" l="1"/>
  <c r="E687" i="2"/>
  <c r="C687" i="2" l="1"/>
  <c r="E686" i="2"/>
  <c r="C686" i="2" l="1"/>
  <c r="E685" i="2"/>
  <c r="C685" i="2" l="1"/>
  <c r="E684" i="2"/>
  <c r="C684" i="2" l="1"/>
  <c r="E683" i="2"/>
  <c r="C683" i="2" l="1"/>
  <c r="E682" i="2"/>
  <c r="C682" i="2" l="1"/>
  <c r="E681" i="2"/>
  <c r="C681" i="2" l="1"/>
  <c r="E680" i="2"/>
  <c r="C680" i="2" l="1"/>
  <c r="E679" i="2"/>
  <c r="C679" i="2" l="1"/>
  <c r="E678" i="2"/>
  <c r="C678" i="2" l="1"/>
  <c r="E677" i="2"/>
  <c r="C677" i="2" l="1"/>
  <c r="E676" i="2"/>
  <c r="C676" i="2" l="1"/>
  <c r="E675" i="2"/>
  <c r="C675" i="2" l="1"/>
  <c r="E674" i="2"/>
  <c r="C674" i="2" l="1"/>
  <c r="E673" i="2"/>
  <c r="C673" i="2" l="1"/>
  <c r="E672" i="2"/>
  <c r="C672" i="2" l="1"/>
  <c r="E671" i="2"/>
  <c r="C671" i="2" l="1"/>
  <c r="E670" i="2"/>
  <c r="C670" i="2" l="1"/>
  <c r="E669" i="2"/>
  <c r="C669" i="2" l="1"/>
  <c r="E668" i="2"/>
  <c r="C668" i="2" l="1"/>
  <c r="E667" i="2"/>
  <c r="C667" i="2" l="1"/>
  <c r="E666" i="2"/>
  <c r="C666" i="2" l="1"/>
  <c r="E665" i="2"/>
  <c r="C665" i="2" l="1"/>
  <c r="E664" i="2"/>
  <c r="C664" i="2" l="1"/>
  <c r="E663" i="2"/>
  <c r="C663" i="2" l="1"/>
  <c r="E662" i="2"/>
  <c r="C662" i="2" l="1"/>
  <c r="E661" i="2"/>
  <c r="C661" i="2" l="1"/>
  <c r="E660" i="2"/>
  <c r="C660" i="2" l="1"/>
  <c r="E659" i="2"/>
  <c r="C659" i="2" l="1"/>
  <c r="E658" i="2"/>
  <c r="C658" i="2" l="1"/>
  <c r="E657" i="2"/>
  <c r="C657" i="2" l="1"/>
  <c r="E656" i="2"/>
  <c r="C656" i="2" l="1"/>
  <c r="E655" i="2"/>
  <c r="C655" i="2" l="1"/>
  <c r="E654" i="2"/>
  <c r="C654" i="2" l="1"/>
  <c r="E653" i="2"/>
  <c r="C653" i="2" l="1"/>
  <c r="E652" i="2"/>
  <c r="C652" i="2" l="1"/>
  <c r="E651" i="2"/>
  <c r="C651" i="2" l="1"/>
  <c r="E650" i="2"/>
  <c r="C650" i="2" l="1"/>
  <c r="E649" i="2"/>
  <c r="C649" i="2" l="1"/>
  <c r="E648" i="2"/>
  <c r="C648" i="2" l="1"/>
  <c r="E647" i="2"/>
  <c r="C647" i="2" l="1"/>
  <c r="E646" i="2"/>
  <c r="C646" i="2" l="1"/>
  <c r="E645" i="2"/>
  <c r="C645" i="2" l="1"/>
  <c r="E644" i="2"/>
  <c r="C644" i="2" l="1"/>
  <c r="E643" i="2"/>
  <c r="C643" i="2" l="1"/>
  <c r="E642" i="2"/>
  <c r="C642" i="2" l="1"/>
  <c r="E641" i="2"/>
  <c r="C641" i="2" l="1"/>
  <c r="E640" i="2"/>
  <c r="C640" i="2" l="1"/>
  <c r="E639" i="2"/>
  <c r="C639" i="2" l="1"/>
  <c r="E638" i="2"/>
  <c r="C638" i="2" l="1"/>
  <c r="E637" i="2"/>
  <c r="C637" i="2" l="1"/>
  <c r="E636" i="2"/>
  <c r="C636" i="2" l="1"/>
  <c r="E635" i="2"/>
  <c r="C635" i="2" l="1"/>
  <c r="E634" i="2"/>
  <c r="C634" i="2" l="1"/>
  <c r="E633" i="2"/>
  <c r="C633" i="2" l="1"/>
  <c r="E632" i="2"/>
  <c r="C632" i="2" l="1"/>
  <c r="E631" i="2"/>
  <c r="C631" i="2" l="1"/>
  <c r="E630" i="2"/>
  <c r="C630" i="2" l="1"/>
  <c r="E629" i="2"/>
  <c r="C629" i="2" l="1"/>
  <c r="E628" i="2"/>
  <c r="C628" i="2" l="1"/>
  <c r="E627" i="2"/>
  <c r="C627" i="2" l="1"/>
  <c r="E626" i="2"/>
  <c r="C626" i="2" l="1"/>
  <c r="E625" i="2"/>
  <c r="C625" i="2" l="1"/>
  <c r="E624" i="2"/>
  <c r="C624" i="2" l="1"/>
  <c r="E623" i="2"/>
  <c r="C623" i="2" l="1"/>
  <c r="E622" i="2"/>
  <c r="C622" i="2" l="1"/>
  <c r="E621" i="2"/>
  <c r="C621" i="2" l="1"/>
  <c r="E620" i="2"/>
  <c r="C620" i="2" l="1"/>
  <c r="E619" i="2"/>
  <c r="C619" i="2" l="1"/>
  <c r="E618" i="2"/>
  <c r="C618" i="2" l="1"/>
  <c r="E617" i="2"/>
  <c r="C617" i="2" l="1"/>
  <c r="E616" i="2"/>
  <c r="C616" i="2" l="1"/>
  <c r="E615" i="2"/>
  <c r="C615" i="2" l="1"/>
  <c r="E614" i="2"/>
  <c r="C614" i="2" l="1"/>
  <c r="E613" i="2"/>
  <c r="C613" i="2" l="1"/>
  <c r="E612" i="2"/>
  <c r="C612" i="2" l="1"/>
  <c r="E611" i="2"/>
  <c r="C611" i="2" l="1"/>
  <c r="E610" i="2"/>
  <c r="C610" i="2" l="1"/>
  <c r="E609" i="2"/>
  <c r="C609" i="2" l="1"/>
  <c r="E608" i="2"/>
  <c r="C608" i="2" l="1"/>
  <c r="E607" i="2"/>
  <c r="C607" i="2" l="1"/>
  <c r="E606" i="2"/>
  <c r="C606" i="2" l="1"/>
  <c r="E605" i="2"/>
  <c r="C605" i="2" l="1"/>
  <c r="E604" i="2"/>
  <c r="C604" i="2" l="1"/>
  <c r="E603" i="2"/>
  <c r="C603" i="2" l="1"/>
  <c r="E602" i="2"/>
  <c r="C602" i="2" l="1"/>
  <c r="E601" i="2"/>
  <c r="C601" i="2" l="1"/>
  <c r="E600" i="2"/>
  <c r="C600" i="2" l="1"/>
  <c r="E599" i="2"/>
  <c r="C599" i="2" l="1"/>
  <c r="E598" i="2"/>
  <c r="C598" i="2" l="1"/>
  <c r="E597" i="2"/>
  <c r="C597" i="2" l="1"/>
  <c r="E596" i="2"/>
  <c r="C596" i="2" l="1"/>
  <c r="E595" i="2"/>
  <c r="C595" i="2" l="1"/>
  <c r="E594" i="2"/>
  <c r="C594" i="2" l="1"/>
  <c r="E593" i="2"/>
  <c r="C593" i="2" l="1"/>
  <c r="E592" i="2"/>
  <c r="C592" i="2" l="1"/>
  <c r="E591" i="2"/>
  <c r="C591" i="2" l="1"/>
  <c r="E590" i="2"/>
  <c r="C590" i="2" l="1"/>
  <c r="E589" i="2"/>
  <c r="C589" i="2" l="1"/>
  <c r="E588" i="2"/>
  <c r="C588" i="2" l="1"/>
  <c r="E587" i="2"/>
  <c r="C587" i="2" l="1"/>
  <c r="E586" i="2"/>
  <c r="C586" i="2" l="1"/>
  <c r="E585" i="2"/>
  <c r="C585" i="2" l="1"/>
  <c r="E584" i="2"/>
  <c r="C584" i="2" l="1"/>
  <c r="E583" i="2"/>
  <c r="C583" i="2" l="1"/>
  <c r="E582" i="2"/>
  <c r="C582" i="2" l="1"/>
  <c r="E581" i="2"/>
  <c r="C581" i="2" l="1"/>
  <c r="E580" i="2"/>
  <c r="C580" i="2" l="1"/>
  <c r="E579" i="2"/>
  <c r="C579" i="2" l="1"/>
  <c r="E578" i="2"/>
  <c r="C578" i="2" l="1"/>
  <c r="E577" i="2"/>
  <c r="C577" i="2" l="1"/>
  <c r="E576" i="2"/>
  <c r="C576" i="2" l="1"/>
  <c r="E575" i="2"/>
  <c r="C575" i="2" l="1"/>
  <c r="E574" i="2"/>
  <c r="C574" i="2" l="1"/>
  <c r="E573" i="2"/>
  <c r="C573" i="2" l="1"/>
  <c r="E572" i="2"/>
  <c r="C572" i="2" l="1"/>
  <c r="E571" i="2"/>
  <c r="C571" i="2" l="1"/>
  <c r="E570" i="2"/>
  <c r="C570" i="2" l="1"/>
  <c r="E569" i="2"/>
  <c r="C569" i="2" l="1"/>
  <c r="E568" i="2"/>
  <c r="C568" i="2" l="1"/>
  <c r="E567" i="2"/>
  <c r="C567" i="2" l="1"/>
  <c r="E566" i="2"/>
  <c r="C566" i="2" l="1"/>
  <c r="E565" i="2"/>
  <c r="C565" i="2" l="1"/>
  <c r="E564" i="2"/>
  <c r="C564" i="2" l="1"/>
  <c r="E563" i="2"/>
  <c r="C563" i="2" l="1"/>
  <c r="E562" i="2"/>
  <c r="C562" i="2" l="1"/>
  <c r="E561" i="2"/>
  <c r="C561" i="2" l="1"/>
  <c r="E560" i="2"/>
  <c r="C560" i="2" l="1"/>
  <c r="E559" i="2"/>
  <c r="C559" i="2" l="1"/>
  <c r="E558" i="2"/>
  <c r="C558" i="2" l="1"/>
  <c r="E557" i="2"/>
  <c r="C557" i="2" l="1"/>
  <c r="E556" i="2"/>
  <c r="C556" i="2" l="1"/>
  <c r="E555" i="2"/>
  <c r="C555" i="2" l="1"/>
  <c r="E554" i="2"/>
  <c r="C554" i="2" l="1"/>
  <c r="E553" i="2"/>
  <c r="C553" i="2" l="1"/>
  <c r="E552" i="2"/>
  <c r="C552" i="2" l="1"/>
  <c r="E551" i="2"/>
  <c r="C551" i="2" l="1"/>
  <c r="E550" i="2"/>
  <c r="C550" i="2" l="1"/>
  <c r="E549" i="2"/>
  <c r="C549" i="2" l="1"/>
  <c r="E548" i="2"/>
  <c r="C548" i="2" l="1"/>
  <c r="E547" i="2"/>
  <c r="C547" i="2" l="1"/>
  <c r="E546" i="2"/>
  <c r="C546" i="2" l="1"/>
  <c r="E545" i="2"/>
  <c r="C545" i="2" l="1"/>
  <c r="E544" i="2"/>
  <c r="C544" i="2" l="1"/>
  <c r="E543" i="2"/>
  <c r="C543" i="2" l="1"/>
  <c r="E542" i="2"/>
  <c r="C542" i="2" l="1"/>
  <c r="E541" i="2"/>
  <c r="C541" i="2" l="1"/>
  <c r="E540" i="2"/>
  <c r="C540" i="2" l="1"/>
  <c r="E539" i="2"/>
  <c r="C539" i="2" l="1"/>
  <c r="E538" i="2"/>
  <c r="C538" i="2" l="1"/>
  <c r="E537" i="2"/>
  <c r="C537" i="2" l="1"/>
  <c r="E536" i="2"/>
  <c r="C536" i="2" l="1"/>
  <c r="E535" i="2"/>
  <c r="C535" i="2" l="1"/>
  <c r="E534" i="2"/>
  <c r="C534" i="2" l="1"/>
  <c r="E533" i="2"/>
  <c r="C533" i="2" l="1"/>
  <c r="E532" i="2"/>
  <c r="C532" i="2" l="1"/>
  <c r="E531" i="2"/>
  <c r="C531" i="2" l="1"/>
  <c r="E530" i="2"/>
  <c r="C530" i="2" l="1"/>
  <c r="E529" i="2"/>
  <c r="C529" i="2" l="1"/>
  <c r="E528" i="2"/>
  <c r="C528" i="2" l="1"/>
  <c r="E527" i="2"/>
  <c r="C527" i="2" l="1"/>
  <c r="E526" i="2"/>
  <c r="C526" i="2" l="1"/>
  <c r="E525" i="2"/>
  <c r="C525" i="2" l="1"/>
  <c r="E524" i="2"/>
  <c r="C524" i="2" l="1"/>
  <c r="E523" i="2"/>
  <c r="C523" i="2" l="1"/>
  <c r="E522" i="2"/>
  <c r="C522" i="2" l="1"/>
  <c r="E521" i="2"/>
  <c r="C521" i="2" l="1"/>
  <c r="E520" i="2"/>
  <c r="C520" i="2" l="1"/>
  <c r="E519" i="2"/>
  <c r="C519" i="2" l="1"/>
  <c r="E518" i="2"/>
  <c r="C518" i="2" l="1"/>
  <c r="E517" i="2"/>
  <c r="C517" i="2" l="1"/>
  <c r="E516" i="2"/>
  <c r="C516" i="2" l="1"/>
  <c r="E515" i="2"/>
  <c r="C515" i="2" l="1"/>
  <c r="E514" i="2"/>
  <c r="C514" i="2" l="1"/>
  <c r="E513" i="2"/>
  <c r="C513" i="2" l="1"/>
  <c r="E512" i="2"/>
  <c r="C512" i="2" l="1"/>
  <c r="E511" i="2"/>
  <c r="C511" i="2" l="1"/>
  <c r="E510" i="2"/>
  <c r="C510" i="2" l="1"/>
  <c r="E509" i="2"/>
  <c r="C509" i="2" l="1"/>
  <c r="E508" i="2"/>
  <c r="C508" i="2" l="1"/>
  <c r="E507" i="2"/>
  <c r="C507" i="2" l="1"/>
  <c r="E506" i="2"/>
  <c r="C506" i="2" l="1"/>
  <c r="E505" i="2"/>
  <c r="C505" i="2" l="1"/>
  <c r="E504" i="2"/>
  <c r="C504" i="2" l="1"/>
  <c r="E503" i="2"/>
  <c r="C503" i="2" l="1"/>
  <c r="E502" i="2"/>
  <c r="C502" i="2" l="1"/>
  <c r="E501" i="2"/>
  <c r="C501" i="2" l="1"/>
  <c r="E500" i="2"/>
  <c r="C500" i="2" l="1"/>
  <c r="E499" i="2"/>
  <c r="C499" i="2" l="1"/>
  <c r="E498" i="2"/>
  <c r="C498" i="2" l="1"/>
  <c r="E497" i="2"/>
  <c r="C497" i="2" l="1"/>
  <c r="E496" i="2"/>
  <c r="C496" i="2" l="1"/>
  <c r="E495" i="2"/>
  <c r="C495" i="2" l="1"/>
  <c r="E494" i="2"/>
  <c r="C494" i="2" l="1"/>
  <c r="E493" i="2"/>
  <c r="C493" i="2" l="1"/>
  <c r="E492" i="2"/>
  <c r="C492" i="2" l="1"/>
  <c r="E491" i="2"/>
  <c r="C491" i="2" l="1"/>
  <c r="E490" i="2"/>
  <c r="C490" i="2" l="1"/>
  <c r="E489" i="2"/>
  <c r="C489" i="2" l="1"/>
  <c r="E488" i="2"/>
  <c r="C488" i="2" l="1"/>
  <c r="E487" i="2"/>
  <c r="C487" i="2" l="1"/>
  <c r="E486" i="2"/>
  <c r="C486" i="2" l="1"/>
  <c r="E485" i="2"/>
  <c r="C485" i="2" l="1"/>
  <c r="E484" i="2"/>
  <c r="C484" i="2" l="1"/>
  <c r="E483" i="2"/>
  <c r="C483" i="2" l="1"/>
  <c r="E482" i="2"/>
  <c r="C482" i="2" l="1"/>
  <c r="E481" i="2"/>
  <c r="C481" i="2" l="1"/>
  <c r="E480" i="2"/>
  <c r="C480" i="2" l="1"/>
  <c r="E479" i="2"/>
  <c r="C479" i="2" l="1"/>
  <c r="E478" i="2"/>
  <c r="C478" i="2" l="1"/>
  <c r="E477" i="2"/>
  <c r="C477" i="2" l="1"/>
  <c r="E476" i="2"/>
  <c r="C476" i="2" l="1"/>
  <c r="E475" i="2"/>
  <c r="C475" i="2" l="1"/>
  <c r="E474" i="2"/>
  <c r="C474" i="2" l="1"/>
  <c r="E473" i="2"/>
  <c r="C473" i="2" l="1"/>
  <c r="E472" i="2"/>
  <c r="C472" i="2" l="1"/>
  <c r="E471" i="2"/>
  <c r="C471" i="2" l="1"/>
  <c r="E470" i="2"/>
  <c r="C470" i="2" l="1"/>
  <c r="E469" i="2"/>
  <c r="C469" i="2" l="1"/>
  <c r="E468" i="2"/>
  <c r="C468" i="2" l="1"/>
  <c r="E467" i="2"/>
  <c r="C467" i="2" l="1"/>
  <c r="E466" i="2"/>
  <c r="C466" i="2" l="1"/>
  <c r="E465" i="2"/>
  <c r="C465" i="2" l="1"/>
  <c r="E464" i="2"/>
  <c r="C464" i="2" l="1"/>
  <c r="E463" i="2"/>
  <c r="C463" i="2" l="1"/>
  <c r="E462" i="2"/>
  <c r="C462" i="2" l="1"/>
  <c r="E461" i="2"/>
  <c r="C461" i="2" l="1"/>
  <c r="E460" i="2"/>
  <c r="C460" i="2" l="1"/>
  <c r="E459" i="2"/>
  <c r="C459" i="2" l="1"/>
  <c r="E458" i="2"/>
  <c r="C458" i="2" l="1"/>
  <c r="E457" i="2"/>
  <c r="C457" i="2" l="1"/>
  <c r="E456" i="2"/>
  <c r="C456" i="2" l="1"/>
  <c r="E455" i="2"/>
  <c r="C455" i="2" l="1"/>
  <c r="E454" i="2"/>
  <c r="C454" i="2" l="1"/>
  <c r="E453" i="2"/>
  <c r="C453" i="2" l="1"/>
  <c r="E452" i="2"/>
  <c r="C452" i="2" l="1"/>
  <c r="E451" i="2"/>
  <c r="C451" i="2" l="1"/>
  <c r="E450" i="2"/>
  <c r="C450" i="2" l="1"/>
  <c r="E449" i="2"/>
  <c r="C449" i="2" l="1"/>
  <c r="E448" i="2"/>
  <c r="C448" i="2" l="1"/>
  <c r="E447" i="2"/>
  <c r="C447" i="2" l="1"/>
  <c r="E446" i="2"/>
  <c r="C446" i="2" l="1"/>
  <c r="E445" i="2"/>
  <c r="C445" i="2" l="1"/>
  <c r="E444" i="2"/>
  <c r="C444" i="2" l="1"/>
  <c r="E443" i="2"/>
  <c r="C443" i="2" l="1"/>
  <c r="E442" i="2"/>
  <c r="C442" i="2" l="1"/>
  <c r="E441" i="2"/>
  <c r="C441" i="2" l="1"/>
  <c r="E440" i="2"/>
  <c r="C440" i="2" l="1"/>
  <c r="E439" i="2"/>
  <c r="C439" i="2" l="1"/>
  <c r="E438" i="2"/>
  <c r="C438" i="2" l="1"/>
  <c r="E437" i="2"/>
  <c r="C437" i="2" l="1"/>
  <c r="E436" i="2"/>
  <c r="C436" i="2" l="1"/>
  <c r="E435" i="2"/>
  <c r="C435" i="2" l="1"/>
  <c r="E434" i="2"/>
  <c r="C434" i="2" l="1"/>
  <c r="E433" i="2"/>
  <c r="C433" i="2" l="1"/>
  <c r="E432" i="2"/>
  <c r="C432" i="2" l="1"/>
  <c r="E431" i="2"/>
  <c r="C431" i="2" l="1"/>
  <c r="E430" i="2"/>
  <c r="C430" i="2" l="1"/>
  <c r="E429" i="2"/>
  <c r="C429" i="2" l="1"/>
  <c r="E428" i="2"/>
  <c r="C428" i="2" l="1"/>
  <c r="E427" i="2"/>
  <c r="C427" i="2" l="1"/>
  <c r="E426" i="2"/>
  <c r="C426" i="2" l="1"/>
  <c r="E425" i="2"/>
  <c r="C425" i="2" l="1"/>
  <c r="E424" i="2"/>
  <c r="C424" i="2" l="1"/>
  <c r="E423" i="2"/>
  <c r="C423" i="2" l="1"/>
  <c r="E422" i="2"/>
  <c r="C422" i="2" l="1"/>
  <c r="E421" i="2"/>
  <c r="C421" i="2" l="1"/>
  <c r="E420" i="2"/>
  <c r="C420" i="2" l="1"/>
  <c r="E419" i="2"/>
  <c r="C419" i="2" l="1"/>
  <c r="E418" i="2"/>
  <c r="C418" i="2" l="1"/>
  <c r="E417" i="2"/>
  <c r="C417" i="2" l="1"/>
  <c r="E416" i="2"/>
  <c r="C416" i="2" l="1"/>
  <c r="E415" i="2"/>
  <c r="C415" i="2" l="1"/>
  <c r="E414" i="2"/>
  <c r="C414" i="2" l="1"/>
  <c r="E413" i="2"/>
  <c r="C413" i="2" l="1"/>
  <c r="E412" i="2"/>
  <c r="C412" i="2" l="1"/>
  <c r="E411" i="2"/>
  <c r="C411" i="2" l="1"/>
  <c r="E410" i="2"/>
  <c r="C410" i="2" l="1"/>
  <c r="E409" i="2"/>
  <c r="C409" i="2" l="1"/>
  <c r="E408" i="2"/>
  <c r="C408" i="2" l="1"/>
  <c r="E407" i="2"/>
  <c r="C407" i="2" l="1"/>
  <c r="E406" i="2"/>
  <c r="C406" i="2" l="1"/>
  <c r="E405" i="2"/>
  <c r="C405" i="2" l="1"/>
  <c r="E404" i="2"/>
  <c r="C404" i="2" l="1"/>
  <c r="E403" i="2"/>
  <c r="C403" i="2" l="1"/>
  <c r="E402" i="2"/>
  <c r="C402" i="2" l="1"/>
  <c r="E401" i="2"/>
  <c r="C401" i="2" l="1"/>
  <c r="E400" i="2"/>
  <c r="C400" i="2" l="1"/>
  <c r="E399" i="2"/>
  <c r="C399" i="2" l="1"/>
  <c r="E398" i="2"/>
  <c r="C398" i="2" l="1"/>
  <c r="E397" i="2"/>
  <c r="C397" i="2" l="1"/>
  <c r="E396" i="2"/>
  <c r="C396" i="2" l="1"/>
  <c r="E395" i="2"/>
  <c r="C395" i="2" l="1"/>
  <c r="E394" i="2"/>
  <c r="C394" i="2" l="1"/>
  <c r="E393" i="2"/>
  <c r="C393" i="2" l="1"/>
  <c r="E392" i="2"/>
  <c r="C392" i="2" l="1"/>
  <c r="E391" i="2"/>
  <c r="C391" i="2" l="1"/>
  <c r="E390" i="2"/>
  <c r="C390" i="2" l="1"/>
  <c r="E389" i="2"/>
  <c r="C389" i="2" l="1"/>
  <c r="E388" i="2"/>
  <c r="C388" i="2" l="1"/>
  <c r="E387" i="2"/>
  <c r="C387" i="2" l="1"/>
  <c r="E386" i="2"/>
  <c r="C386" i="2" l="1"/>
  <c r="E385" i="2"/>
  <c r="C385" i="2" l="1"/>
  <c r="E384" i="2"/>
  <c r="C384" i="2" l="1"/>
  <c r="E383" i="2"/>
  <c r="C383" i="2" l="1"/>
  <c r="E382" i="2"/>
  <c r="C382" i="2" l="1"/>
  <c r="E381" i="2"/>
  <c r="C381" i="2" l="1"/>
  <c r="E380" i="2"/>
  <c r="C380" i="2" l="1"/>
  <c r="E379" i="2"/>
  <c r="C379" i="2" l="1"/>
  <c r="E378" i="2"/>
  <c r="C378" i="2" l="1"/>
  <c r="E377" i="2"/>
  <c r="C377" i="2" l="1"/>
  <c r="E376" i="2"/>
  <c r="C376" i="2" l="1"/>
  <c r="E375" i="2"/>
  <c r="C375" i="2" l="1"/>
  <c r="E374" i="2"/>
  <c r="C374" i="2" l="1"/>
  <c r="E373" i="2"/>
  <c r="C373" i="2" l="1"/>
  <c r="E372" i="2"/>
  <c r="C372" i="2" l="1"/>
  <c r="E371" i="2"/>
  <c r="C371" i="2" l="1"/>
  <c r="E370" i="2"/>
  <c r="C370" i="2" l="1"/>
  <c r="E369" i="2"/>
  <c r="C369" i="2" l="1"/>
  <c r="E368" i="2"/>
  <c r="C368" i="2" l="1"/>
  <c r="E367" i="2"/>
  <c r="C367" i="2" l="1"/>
  <c r="E366" i="2"/>
  <c r="C366" i="2" l="1"/>
  <c r="E365" i="2"/>
  <c r="C365" i="2" l="1"/>
  <c r="E364" i="2"/>
  <c r="C364" i="2" l="1"/>
  <c r="E363" i="2"/>
  <c r="C363" i="2" l="1"/>
  <c r="E362" i="2"/>
  <c r="C362" i="2" l="1"/>
  <c r="E361" i="2"/>
  <c r="C361" i="2" l="1"/>
  <c r="E360" i="2"/>
  <c r="C360" i="2" l="1"/>
  <c r="E359" i="2"/>
  <c r="C359" i="2" l="1"/>
  <c r="E358" i="2"/>
  <c r="C358" i="2" l="1"/>
  <c r="E357" i="2"/>
  <c r="C357" i="2" l="1"/>
  <c r="E356" i="2"/>
  <c r="C356" i="2" l="1"/>
  <c r="E355" i="2"/>
  <c r="C355" i="2" l="1"/>
  <c r="E354" i="2"/>
  <c r="C354" i="2" l="1"/>
  <c r="E353" i="2"/>
  <c r="C353" i="2" l="1"/>
  <c r="E352" i="2"/>
  <c r="C352" i="2" l="1"/>
  <c r="E351" i="2"/>
  <c r="C351" i="2" l="1"/>
  <c r="E350" i="2"/>
  <c r="C350" i="2" l="1"/>
  <c r="E349" i="2"/>
  <c r="C349" i="2" l="1"/>
  <c r="E348" i="2"/>
  <c r="C348" i="2" l="1"/>
  <c r="E347" i="2"/>
  <c r="C347" i="2" l="1"/>
  <c r="E346" i="2"/>
  <c r="C346" i="2" l="1"/>
  <c r="E345" i="2"/>
  <c r="C345" i="2" l="1"/>
  <c r="E344" i="2"/>
  <c r="C344" i="2" l="1"/>
  <c r="E343" i="2"/>
  <c r="C343" i="2" l="1"/>
  <c r="E342" i="2"/>
  <c r="C342" i="2" l="1"/>
  <c r="E341" i="2"/>
  <c r="C341" i="2" l="1"/>
  <c r="E340" i="2"/>
  <c r="C340" i="2" l="1"/>
  <c r="E339" i="2"/>
  <c r="C339" i="2" l="1"/>
  <c r="E338" i="2"/>
  <c r="C338" i="2" l="1"/>
  <c r="E337" i="2"/>
  <c r="C337" i="2" l="1"/>
  <c r="E336" i="2"/>
  <c r="C336" i="2" l="1"/>
  <c r="E335" i="2"/>
  <c r="C335" i="2" l="1"/>
  <c r="E334" i="2"/>
  <c r="C334" i="2" l="1"/>
  <c r="E333" i="2"/>
  <c r="C333" i="2" l="1"/>
  <c r="E332" i="2"/>
  <c r="C332" i="2" l="1"/>
  <c r="E331" i="2"/>
  <c r="C331" i="2" l="1"/>
  <c r="E330" i="2"/>
  <c r="C330" i="2" l="1"/>
  <c r="E329" i="2"/>
  <c r="C329" i="2" l="1"/>
  <c r="E328" i="2"/>
  <c r="C328" i="2" l="1"/>
  <c r="E327" i="2"/>
  <c r="C327" i="2" l="1"/>
  <c r="E326" i="2"/>
  <c r="C326" i="2" l="1"/>
  <c r="E325" i="2"/>
  <c r="C325" i="2" l="1"/>
  <c r="E324" i="2"/>
  <c r="C324" i="2" l="1"/>
  <c r="E323" i="2"/>
  <c r="C323" i="2" l="1"/>
  <c r="E322" i="2"/>
  <c r="C322" i="2" l="1"/>
  <c r="E321" i="2"/>
  <c r="C321" i="2" l="1"/>
  <c r="E320" i="2"/>
  <c r="C320" i="2" l="1"/>
  <c r="E319" i="2"/>
  <c r="C319" i="2" l="1"/>
  <c r="E318" i="2"/>
  <c r="C318" i="2" l="1"/>
  <c r="E317" i="2"/>
  <c r="C317" i="2" l="1"/>
  <c r="E316" i="2"/>
  <c r="C316" i="2" l="1"/>
  <c r="E315" i="2"/>
  <c r="C315" i="2" l="1"/>
  <c r="E314" i="2"/>
  <c r="C314" i="2" l="1"/>
  <c r="E313" i="2"/>
  <c r="C313" i="2" l="1"/>
  <c r="E312" i="2"/>
  <c r="C312" i="2" l="1"/>
  <c r="E311" i="2"/>
  <c r="C311" i="2" l="1"/>
  <c r="E310" i="2"/>
  <c r="C310" i="2" l="1"/>
  <c r="E309" i="2"/>
  <c r="C309" i="2" l="1"/>
  <c r="E308" i="2"/>
  <c r="C308" i="2" l="1"/>
  <c r="E307" i="2"/>
  <c r="C307" i="2" l="1"/>
  <c r="E306" i="2"/>
  <c r="C306" i="2" l="1"/>
  <c r="E305" i="2"/>
  <c r="C305" i="2" l="1"/>
  <c r="E304" i="2"/>
  <c r="C304" i="2" l="1"/>
  <c r="E303" i="2"/>
  <c r="C303" i="2" l="1"/>
  <c r="E302" i="2"/>
  <c r="C302" i="2" l="1"/>
  <c r="E301" i="2"/>
  <c r="C301" i="2" l="1"/>
  <c r="E300" i="2"/>
  <c r="C300" i="2" l="1"/>
  <c r="E299" i="2"/>
  <c r="C299" i="2" l="1"/>
  <c r="E298" i="2"/>
  <c r="C298" i="2" l="1"/>
  <c r="E297" i="2"/>
  <c r="C297" i="2" l="1"/>
  <c r="E296" i="2"/>
  <c r="C296" i="2" l="1"/>
  <c r="E295" i="2"/>
  <c r="C295" i="2" l="1"/>
  <c r="E294" i="2"/>
  <c r="C294" i="2" l="1"/>
  <c r="E293" i="2"/>
  <c r="C293" i="2" l="1"/>
  <c r="E292" i="2"/>
  <c r="C292" i="2" l="1"/>
  <c r="E291" i="2"/>
  <c r="C291" i="2" l="1"/>
  <c r="E290" i="2"/>
  <c r="C290" i="2" l="1"/>
  <c r="E289" i="2"/>
  <c r="C289" i="2" l="1"/>
  <c r="E288" i="2"/>
  <c r="C288" i="2" l="1"/>
  <c r="E287" i="2"/>
  <c r="C287" i="2" l="1"/>
  <c r="E286" i="2"/>
  <c r="C286" i="2" l="1"/>
  <c r="E285" i="2"/>
  <c r="C285" i="2" l="1"/>
  <c r="E284" i="2"/>
  <c r="C284" i="2" l="1"/>
  <c r="E283" i="2"/>
  <c r="C283" i="2" l="1"/>
  <c r="E282" i="2"/>
  <c r="C282" i="2" l="1"/>
  <c r="E281" i="2"/>
  <c r="C281" i="2" l="1"/>
  <c r="E280" i="2"/>
  <c r="C280" i="2" l="1"/>
  <c r="E279" i="2"/>
  <c r="C279" i="2" l="1"/>
  <c r="E278" i="2"/>
  <c r="C278" i="2" l="1"/>
  <c r="E277" i="2"/>
  <c r="C277" i="2" l="1"/>
  <c r="E276" i="2"/>
  <c r="C276" i="2" l="1"/>
  <c r="E275" i="2"/>
  <c r="C275" i="2" l="1"/>
  <c r="E274" i="2"/>
  <c r="C274" i="2" l="1"/>
  <c r="E273" i="2"/>
  <c r="C273" i="2" l="1"/>
  <c r="E272" i="2"/>
  <c r="C272" i="2" l="1"/>
  <c r="E271" i="2"/>
  <c r="C271" i="2" l="1"/>
  <c r="E270" i="2"/>
  <c r="C270" i="2" l="1"/>
  <c r="E269" i="2"/>
  <c r="C269" i="2" l="1"/>
  <c r="E268" i="2"/>
  <c r="C268" i="2" l="1"/>
  <c r="E267" i="2"/>
  <c r="C267" i="2" l="1"/>
  <c r="E266" i="2"/>
  <c r="C266" i="2" l="1"/>
  <c r="E265" i="2"/>
  <c r="C265" i="2" l="1"/>
  <c r="E264" i="2"/>
  <c r="C264" i="2" l="1"/>
  <c r="E263" i="2"/>
  <c r="C263" i="2" l="1"/>
  <c r="E262" i="2"/>
  <c r="C262" i="2" l="1"/>
  <c r="E261" i="2"/>
  <c r="C261" i="2" l="1"/>
  <c r="E260" i="2"/>
  <c r="C260" i="2" l="1"/>
  <c r="E259" i="2"/>
  <c r="C259" i="2" l="1"/>
  <c r="E258" i="2"/>
  <c r="C258" i="2" l="1"/>
  <c r="E257" i="2"/>
  <c r="C257" i="2" l="1"/>
  <c r="E256" i="2"/>
  <c r="C256" i="2" l="1"/>
  <c r="E255" i="2"/>
  <c r="C255" i="2" l="1"/>
  <c r="E254" i="2"/>
  <c r="C254" i="2" l="1"/>
  <c r="E253" i="2"/>
  <c r="C253" i="2" l="1"/>
  <c r="E252" i="2"/>
  <c r="C252" i="2" l="1"/>
  <c r="E251" i="2"/>
  <c r="C251" i="2" l="1"/>
  <c r="E250" i="2"/>
  <c r="C250" i="2" l="1"/>
  <c r="E249" i="2"/>
  <c r="C249" i="2" l="1"/>
  <c r="E248" i="2"/>
  <c r="C248" i="2" l="1"/>
  <c r="E247" i="2"/>
  <c r="C247" i="2" l="1"/>
  <c r="E246" i="2"/>
  <c r="C246" i="2" l="1"/>
  <c r="E245" i="2"/>
  <c r="C245" i="2" l="1"/>
  <c r="E244" i="2"/>
  <c r="C244" i="2" l="1"/>
  <c r="E243" i="2"/>
  <c r="C243" i="2" l="1"/>
  <c r="E242" i="2"/>
  <c r="C242" i="2" l="1"/>
  <c r="E241" i="2"/>
  <c r="C241" i="2" l="1"/>
  <c r="E240" i="2"/>
  <c r="C240" i="2" l="1"/>
  <c r="E239" i="2"/>
  <c r="C239" i="2" l="1"/>
  <c r="E238" i="2"/>
  <c r="C238" i="2" l="1"/>
  <c r="E237" i="2"/>
  <c r="C237" i="2" l="1"/>
  <c r="E236" i="2"/>
  <c r="C236" i="2" l="1"/>
  <c r="E235" i="2"/>
  <c r="C235" i="2" l="1"/>
  <c r="E234" i="2"/>
  <c r="C234" i="2" l="1"/>
  <c r="E233" i="2"/>
  <c r="C233" i="2" l="1"/>
  <c r="E232" i="2"/>
  <c r="C232" i="2" l="1"/>
  <c r="E231" i="2"/>
  <c r="C231" i="2" l="1"/>
  <c r="E230" i="2"/>
  <c r="C230" i="2" l="1"/>
  <c r="E229" i="2"/>
  <c r="C229" i="2" l="1"/>
  <c r="E228" i="2"/>
  <c r="C228" i="2" l="1"/>
  <c r="E227" i="2"/>
  <c r="C227" i="2" l="1"/>
  <c r="E226" i="2"/>
  <c r="C226" i="2" l="1"/>
  <c r="E225" i="2"/>
  <c r="C225" i="2" l="1"/>
  <c r="E224" i="2"/>
  <c r="C224" i="2" l="1"/>
  <c r="E223" i="2"/>
  <c r="C223" i="2" l="1"/>
  <c r="E222" i="2"/>
  <c r="C222" i="2" l="1"/>
  <c r="E221" i="2"/>
  <c r="C221" i="2" l="1"/>
  <c r="E220" i="2"/>
  <c r="C220" i="2" l="1"/>
  <c r="E219" i="2"/>
  <c r="C219" i="2" l="1"/>
  <c r="E218" i="2"/>
  <c r="C218" i="2" l="1"/>
  <c r="E217" i="2"/>
  <c r="C217" i="2" l="1"/>
  <c r="E216" i="2"/>
  <c r="C216" i="2" l="1"/>
  <c r="E215" i="2"/>
  <c r="C215" i="2" l="1"/>
  <c r="E214" i="2"/>
  <c r="C214" i="2" l="1"/>
  <c r="E213" i="2"/>
  <c r="C213" i="2" l="1"/>
  <c r="E212" i="2"/>
  <c r="C212" i="2" l="1"/>
  <c r="E211" i="2"/>
  <c r="C211" i="2" l="1"/>
  <c r="E210" i="2"/>
  <c r="C210" i="2" l="1"/>
  <c r="E209" i="2"/>
  <c r="C209" i="2" l="1"/>
  <c r="E208" i="2"/>
  <c r="C208" i="2" l="1"/>
  <c r="E207" i="2"/>
  <c r="C207" i="2" l="1"/>
  <c r="E206" i="2"/>
  <c r="C206" i="2" l="1"/>
  <c r="E205" i="2"/>
  <c r="C205" i="2" l="1"/>
  <c r="E204" i="2"/>
  <c r="C204" i="2" l="1"/>
  <c r="E203" i="2"/>
  <c r="C203" i="2" l="1"/>
  <c r="E202" i="2"/>
  <c r="C202" i="2" l="1"/>
  <c r="E201" i="2"/>
  <c r="C201" i="2" l="1"/>
  <c r="E200" i="2"/>
  <c r="C200" i="2" l="1"/>
  <c r="E199" i="2"/>
  <c r="C199" i="2" l="1"/>
  <c r="E198" i="2"/>
  <c r="C198" i="2" l="1"/>
  <c r="E197" i="2"/>
  <c r="C197" i="2" l="1"/>
  <c r="E196" i="2"/>
  <c r="C196" i="2" l="1"/>
  <c r="E195" i="2"/>
  <c r="C195" i="2" l="1"/>
  <c r="E194" i="2"/>
  <c r="C194" i="2" l="1"/>
  <c r="E193" i="2"/>
  <c r="C193" i="2" l="1"/>
  <c r="E192" i="2"/>
  <c r="C192" i="2" l="1"/>
  <c r="E191" i="2"/>
  <c r="C191" i="2" l="1"/>
  <c r="E190" i="2"/>
  <c r="C190" i="2" l="1"/>
  <c r="E189" i="2"/>
  <c r="C189" i="2" l="1"/>
  <c r="E188" i="2"/>
  <c r="C188" i="2" l="1"/>
  <c r="E187" i="2"/>
  <c r="C187" i="2" l="1"/>
  <c r="E186" i="2"/>
  <c r="C186" i="2" l="1"/>
  <c r="E185" i="2"/>
  <c r="C185" i="2" l="1"/>
  <c r="E184" i="2"/>
  <c r="C184" i="2" l="1"/>
  <c r="E183" i="2"/>
  <c r="C183" i="2" l="1"/>
  <c r="E182" i="2"/>
  <c r="C182" i="2" l="1"/>
  <c r="E181" i="2"/>
  <c r="C181" i="2" l="1"/>
  <c r="E180" i="2"/>
  <c r="C180" i="2" l="1"/>
  <c r="E179" i="2"/>
  <c r="C179" i="2" l="1"/>
  <c r="E178" i="2"/>
  <c r="C178" i="2" l="1"/>
  <c r="E177" i="2"/>
  <c r="C177" i="2" l="1"/>
  <c r="E176" i="2"/>
  <c r="C176" i="2" l="1"/>
  <c r="E175" i="2"/>
  <c r="C175" i="2" l="1"/>
  <c r="E174" i="2"/>
  <c r="C174" i="2" l="1"/>
  <c r="E173" i="2"/>
  <c r="C173" i="2" l="1"/>
  <c r="E172" i="2"/>
  <c r="C172" i="2" l="1"/>
  <c r="E171" i="2"/>
  <c r="C171" i="2" l="1"/>
  <c r="E170" i="2"/>
  <c r="C170" i="2" l="1"/>
  <c r="E169" i="2"/>
  <c r="C169" i="2" l="1"/>
  <c r="E168" i="2"/>
  <c r="C168" i="2" l="1"/>
  <c r="E167" i="2"/>
  <c r="C167" i="2" l="1"/>
  <c r="E166" i="2"/>
  <c r="C166" i="2" l="1"/>
  <c r="E165" i="2"/>
  <c r="C165" i="2" l="1"/>
  <c r="E164" i="2"/>
  <c r="C164" i="2" l="1"/>
  <c r="E163" i="2"/>
  <c r="C163" i="2" l="1"/>
  <c r="E162" i="2"/>
  <c r="C162" i="2" l="1"/>
  <c r="E161" i="2"/>
  <c r="C161" i="2" l="1"/>
  <c r="E160" i="2"/>
  <c r="C160" i="2" l="1"/>
  <c r="E159" i="2"/>
  <c r="C159" i="2" l="1"/>
  <c r="E158" i="2"/>
  <c r="C158" i="2" l="1"/>
  <c r="E157" i="2"/>
  <c r="C157" i="2" l="1"/>
  <c r="E156" i="2"/>
  <c r="C156" i="2" l="1"/>
  <c r="E155" i="2"/>
  <c r="C155" i="2" l="1"/>
  <c r="E154" i="2"/>
  <c r="C154" i="2" l="1"/>
  <c r="E153" i="2"/>
  <c r="C153" i="2" l="1"/>
  <c r="E152" i="2"/>
  <c r="C152" i="2" l="1"/>
  <c r="E151" i="2"/>
  <c r="C151" i="2" l="1"/>
  <c r="E150" i="2"/>
  <c r="C150" i="2" l="1"/>
  <c r="E149" i="2"/>
  <c r="C149" i="2" l="1"/>
  <c r="E148" i="2"/>
  <c r="C148" i="2" l="1"/>
  <c r="E147" i="2"/>
  <c r="C147" i="2" l="1"/>
  <c r="E146" i="2"/>
  <c r="C146" i="2" l="1"/>
  <c r="E145" i="2"/>
  <c r="C145" i="2" l="1"/>
  <c r="E144" i="2"/>
  <c r="C144" i="2" l="1"/>
  <c r="E143" i="2"/>
  <c r="C143" i="2" l="1"/>
  <c r="E142" i="2"/>
  <c r="C142" i="2" l="1"/>
  <c r="E141" i="2"/>
  <c r="C141" i="2" l="1"/>
  <c r="E140" i="2"/>
  <c r="C140" i="2" l="1"/>
  <c r="E139" i="2"/>
  <c r="C139" i="2" l="1"/>
  <c r="E138" i="2"/>
  <c r="C138" i="2" l="1"/>
  <c r="E137" i="2"/>
  <c r="C137" i="2" l="1"/>
  <c r="E136" i="2"/>
  <c r="C136" i="2" l="1"/>
  <c r="E135" i="2"/>
  <c r="C135" i="2" l="1"/>
  <c r="E134" i="2"/>
  <c r="C134" i="2" l="1"/>
  <c r="E133" i="2"/>
  <c r="C133" i="2" l="1"/>
  <c r="E132" i="2"/>
  <c r="C132" i="2" l="1"/>
  <c r="E131" i="2"/>
  <c r="C131" i="2" l="1"/>
  <c r="E130" i="2"/>
  <c r="C130" i="2" l="1"/>
  <c r="E129" i="2"/>
  <c r="C129" i="2" l="1"/>
  <c r="E128" i="2"/>
  <c r="C128" i="2" l="1"/>
  <c r="E127" i="2"/>
  <c r="C127" i="2" l="1"/>
  <c r="E126" i="2"/>
  <c r="C126" i="2" l="1"/>
  <c r="E125" i="2"/>
  <c r="C125" i="2" l="1"/>
  <c r="E124" i="2"/>
  <c r="C124" i="2" l="1"/>
  <c r="E123" i="2"/>
  <c r="C123" i="2" l="1"/>
  <c r="E122" i="2"/>
  <c r="C122" i="2" l="1"/>
  <c r="E121" i="2"/>
  <c r="C121" i="2" l="1"/>
  <c r="E120" i="2"/>
  <c r="C120" i="2" l="1"/>
  <c r="E119" i="2"/>
  <c r="C119" i="2" l="1"/>
  <c r="E118" i="2"/>
  <c r="C118" i="2" l="1"/>
  <c r="E117" i="2"/>
  <c r="C117" i="2" l="1"/>
  <c r="E116" i="2"/>
  <c r="C116" i="2" l="1"/>
  <c r="E115" i="2"/>
  <c r="C115" i="2" l="1"/>
  <c r="E114" i="2"/>
  <c r="C114" i="2" l="1"/>
  <c r="E113" i="2"/>
  <c r="C113" i="2" l="1"/>
  <c r="E112" i="2"/>
  <c r="C112" i="2" l="1"/>
  <c r="E111" i="2"/>
  <c r="C111" i="2" l="1"/>
  <c r="E110" i="2"/>
  <c r="C110" i="2" l="1"/>
  <c r="E109" i="2"/>
  <c r="C109" i="2" l="1"/>
  <c r="E108" i="2"/>
  <c r="C108" i="2" l="1"/>
  <c r="E107" i="2"/>
  <c r="C107" i="2" l="1"/>
  <c r="E106" i="2"/>
  <c r="C106" i="2" l="1"/>
  <c r="E105" i="2"/>
  <c r="C105" i="2" l="1"/>
  <c r="E104" i="2"/>
  <c r="C104" i="2" l="1"/>
  <c r="E103" i="2"/>
  <c r="C103" i="2" l="1"/>
  <c r="E102" i="2"/>
  <c r="C102" i="2" l="1"/>
  <c r="E101" i="2"/>
  <c r="C101" i="2" l="1"/>
  <c r="E100" i="2"/>
  <c r="C100" i="2" l="1"/>
  <c r="E99" i="2"/>
  <c r="C99" i="2" l="1"/>
  <c r="E98" i="2"/>
  <c r="C98" i="2" l="1"/>
  <c r="E97" i="2"/>
  <c r="C97" i="2" l="1"/>
  <c r="E96" i="2"/>
  <c r="C96" i="2" l="1"/>
  <c r="E95" i="2"/>
  <c r="C95" i="2" l="1"/>
  <c r="E94" i="2"/>
  <c r="C94" i="2" l="1"/>
  <c r="E93" i="2"/>
  <c r="C93" i="2" l="1"/>
  <c r="E92" i="2"/>
  <c r="C92" i="2" l="1"/>
  <c r="E91" i="2"/>
  <c r="C91" i="2" l="1"/>
  <c r="E90" i="2"/>
  <c r="C90" i="2" l="1"/>
  <c r="E89" i="2"/>
  <c r="C89" i="2" l="1"/>
  <c r="E88" i="2"/>
  <c r="C88" i="2" l="1"/>
  <c r="E87" i="2"/>
  <c r="C87" i="2" l="1"/>
  <c r="E86" i="2"/>
  <c r="C86" i="2" l="1"/>
  <c r="E85" i="2"/>
  <c r="C85" i="2" l="1"/>
  <c r="E84" i="2"/>
  <c r="C84" i="2" l="1"/>
  <c r="E83" i="2"/>
  <c r="C83" i="2" l="1"/>
  <c r="E82" i="2"/>
  <c r="C82" i="2" l="1"/>
  <c r="E81" i="2"/>
  <c r="C81" i="2" l="1"/>
  <c r="E80" i="2"/>
  <c r="C80" i="2" l="1"/>
  <c r="E79" i="2"/>
  <c r="C79" i="2" l="1"/>
  <c r="E78" i="2"/>
  <c r="C78" i="2" l="1"/>
  <c r="E77" i="2"/>
  <c r="C77" i="2" l="1"/>
  <c r="E76" i="2"/>
  <c r="C76" i="2" l="1"/>
  <c r="E75" i="2"/>
  <c r="C75" i="2" l="1"/>
  <c r="E74" i="2"/>
  <c r="C74" i="2" l="1"/>
  <c r="E73" i="2"/>
  <c r="C73" i="2" l="1"/>
  <c r="E72" i="2"/>
  <c r="C72" i="2" l="1"/>
  <c r="E71" i="2"/>
  <c r="C71" i="2" l="1"/>
  <c r="E70" i="2"/>
  <c r="C70" i="2" l="1"/>
  <c r="E69" i="2"/>
  <c r="C69" i="2" l="1"/>
  <c r="E68" i="2"/>
  <c r="C68" i="2" l="1"/>
  <c r="E67" i="2"/>
  <c r="C67" i="2" l="1"/>
  <c r="E66" i="2"/>
  <c r="C66" i="2" l="1"/>
  <c r="E65" i="2"/>
  <c r="C65" i="2" l="1"/>
  <c r="E64" i="2"/>
  <c r="C64" i="2" l="1"/>
  <c r="E63" i="2"/>
  <c r="C63" i="2" l="1"/>
  <c r="E62" i="2"/>
  <c r="C62" i="2" l="1"/>
  <c r="E61" i="2"/>
  <c r="C61" i="2" l="1"/>
  <c r="E60" i="2"/>
  <c r="C60" i="2" l="1"/>
  <c r="E59" i="2"/>
  <c r="C59" i="2" l="1"/>
  <c r="E58" i="2"/>
  <c r="C58" i="2" l="1"/>
  <c r="E57" i="2"/>
  <c r="C57" i="2" l="1"/>
  <c r="E56" i="2"/>
  <c r="C56" i="2" l="1"/>
  <c r="E55" i="2"/>
  <c r="C55" i="2" l="1"/>
  <c r="E54" i="2"/>
  <c r="C54" i="2" l="1"/>
  <c r="E53" i="2"/>
  <c r="C53" i="2" l="1"/>
  <c r="E52" i="2"/>
  <c r="C52" i="2" l="1"/>
  <c r="E51" i="2"/>
  <c r="C51" i="2" l="1"/>
  <c r="E50" i="2"/>
  <c r="C50" i="2" l="1"/>
  <c r="E49" i="2"/>
  <c r="C49" i="2" l="1"/>
  <c r="E48" i="2"/>
  <c r="C48" i="2" l="1"/>
  <c r="E47" i="2"/>
  <c r="C47" i="2" l="1"/>
  <c r="E46" i="2"/>
  <c r="C46" i="2" l="1"/>
  <c r="E45" i="2"/>
  <c r="C45" i="2" l="1"/>
  <c r="E44" i="2"/>
  <c r="C44" i="2" l="1"/>
  <c r="E43" i="2"/>
  <c r="C43" i="2" l="1"/>
  <c r="E42" i="2"/>
  <c r="C42" i="2" l="1"/>
  <c r="E41" i="2"/>
  <c r="C41" i="2" l="1"/>
  <c r="E40" i="2"/>
  <c r="C40" i="2" l="1"/>
  <c r="E39" i="2"/>
  <c r="C39" i="2" l="1"/>
  <c r="E38" i="2"/>
  <c r="C38" i="2" l="1"/>
  <c r="E37" i="2"/>
  <c r="C37" i="2" l="1"/>
  <c r="E36" i="2"/>
  <c r="C36" i="2" l="1"/>
  <c r="E35" i="2"/>
  <c r="C35" i="2" l="1"/>
  <c r="E34" i="2"/>
  <c r="C34" i="2" l="1"/>
  <c r="E33" i="2"/>
  <c r="C33" i="2" l="1"/>
  <c r="E32" i="2"/>
  <c r="C32" i="2" l="1"/>
  <c r="E31" i="2"/>
  <c r="C31" i="2" l="1"/>
  <c r="E30" i="2"/>
  <c r="C30" i="2" l="1"/>
  <c r="E29" i="2"/>
  <c r="C29" i="2" l="1"/>
  <c r="E28" i="2"/>
  <c r="C28" i="2" l="1"/>
  <c r="E27" i="2"/>
  <c r="C27" i="2" l="1"/>
  <c r="E26" i="2"/>
  <c r="C26" i="2" l="1"/>
  <c r="E25" i="2"/>
  <c r="C25" i="2" l="1"/>
  <c r="E24" i="2"/>
  <c r="C24" i="2" l="1"/>
  <c r="E23" i="2"/>
  <c r="E22" i="2" l="1"/>
  <c r="C22" i="2" l="1"/>
  <c r="E21" i="2"/>
  <c r="C21" i="2" l="1"/>
  <c r="E20" i="2"/>
  <c r="C20" i="2" l="1"/>
  <c r="E19" i="2"/>
  <c r="C19" i="2" l="1"/>
  <c r="E18" i="2"/>
  <c r="C18" i="2" l="1"/>
  <c r="E17" i="2"/>
  <c r="C17" i="2" l="1"/>
  <c r="E16" i="2"/>
  <c r="C16" i="2" l="1"/>
  <c r="E15" i="2"/>
  <c r="C15" i="2" l="1"/>
  <c r="E14" i="2"/>
  <c r="C14" i="2" l="1"/>
  <c r="E13" i="2"/>
  <c r="C13" i="2" l="1"/>
  <c r="E12" i="2"/>
  <c r="C12" i="2" l="1"/>
  <c r="E11" i="2"/>
  <c r="C11" i="2" l="1"/>
  <c r="E10" i="2"/>
  <c r="C10" i="2" l="1"/>
  <c r="E9" i="2"/>
  <c r="C9" i="2" l="1"/>
  <c r="E8" i="2"/>
  <c r="C8" i="2" l="1"/>
  <c r="E7" i="2"/>
  <c r="C7" i="2" l="1"/>
  <c r="E6" i="2"/>
  <c r="C6" i="2" l="1"/>
  <c r="E5" i="2"/>
  <c r="C5" i="2" l="1"/>
  <c r="E4" i="2"/>
  <c r="C4" i="2" l="1"/>
  <c r="E3" i="2"/>
  <c r="C3" i="2" l="1"/>
  <c r="E2" i="2"/>
  <c r="C2" i="2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2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</futureMetadata>
  <valueMetadata count="2">
    <bk>
      <rc t="1" v="0"/>
    </bk>
    <bk>
      <rc t="1" v="1"/>
    </bk>
  </valueMetadata>
</metadata>
</file>

<file path=xl/sharedStrings.xml><?xml version="1.0" encoding="utf-8"?>
<sst xmlns="http://schemas.openxmlformats.org/spreadsheetml/2006/main" count="187" uniqueCount="160">
  <si>
    <t>DISTANCE</t>
  </si>
  <si>
    <t>Macon (MP 0.0) to Pooler (MP 511)</t>
  </si>
  <si>
    <t>159.1 mi one-way / 318.2 mi roundtrip</t>
  </si>
  <si>
    <t>G&amp;W 'AUTHORIZED SPEED BY MP' CONVERSION</t>
  </si>
  <si>
    <t>Savannah Sub converts with: chainage = 92.3 + (577.8 - MP). Trip ends at Pooler, MP 511 -&gt; chainage 159.1.</t>
  </si>
  <si>
    <t>Sub</t>
  </si>
  <si>
    <t>MP range</t>
  </si>
  <si>
    <t>mph</t>
  </si>
  <si>
    <t>Route miles</t>
  </si>
  <si>
    <t>Miles traversed</t>
  </si>
  <si>
    <t>Minutes @ speed limit</t>
  </si>
  <si>
    <t>Note</t>
  </si>
  <si>
    <t>Macon</t>
  </si>
  <si>
    <t>0 - 2</t>
  </si>
  <si>
    <t>0.0 - 2.0</t>
  </si>
  <si>
    <t>2 - 6</t>
  </si>
  <si>
    <t>2.0 - 6.0</t>
  </si>
  <si>
    <t>6 - 49</t>
  </si>
  <si>
    <t>6.0 - 49.0</t>
  </si>
  <si>
    <t>49 - 58.6</t>
  </si>
  <si>
    <t>49.0 - 58.6</t>
  </si>
  <si>
    <t>58.6 - 91.3</t>
  </si>
  <si>
    <t>91.3 - 92.3</t>
  </si>
  <si>
    <t>Savannah</t>
  </si>
  <si>
    <t>577.8 - 575.6</t>
  </si>
  <si>
    <t>92.3 - 94.5</t>
  </si>
  <si>
    <t>575.6 - 558</t>
  </si>
  <si>
    <t>94.5 - 112.1</t>
  </si>
  <si>
    <t>558 - 556</t>
  </si>
  <si>
    <t>112.1 - 114.1</t>
  </si>
  <si>
    <t>556 - 521.5</t>
  </si>
  <si>
    <t>114.1 - 148.6</t>
  </si>
  <si>
    <t>521.5 - 504</t>
  </si>
  <si>
    <t>148.6 - 166.1</t>
  </si>
  <si>
    <t>stop at Pooler: 159.1 - 148.6 = 10.5 mi</t>
  </si>
  <si>
    <t>504 - 499</t>
  </si>
  <si>
    <t>166.1 - 171.1</t>
  </si>
  <si>
    <t>beyond Pooler; not traversed</t>
  </si>
  <si>
    <t>TOTAL</t>
  </si>
  <si>
    <t>451 min = 7 h 31m</t>
  </si>
  <si>
    <t>SPEED BUCKETS</t>
  </si>
  <si>
    <t>10 mph</t>
  </si>
  <si>
    <t>1h 41m</t>
  </si>
  <si>
    <t>20 mph</t>
  </si>
  <si>
    <t>44m</t>
  </si>
  <si>
    <t>25 mph</t>
  </si>
  <si>
    <t>5h 07m</t>
  </si>
  <si>
    <t>ENERGY</t>
  </si>
  <si>
    <t>159.1m x 2kWh = 318 kWh/leg; so we are short ~50-58kWh</t>
  </si>
  <si>
    <t>KINEMATIC EQUATION</t>
  </si>
  <si>
    <t>v^2 = v_0^2 + 2ad</t>
  </si>
  <si>
    <t>v_0 =  Initial starting velocity</t>
  </si>
  <si>
    <t>a = Constant acceleration or deceleration</t>
  </si>
  <si>
    <t>d = Distance or displacement moved</t>
  </si>
  <si>
    <t>cruise speed</t>
  </si>
  <si>
    <t>a</t>
  </si>
  <si>
    <t>mph/s</t>
  </si>
  <si>
    <t>2a</t>
  </si>
  <si>
    <t>converted to per hr</t>
  </si>
  <si>
    <t>d</t>
  </si>
  <si>
    <t>mi</t>
  </si>
  <si>
    <t>Parameter</t>
  </si>
  <si>
    <t>Value</t>
  </si>
  <si>
    <t>vehicle cruise speed (mph)</t>
  </si>
  <si>
    <t>the decision: run the track limit</t>
  </si>
  <si>
    <t>acceleration / braking (mph/s)</t>
  </si>
  <si>
    <t xml:space="preserve">PLACEHOLDER </t>
  </si>
  <si>
    <t>consumption LOADED (kWh/mi)</t>
  </si>
  <si>
    <t>consumption EMPTY (kWh/mi)</t>
  </si>
  <si>
    <t>battery pack (kWh)</t>
  </si>
  <si>
    <t>midpoint of 260–270 range given</t>
  </si>
  <si>
    <t>reserve floor (fraction)</t>
  </si>
  <si>
    <t>policy: never plan below 10%</t>
  </si>
  <si>
    <t>charge power (kW)</t>
  </si>
  <si>
    <t>fast DC mobile charger; planned vehicle upgrade</t>
  </si>
  <si>
    <t xml:space="preserve">TIME ALLOWANCES </t>
  </si>
  <si>
    <t>off-power loading @ Macon (min)</t>
  </si>
  <si>
    <t>Macon hand-throw switch (min)</t>
  </si>
  <si>
    <t>get on charging track (min)</t>
  </si>
  <si>
    <t>stop charging, back on route (min)</t>
  </si>
  <si>
    <t>Pooler switch &amp; positioning (min)</t>
  </si>
  <si>
    <t>port ramp/dray/ingate/shore power (min)</t>
  </si>
  <si>
    <t>max roundtrip per vehicle (h)</t>
  </si>
  <si>
    <t>max reefer off-power (h)</t>
  </si>
  <si>
    <t>include port time in VEHICLE cycle (0/1)</t>
  </si>
  <si>
    <t>1 breaks the 24-h budget; dray usually decouples</t>
  </si>
  <si>
    <t>Macon top-up charge to full (0/1)</t>
  </si>
  <si>
    <t>needed so each cycle starts full</t>
  </si>
  <si>
    <t>2a converted (mi/h²)</t>
  </si>
  <si>
    <t>drive-cycle grid (mi)</t>
  </si>
  <si>
    <t>per-row v² change</t>
  </si>
  <si>
    <t>floor (kWh)</t>
  </si>
  <si>
    <t>scheduled Vidalia dwell for comparison (min)</t>
  </si>
  <si>
    <t>mile</t>
  </si>
  <si>
    <t>speed limit (mph)</t>
  </si>
  <si>
    <t xml:space="preserve">fwd v2 </t>
  </si>
  <si>
    <t>final v2</t>
  </si>
  <si>
    <t>a (mph/s)</t>
  </si>
  <si>
    <t>2a in mi/h^2</t>
  </si>
  <si>
    <t>step d (mi)</t>
  </si>
  <si>
    <t>per-row v^2 step</t>
  </si>
  <si>
    <t>Formula: v2 changes by at most H4 (=1800*0.1=180) per row;</t>
  </si>
  <si>
    <t>C = SQRT(MIN(limit^2, accel from row above, brake to row below))</t>
  </si>
  <si>
    <t>Vidalia stop</t>
  </si>
  <si>
    <t>kWh</t>
  </si>
  <si>
    <t>E Macon→Vidalia (94.5 mi)</t>
  </si>
  <si>
    <t>E Vidalia→Pooler (64.6 mi)</t>
  </si>
  <si>
    <t>E Pooler→Plastic (3.0 mi)</t>
  </si>
  <si>
    <t>arrive Vidalia EB</t>
  </si>
  <si>
    <t>Vidalia EB charge</t>
  </si>
  <si>
    <t>arrive @ Plastics Express</t>
  </si>
  <si>
    <t>charge @ Plastics Express</t>
  </si>
  <si>
    <t>arrive Vidalia WB</t>
  </si>
  <si>
    <t>c3 Vidalia WB charge (0 if empty return fits)</t>
  </si>
  <si>
    <t>end SOC at Macon</t>
  </si>
  <si>
    <t>c1 minutes</t>
  </si>
  <si>
    <t>c2 minutes</t>
  </si>
  <si>
    <t>c3 minutes</t>
  </si>
  <si>
    <t>Macon top-up to full (kWh)</t>
  </si>
  <si>
    <t>Macon top-up minutes</t>
  </si>
  <si>
    <t>CHRONOLOGICAL LEDGER — using &amp; depleting, correlated to time</t>
  </si>
  <si>
    <t>Event</t>
  </si>
  <si>
    <t>Miles</t>
  </si>
  <si>
    <t>Time (min)</t>
  </si>
  <si>
    <t>Energy Δ (kWh)</t>
  </si>
  <si>
    <t>SOC after (kWh)</t>
  </si>
  <si>
    <t>Depart Macon (full pack, loaded)</t>
  </si>
  <si>
    <t>0</t>
  </si>
  <si>
    <t>start of cycle</t>
  </si>
  <si>
    <t>Run Macon → Vidalia</t>
  </si>
  <si>
    <t>94.5</t>
  </si>
  <si>
    <t>loaded</t>
  </si>
  <si>
    <t>CHARGE at Vidalia</t>
  </si>
  <si>
    <t>enough to reach Plastic above the floor</t>
  </si>
  <si>
    <t>Run Vidalia → Pooler</t>
  </si>
  <si>
    <t>64.6</t>
  </si>
  <si>
    <t>Unload at Pooler</t>
  </si>
  <si>
    <t>switch &amp; positioning</t>
  </si>
  <si>
    <t>Run Pooler → Plastic Express</t>
  </si>
  <si>
    <t>3.0</t>
  </si>
  <si>
    <t>loaded (last loaded mile)</t>
  </si>
  <si>
    <t>CHARGE at Plastic Express</t>
  </si>
  <si>
    <t>banks the whole empty return</t>
  </si>
  <si>
    <t>Run Plastic → Vidalia (EMPTY)</t>
  </si>
  <si>
    <t>67.6</t>
  </si>
  <si>
    <t>empty rate</t>
  </si>
  <si>
    <t>CHARGE at Vidalia WB (usually 0)</t>
  </si>
  <si>
    <t>flips on only if empty &gt; ~1.47 kWh/mi</t>
  </si>
  <si>
    <t>Run Vidalia → Macon (EMPTY)</t>
  </si>
  <si>
    <t>CHARGE at Macon to full (toggle)</t>
  </si>
  <si>
    <t>so the next cycle starts full</t>
  </si>
  <si>
    <t>TOTALS</t>
  </si>
  <si>
    <t>minutes</t>
  </si>
  <si>
    <t>hh:mm</t>
  </si>
  <si>
    <t>daily budget</t>
  </si>
  <si>
    <t>round trip traverse</t>
  </si>
  <si>
    <t>handling the allowances identified</t>
  </si>
  <si>
    <t>load, switches, on/off etc</t>
  </si>
  <si>
    <t xml:space="preserve">charging actually needed </t>
  </si>
  <si>
    <t>vidalia, plastic, macon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</si>
</sst>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name val="Calibri"/>
      <family val="2"/>
    </font>
    <font>
      <b/>
      <sz val="11"/>
      <color theme="1"/>
      <name val="Aptos Narrow"/>
      <family val="2"/>
      <scheme val="minor"/>
    </font>
    <font>
      <sz val="12"/>
      <color theme="1"/>
      <name val="Google Sans"/>
      <charset val="1"/>
    </font>
  </fonts>
  <fills count="3">
    <fill>
      <patternFill patternType="none"/>
    </fill>
    <fill>
      <patternFill patternType="gray125"/>
    </fill>
    <fill>
      <patternFill patternType="solid">
        <fgColor rgb="FFDCE9F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0" fillId="2" borderId="0" xfId="0" applyFill="1"/>
    <xf numFmtId="0" fontId="0" fillId="0" borderId="0" xfId="0" applyAlignment="1">
      <alignment horizontal="left"/>
    </xf>
    <xf numFmtId="0" fontId="1" fillId="2" borderId="0" xfId="0" applyFont="1" applyFill="1" applyAlignment="1">
      <alignment horizontal="left"/>
    </xf>
    <xf numFmtId="0" fontId="2" fillId="2" borderId="0" xfId="0" applyFont="1" applyFill="1" applyAlignment="1">
      <alignment horizontal="left"/>
    </xf>
    <xf numFmtId="0" fontId="3" fillId="0" borderId="0" xfId="0" applyFont="1"/>
    <xf numFmtId="0" fontId="2" fillId="0" borderId="0" xfId="0" applyFont="1"/>
    <xf numFmtId="0" fontId="1" fillId="0" borderId="0" xfId="0" applyFont="1" applyAlignment="1">
      <alignment horizontal="left"/>
    </xf>
    <xf numFmtId="2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Structure" Target="richData/rdrichvaluestructure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2.xml"/><Relationship Id="rId12" Type="http://schemas.microsoft.com/office/2017/06/relationships/rdRichValue" Target="richData/rdrichvalue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microsoft.com/office/2017/06/relationships/rdRichValueTypes" Target="richData/rdRichValueTyp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tx>
            <c:strRef>
              <c:f>'DRIVE CYCLE'!$C$1</c:f>
              <c:strCache>
                <c:ptCount val="1"/>
                <c:pt idx="0">
                  <c:v>mph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'DRIVE CYCLE'!$A$2:$A$1596</c:f>
              <c:numCache>
                <c:formatCode>General</c:formatCode>
                <c:ptCount val="1595"/>
                <c:pt idx="0">
                  <c:v>0</c:v>
                </c:pt>
                <c:pt idx="1">
                  <c:v>0.1</c:v>
                </c:pt>
                <c:pt idx="2">
                  <c:v>0.2</c:v>
                </c:pt>
                <c:pt idx="3">
                  <c:v>0.3</c:v>
                </c:pt>
                <c:pt idx="4">
                  <c:v>0.4</c:v>
                </c:pt>
                <c:pt idx="5">
                  <c:v>0.5</c:v>
                </c:pt>
                <c:pt idx="6">
                  <c:v>0.6</c:v>
                </c:pt>
                <c:pt idx="7">
                  <c:v>0.7</c:v>
                </c:pt>
                <c:pt idx="8">
                  <c:v>0.8</c:v>
                </c:pt>
                <c:pt idx="9">
                  <c:v>0.9</c:v>
                </c:pt>
                <c:pt idx="10">
                  <c:v>1</c:v>
                </c:pt>
                <c:pt idx="11">
                  <c:v>1.1000000000000001</c:v>
                </c:pt>
                <c:pt idx="12">
                  <c:v>1.2</c:v>
                </c:pt>
                <c:pt idx="13">
                  <c:v>1.3</c:v>
                </c:pt>
                <c:pt idx="14">
                  <c:v>1.4</c:v>
                </c:pt>
                <c:pt idx="15">
                  <c:v>1.5</c:v>
                </c:pt>
                <c:pt idx="16">
                  <c:v>1.6</c:v>
                </c:pt>
                <c:pt idx="17">
                  <c:v>1.7</c:v>
                </c:pt>
                <c:pt idx="18">
                  <c:v>1.8</c:v>
                </c:pt>
                <c:pt idx="19">
                  <c:v>1.9</c:v>
                </c:pt>
                <c:pt idx="20">
                  <c:v>2</c:v>
                </c:pt>
                <c:pt idx="21">
                  <c:v>2.1</c:v>
                </c:pt>
                <c:pt idx="22">
                  <c:v>2.2000000000000002</c:v>
                </c:pt>
                <c:pt idx="23">
                  <c:v>2.2999999999999998</c:v>
                </c:pt>
                <c:pt idx="24">
                  <c:v>2.4</c:v>
                </c:pt>
                <c:pt idx="25">
                  <c:v>2.5</c:v>
                </c:pt>
                <c:pt idx="26">
                  <c:v>2.6</c:v>
                </c:pt>
                <c:pt idx="27">
                  <c:v>2.7</c:v>
                </c:pt>
                <c:pt idx="28">
                  <c:v>2.8</c:v>
                </c:pt>
                <c:pt idx="29">
                  <c:v>2.9</c:v>
                </c:pt>
                <c:pt idx="30">
                  <c:v>3</c:v>
                </c:pt>
                <c:pt idx="31">
                  <c:v>3.1</c:v>
                </c:pt>
                <c:pt idx="32">
                  <c:v>3.2</c:v>
                </c:pt>
                <c:pt idx="33">
                  <c:v>3.3</c:v>
                </c:pt>
                <c:pt idx="34">
                  <c:v>3.4</c:v>
                </c:pt>
                <c:pt idx="35">
                  <c:v>3.5</c:v>
                </c:pt>
                <c:pt idx="36">
                  <c:v>3.6</c:v>
                </c:pt>
                <c:pt idx="37">
                  <c:v>3.7</c:v>
                </c:pt>
                <c:pt idx="38">
                  <c:v>3.8</c:v>
                </c:pt>
                <c:pt idx="39">
                  <c:v>3.9</c:v>
                </c:pt>
                <c:pt idx="40">
                  <c:v>4</c:v>
                </c:pt>
                <c:pt idx="41">
                  <c:v>4.0999999999999996</c:v>
                </c:pt>
                <c:pt idx="42">
                  <c:v>4.2</c:v>
                </c:pt>
                <c:pt idx="43">
                  <c:v>4.3</c:v>
                </c:pt>
                <c:pt idx="44">
                  <c:v>4.4000000000000004</c:v>
                </c:pt>
                <c:pt idx="45">
                  <c:v>4.5</c:v>
                </c:pt>
                <c:pt idx="46">
                  <c:v>4.5999999999999996</c:v>
                </c:pt>
                <c:pt idx="47">
                  <c:v>4.7</c:v>
                </c:pt>
                <c:pt idx="48">
                  <c:v>4.8</c:v>
                </c:pt>
                <c:pt idx="49">
                  <c:v>4.9000000000000004</c:v>
                </c:pt>
                <c:pt idx="50">
                  <c:v>5</c:v>
                </c:pt>
                <c:pt idx="51">
                  <c:v>5.0999999999999996</c:v>
                </c:pt>
                <c:pt idx="52">
                  <c:v>5.2</c:v>
                </c:pt>
                <c:pt idx="53">
                  <c:v>5.3</c:v>
                </c:pt>
                <c:pt idx="54">
                  <c:v>5.4</c:v>
                </c:pt>
                <c:pt idx="55">
                  <c:v>5.5</c:v>
                </c:pt>
                <c:pt idx="56">
                  <c:v>5.6</c:v>
                </c:pt>
                <c:pt idx="57">
                  <c:v>5.7</c:v>
                </c:pt>
                <c:pt idx="58">
                  <c:v>5.8</c:v>
                </c:pt>
                <c:pt idx="59">
                  <c:v>5.9</c:v>
                </c:pt>
                <c:pt idx="60">
                  <c:v>6</c:v>
                </c:pt>
                <c:pt idx="61">
                  <c:v>6.1</c:v>
                </c:pt>
                <c:pt idx="62">
                  <c:v>6.2</c:v>
                </c:pt>
                <c:pt idx="63">
                  <c:v>6.3</c:v>
                </c:pt>
                <c:pt idx="64">
                  <c:v>6.4</c:v>
                </c:pt>
                <c:pt idx="65">
                  <c:v>6.5</c:v>
                </c:pt>
                <c:pt idx="66">
                  <c:v>6.6</c:v>
                </c:pt>
                <c:pt idx="67">
                  <c:v>6.7</c:v>
                </c:pt>
                <c:pt idx="68">
                  <c:v>6.8</c:v>
                </c:pt>
                <c:pt idx="69">
                  <c:v>6.9</c:v>
                </c:pt>
                <c:pt idx="70">
                  <c:v>7</c:v>
                </c:pt>
                <c:pt idx="71">
                  <c:v>7.1</c:v>
                </c:pt>
                <c:pt idx="72">
                  <c:v>7.2</c:v>
                </c:pt>
                <c:pt idx="73">
                  <c:v>7.3</c:v>
                </c:pt>
                <c:pt idx="74">
                  <c:v>7.4</c:v>
                </c:pt>
                <c:pt idx="75">
                  <c:v>7.5</c:v>
                </c:pt>
                <c:pt idx="76">
                  <c:v>7.6</c:v>
                </c:pt>
                <c:pt idx="77">
                  <c:v>7.7</c:v>
                </c:pt>
                <c:pt idx="78">
                  <c:v>7.8</c:v>
                </c:pt>
                <c:pt idx="79">
                  <c:v>7.9</c:v>
                </c:pt>
                <c:pt idx="80">
                  <c:v>8</c:v>
                </c:pt>
                <c:pt idx="81">
                  <c:v>8.1</c:v>
                </c:pt>
                <c:pt idx="82">
                  <c:v>8.1999999999999993</c:v>
                </c:pt>
                <c:pt idx="83">
                  <c:v>8.3000000000000007</c:v>
                </c:pt>
                <c:pt idx="84">
                  <c:v>8.4</c:v>
                </c:pt>
                <c:pt idx="85">
                  <c:v>8.5</c:v>
                </c:pt>
                <c:pt idx="86">
                  <c:v>8.6</c:v>
                </c:pt>
                <c:pt idx="87">
                  <c:v>8.6999999999999993</c:v>
                </c:pt>
                <c:pt idx="88">
                  <c:v>8.8000000000000007</c:v>
                </c:pt>
                <c:pt idx="89">
                  <c:v>8.9</c:v>
                </c:pt>
                <c:pt idx="90">
                  <c:v>9</c:v>
                </c:pt>
                <c:pt idx="91">
                  <c:v>9.1</c:v>
                </c:pt>
                <c:pt idx="92">
                  <c:v>9.1999999999999993</c:v>
                </c:pt>
                <c:pt idx="93">
                  <c:v>9.3000000000000007</c:v>
                </c:pt>
                <c:pt idx="94">
                  <c:v>9.4</c:v>
                </c:pt>
                <c:pt idx="95">
                  <c:v>9.5</c:v>
                </c:pt>
                <c:pt idx="96">
                  <c:v>9.6</c:v>
                </c:pt>
                <c:pt idx="97">
                  <c:v>9.6999999999999993</c:v>
                </c:pt>
                <c:pt idx="98">
                  <c:v>9.8000000000000007</c:v>
                </c:pt>
                <c:pt idx="99">
                  <c:v>9.9</c:v>
                </c:pt>
                <c:pt idx="100">
                  <c:v>10</c:v>
                </c:pt>
                <c:pt idx="101">
                  <c:v>10.1</c:v>
                </c:pt>
                <c:pt idx="102">
                  <c:v>10.199999999999999</c:v>
                </c:pt>
                <c:pt idx="103">
                  <c:v>10.3</c:v>
                </c:pt>
                <c:pt idx="104">
                  <c:v>10.4</c:v>
                </c:pt>
                <c:pt idx="105">
                  <c:v>10.5</c:v>
                </c:pt>
                <c:pt idx="106">
                  <c:v>10.6</c:v>
                </c:pt>
                <c:pt idx="107">
                  <c:v>10.7</c:v>
                </c:pt>
                <c:pt idx="108">
                  <c:v>10.8</c:v>
                </c:pt>
                <c:pt idx="109">
                  <c:v>10.9</c:v>
                </c:pt>
                <c:pt idx="110">
                  <c:v>11</c:v>
                </c:pt>
                <c:pt idx="111">
                  <c:v>11.1</c:v>
                </c:pt>
                <c:pt idx="112">
                  <c:v>11.2</c:v>
                </c:pt>
                <c:pt idx="113">
                  <c:v>11.3</c:v>
                </c:pt>
                <c:pt idx="114">
                  <c:v>11.4</c:v>
                </c:pt>
                <c:pt idx="115">
                  <c:v>11.5</c:v>
                </c:pt>
                <c:pt idx="116">
                  <c:v>11.6</c:v>
                </c:pt>
                <c:pt idx="117">
                  <c:v>11.7</c:v>
                </c:pt>
                <c:pt idx="118">
                  <c:v>11.8</c:v>
                </c:pt>
                <c:pt idx="119">
                  <c:v>11.9</c:v>
                </c:pt>
                <c:pt idx="120">
                  <c:v>12</c:v>
                </c:pt>
                <c:pt idx="121">
                  <c:v>12.1</c:v>
                </c:pt>
                <c:pt idx="122">
                  <c:v>12.2</c:v>
                </c:pt>
                <c:pt idx="123">
                  <c:v>12.3</c:v>
                </c:pt>
                <c:pt idx="124">
                  <c:v>12.4</c:v>
                </c:pt>
                <c:pt idx="125">
                  <c:v>12.5</c:v>
                </c:pt>
                <c:pt idx="126">
                  <c:v>12.6</c:v>
                </c:pt>
                <c:pt idx="127">
                  <c:v>12.7</c:v>
                </c:pt>
                <c:pt idx="128">
                  <c:v>12.8</c:v>
                </c:pt>
                <c:pt idx="129">
                  <c:v>12.9</c:v>
                </c:pt>
                <c:pt idx="130">
                  <c:v>13</c:v>
                </c:pt>
                <c:pt idx="131">
                  <c:v>13.1</c:v>
                </c:pt>
                <c:pt idx="132">
                  <c:v>13.2</c:v>
                </c:pt>
                <c:pt idx="133">
                  <c:v>13.3</c:v>
                </c:pt>
                <c:pt idx="134">
                  <c:v>13.4</c:v>
                </c:pt>
                <c:pt idx="135">
                  <c:v>13.5</c:v>
                </c:pt>
                <c:pt idx="136">
                  <c:v>13.6</c:v>
                </c:pt>
                <c:pt idx="137">
                  <c:v>13.7</c:v>
                </c:pt>
                <c:pt idx="138">
                  <c:v>13.8</c:v>
                </c:pt>
                <c:pt idx="139">
                  <c:v>13.9</c:v>
                </c:pt>
                <c:pt idx="140">
                  <c:v>14</c:v>
                </c:pt>
                <c:pt idx="141">
                  <c:v>14.1</c:v>
                </c:pt>
                <c:pt idx="142">
                  <c:v>14.2</c:v>
                </c:pt>
                <c:pt idx="143">
                  <c:v>14.3</c:v>
                </c:pt>
                <c:pt idx="144">
                  <c:v>14.4</c:v>
                </c:pt>
                <c:pt idx="145">
                  <c:v>14.5</c:v>
                </c:pt>
                <c:pt idx="146">
                  <c:v>14.6</c:v>
                </c:pt>
                <c:pt idx="147">
                  <c:v>14.7</c:v>
                </c:pt>
                <c:pt idx="148">
                  <c:v>14.8</c:v>
                </c:pt>
                <c:pt idx="149">
                  <c:v>14.9</c:v>
                </c:pt>
                <c:pt idx="150">
                  <c:v>15</c:v>
                </c:pt>
                <c:pt idx="151">
                  <c:v>15.1</c:v>
                </c:pt>
                <c:pt idx="152">
                  <c:v>15.2</c:v>
                </c:pt>
                <c:pt idx="153">
                  <c:v>15.3</c:v>
                </c:pt>
                <c:pt idx="154">
                  <c:v>15.4</c:v>
                </c:pt>
                <c:pt idx="155">
                  <c:v>15.5</c:v>
                </c:pt>
                <c:pt idx="156">
                  <c:v>15.6</c:v>
                </c:pt>
                <c:pt idx="157">
                  <c:v>15.7</c:v>
                </c:pt>
                <c:pt idx="158">
                  <c:v>15.8</c:v>
                </c:pt>
                <c:pt idx="159">
                  <c:v>15.9</c:v>
                </c:pt>
                <c:pt idx="160">
                  <c:v>16</c:v>
                </c:pt>
                <c:pt idx="161">
                  <c:v>16.100000000000001</c:v>
                </c:pt>
                <c:pt idx="162">
                  <c:v>16.2</c:v>
                </c:pt>
                <c:pt idx="163">
                  <c:v>16.3</c:v>
                </c:pt>
                <c:pt idx="164">
                  <c:v>16.399999999999999</c:v>
                </c:pt>
                <c:pt idx="165">
                  <c:v>16.5</c:v>
                </c:pt>
                <c:pt idx="166">
                  <c:v>16.600000000000001</c:v>
                </c:pt>
                <c:pt idx="167">
                  <c:v>16.7</c:v>
                </c:pt>
                <c:pt idx="168">
                  <c:v>16.8</c:v>
                </c:pt>
                <c:pt idx="169">
                  <c:v>16.899999999999999</c:v>
                </c:pt>
                <c:pt idx="170">
                  <c:v>17</c:v>
                </c:pt>
                <c:pt idx="171">
                  <c:v>17.100000000000001</c:v>
                </c:pt>
                <c:pt idx="172">
                  <c:v>17.2</c:v>
                </c:pt>
                <c:pt idx="173">
                  <c:v>17.3</c:v>
                </c:pt>
                <c:pt idx="174">
                  <c:v>17.399999999999999</c:v>
                </c:pt>
                <c:pt idx="175">
                  <c:v>17.5</c:v>
                </c:pt>
                <c:pt idx="176">
                  <c:v>17.600000000000001</c:v>
                </c:pt>
                <c:pt idx="177">
                  <c:v>17.7</c:v>
                </c:pt>
                <c:pt idx="178">
                  <c:v>17.8</c:v>
                </c:pt>
                <c:pt idx="179">
                  <c:v>17.899999999999999</c:v>
                </c:pt>
                <c:pt idx="180">
                  <c:v>18</c:v>
                </c:pt>
                <c:pt idx="181">
                  <c:v>18.100000000000001</c:v>
                </c:pt>
                <c:pt idx="182">
                  <c:v>18.2</c:v>
                </c:pt>
                <c:pt idx="183">
                  <c:v>18.3</c:v>
                </c:pt>
                <c:pt idx="184">
                  <c:v>18.399999999999999</c:v>
                </c:pt>
                <c:pt idx="185">
                  <c:v>18.5</c:v>
                </c:pt>
                <c:pt idx="186">
                  <c:v>18.600000000000001</c:v>
                </c:pt>
                <c:pt idx="187">
                  <c:v>18.7</c:v>
                </c:pt>
                <c:pt idx="188">
                  <c:v>18.8</c:v>
                </c:pt>
                <c:pt idx="189">
                  <c:v>18.899999999999999</c:v>
                </c:pt>
                <c:pt idx="190">
                  <c:v>19</c:v>
                </c:pt>
                <c:pt idx="191">
                  <c:v>19.100000000000001</c:v>
                </c:pt>
                <c:pt idx="192">
                  <c:v>19.2</c:v>
                </c:pt>
                <c:pt idx="193">
                  <c:v>19.3</c:v>
                </c:pt>
                <c:pt idx="194">
                  <c:v>19.399999999999999</c:v>
                </c:pt>
                <c:pt idx="195">
                  <c:v>19.5</c:v>
                </c:pt>
                <c:pt idx="196">
                  <c:v>19.600000000000001</c:v>
                </c:pt>
                <c:pt idx="197">
                  <c:v>19.7</c:v>
                </c:pt>
                <c:pt idx="198">
                  <c:v>19.8</c:v>
                </c:pt>
                <c:pt idx="199">
                  <c:v>19.899999999999999</c:v>
                </c:pt>
                <c:pt idx="200">
                  <c:v>20</c:v>
                </c:pt>
                <c:pt idx="201">
                  <c:v>20.100000000000001</c:v>
                </c:pt>
                <c:pt idx="202">
                  <c:v>20.2</c:v>
                </c:pt>
                <c:pt idx="203">
                  <c:v>20.3</c:v>
                </c:pt>
                <c:pt idx="204">
                  <c:v>20.399999999999999</c:v>
                </c:pt>
                <c:pt idx="205">
                  <c:v>20.5</c:v>
                </c:pt>
                <c:pt idx="206">
                  <c:v>20.6</c:v>
                </c:pt>
                <c:pt idx="207">
                  <c:v>20.7</c:v>
                </c:pt>
                <c:pt idx="208">
                  <c:v>20.8</c:v>
                </c:pt>
                <c:pt idx="209">
                  <c:v>20.9</c:v>
                </c:pt>
                <c:pt idx="210">
                  <c:v>21</c:v>
                </c:pt>
                <c:pt idx="211">
                  <c:v>21.1</c:v>
                </c:pt>
                <c:pt idx="212">
                  <c:v>21.2</c:v>
                </c:pt>
                <c:pt idx="213">
                  <c:v>21.3</c:v>
                </c:pt>
                <c:pt idx="214">
                  <c:v>21.4</c:v>
                </c:pt>
                <c:pt idx="215">
                  <c:v>21.5</c:v>
                </c:pt>
                <c:pt idx="216">
                  <c:v>21.6</c:v>
                </c:pt>
                <c:pt idx="217">
                  <c:v>21.7</c:v>
                </c:pt>
                <c:pt idx="218">
                  <c:v>21.8</c:v>
                </c:pt>
                <c:pt idx="219">
                  <c:v>21.9</c:v>
                </c:pt>
                <c:pt idx="220">
                  <c:v>22</c:v>
                </c:pt>
                <c:pt idx="221">
                  <c:v>22.1</c:v>
                </c:pt>
                <c:pt idx="222">
                  <c:v>22.2</c:v>
                </c:pt>
                <c:pt idx="223">
                  <c:v>22.3</c:v>
                </c:pt>
                <c:pt idx="224">
                  <c:v>22.4</c:v>
                </c:pt>
                <c:pt idx="225">
                  <c:v>22.5</c:v>
                </c:pt>
                <c:pt idx="226">
                  <c:v>22.6</c:v>
                </c:pt>
                <c:pt idx="227">
                  <c:v>22.7</c:v>
                </c:pt>
                <c:pt idx="228">
                  <c:v>22.8</c:v>
                </c:pt>
                <c:pt idx="229">
                  <c:v>22.9</c:v>
                </c:pt>
                <c:pt idx="230">
                  <c:v>23</c:v>
                </c:pt>
                <c:pt idx="231">
                  <c:v>23.1</c:v>
                </c:pt>
                <c:pt idx="232">
                  <c:v>23.2</c:v>
                </c:pt>
                <c:pt idx="233">
                  <c:v>23.3</c:v>
                </c:pt>
                <c:pt idx="234">
                  <c:v>23.4</c:v>
                </c:pt>
                <c:pt idx="235">
                  <c:v>23.5</c:v>
                </c:pt>
                <c:pt idx="236">
                  <c:v>23.6</c:v>
                </c:pt>
                <c:pt idx="237">
                  <c:v>23.7</c:v>
                </c:pt>
                <c:pt idx="238">
                  <c:v>23.8</c:v>
                </c:pt>
                <c:pt idx="239">
                  <c:v>23.9</c:v>
                </c:pt>
                <c:pt idx="240">
                  <c:v>24</c:v>
                </c:pt>
                <c:pt idx="241">
                  <c:v>24.1</c:v>
                </c:pt>
                <c:pt idx="242">
                  <c:v>24.2</c:v>
                </c:pt>
                <c:pt idx="243">
                  <c:v>24.3</c:v>
                </c:pt>
                <c:pt idx="244">
                  <c:v>24.4</c:v>
                </c:pt>
                <c:pt idx="245">
                  <c:v>24.5</c:v>
                </c:pt>
                <c:pt idx="246">
                  <c:v>24.6</c:v>
                </c:pt>
                <c:pt idx="247">
                  <c:v>24.7</c:v>
                </c:pt>
                <c:pt idx="248">
                  <c:v>24.8</c:v>
                </c:pt>
                <c:pt idx="249">
                  <c:v>24.9</c:v>
                </c:pt>
                <c:pt idx="250">
                  <c:v>25</c:v>
                </c:pt>
                <c:pt idx="251">
                  <c:v>25.1</c:v>
                </c:pt>
                <c:pt idx="252">
                  <c:v>25.2</c:v>
                </c:pt>
                <c:pt idx="253">
                  <c:v>25.3</c:v>
                </c:pt>
                <c:pt idx="254">
                  <c:v>25.4</c:v>
                </c:pt>
                <c:pt idx="255">
                  <c:v>25.5</c:v>
                </c:pt>
                <c:pt idx="256">
                  <c:v>25.6</c:v>
                </c:pt>
                <c:pt idx="257">
                  <c:v>25.7</c:v>
                </c:pt>
                <c:pt idx="258">
                  <c:v>25.8</c:v>
                </c:pt>
                <c:pt idx="259">
                  <c:v>25.9</c:v>
                </c:pt>
                <c:pt idx="260">
                  <c:v>26</c:v>
                </c:pt>
                <c:pt idx="261">
                  <c:v>26.1</c:v>
                </c:pt>
                <c:pt idx="262">
                  <c:v>26.2</c:v>
                </c:pt>
                <c:pt idx="263">
                  <c:v>26.3</c:v>
                </c:pt>
                <c:pt idx="264">
                  <c:v>26.4</c:v>
                </c:pt>
                <c:pt idx="265">
                  <c:v>26.5</c:v>
                </c:pt>
                <c:pt idx="266">
                  <c:v>26.6</c:v>
                </c:pt>
                <c:pt idx="267">
                  <c:v>26.7</c:v>
                </c:pt>
                <c:pt idx="268">
                  <c:v>26.8</c:v>
                </c:pt>
                <c:pt idx="269">
                  <c:v>26.9</c:v>
                </c:pt>
                <c:pt idx="270">
                  <c:v>27</c:v>
                </c:pt>
                <c:pt idx="271">
                  <c:v>27.1</c:v>
                </c:pt>
                <c:pt idx="272">
                  <c:v>27.2</c:v>
                </c:pt>
                <c:pt idx="273">
                  <c:v>27.3</c:v>
                </c:pt>
                <c:pt idx="274">
                  <c:v>27.4</c:v>
                </c:pt>
                <c:pt idx="275">
                  <c:v>27.5</c:v>
                </c:pt>
                <c:pt idx="276">
                  <c:v>27.6</c:v>
                </c:pt>
                <c:pt idx="277">
                  <c:v>27.7</c:v>
                </c:pt>
                <c:pt idx="278">
                  <c:v>27.8</c:v>
                </c:pt>
                <c:pt idx="279">
                  <c:v>27.9</c:v>
                </c:pt>
                <c:pt idx="280">
                  <c:v>28</c:v>
                </c:pt>
                <c:pt idx="281">
                  <c:v>28.1</c:v>
                </c:pt>
                <c:pt idx="282">
                  <c:v>28.2</c:v>
                </c:pt>
                <c:pt idx="283">
                  <c:v>28.3</c:v>
                </c:pt>
                <c:pt idx="284">
                  <c:v>28.4</c:v>
                </c:pt>
                <c:pt idx="285">
                  <c:v>28.5</c:v>
                </c:pt>
                <c:pt idx="286">
                  <c:v>28.6</c:v>
                </c:pt>
                <c:pt idx="287">
                  <c:v>28.7</c:v>
                </c:pt>
                <c:pt idx="288">
                  <c:v>28.8</c:v>
                </c:pt>
                <c:pt idx="289">
                  <c:v>28.9</c:v>
                </c:pt>
                <c:pt idx="290">
                  <c:v>29</c:v>
                </c:pt>
                <c:pt idx="291">
                  <c:v>29.1</c:v>
                </c:pt>
                <c:pt idx="292">
                  <c:v>29.2</c:v>
                </c:pt>
                <c:pt idx="293">
                  <c:v>29.3</c:v>
                </c:pt>
                <c:pt idx="294">
                  <c:v>29.4</c:v>
                </c:pt>
                <c:pt idx="295">
                  <c:v>29.5</c:v>
                </c:pt>
                <c:pt idx="296">
                  <c:v>29.6</c:v>
                </c:pt>
                <c:pt idx="297">
                  <c:v>29.7</c:v>
                </c:pt>
                <c:pt idx="298">
                  <c:v>29.8</c:v>
                </c:pt>
                <c:pt idx="299">
                  <c:v>29.9</c:v>
                </c:pt>
                <c:pt idx="300">
                  <c:v>30</c:v>
                </c:pt>
                <c:pt idx="301">
                  <c:v>30.1</c:v>
                </c:pt>
                <c:pt idx="302">
                  <c:v>30.2</c:v>
                </c:pt>
                <c:pt idx="303">
                  <c:v>30.3</c:v>
                </c:pt>
                <c:pt idx="304">
                  <c:v>30.4</c:v>
                </c:pt>
                <c:pt idx="305">
                  <c:v>30.5</c:v>
                </c:pt>
                <c:pt idx="306">
                  <c:v>30.6</c:v>
                </c:pt>
                <c:pt idx="307">
                  <c:v>30.7</c:v>
                </c:pt>
                <c:pt idx="308">
                  <c:v>30.8</c:v>
                </c:pt>
                <c:pt idx="309">
                  <c:v>30.9</c:v>
                </c:pt>
                <c:pt idx="310">
                  <c:v>31</c:v>
                </c:pt>
                <c:pt idx="311">
                  <c:v>31.1</c:v>
                </c:pt>
                <c:pt idx="312">
                  <c:v>31.2</c:v>
                </c:pt>
                <c:pt idx="313">
                  <c:v>31.3</c:v>
                </c:pt>
                <c:pt idx="314">
                  <c:v>31.4</c:v>
                </c:pt>
                <c:pt idx="315">
                  <c:v>31.5</c:v>
                </c:pt>
                <c:pt idx="316">
                  <c:v>31.6</c:v>
                </c:pt>
                <c:pt idx="317">
                  <c:v>31.7</c:v>
                </c:pt>
                <c:pt idx="318">
                  <c:v>31.8</c:v>
                </c:pt>
                <c:pt idx="319">
                  <c:v>31.9</c:v>
                </c:pt>
                <c:pt idx="320">
                  <c:v>32</c:v>
                </c:pt>
                <c:pt idx="321">
                  <c:v>32.1</c:v>
                </c:pt>
                <c:pt idx="322">
                  <c:v>32.200000000000003</c:v>
                </c:pt>
                <c:pt idx="323">
                  <c:v>32.299999999999997</c:v>
                </c:pt>
                <c:pt idx="324">
                  <c:v>32.4</c:v>
                </c:pt>
                <c:pt idx="325">
                  <c:v>32.5</c:v>
                </c:pt>
                <c:pt idx="326">
                  <c:v>32.6</c:v>
                </c:pt>
                <c:pt idx="327">
                  <c:v>32.700000000000003</c:v>
                </c:pt>
                <c:pt idx="328">
                  <c:v>32.799999999999997</c:v>
                </c:pt>
                <c:pt idx="329">
                  <c:v>32.9</c:v>
                </c:pt>
                <c:pt idx="330">
                  <c:v>33</c:v>
                </c:pt>
                <c:pt idx="331">
                  <c:v>33.1</c:v>
                </c:pt>
                <c:pt idx="332">
                  <c:v>33.200000000000003</c:v>
                </c:pt>
                <c:pt idx="333">
                  <c:v>33.299999999999997</c:v>
                </c:pt>
                <c:pt idx="334">
                  <c:v>33.4</c:v>
                </c:pt>
                <c:pt idx="335">
                  <c:v>33.5</c:v>
                </c:pt>
                <c:pt idx="336">
                  <c:v>33.6</c:v>
                </c:pt>
                <c:pt idx="337">
                  <c:v>33.700000000000003</c:v>
                </c:pt>
                <c:pt idx="338">
                  <c:v>33.799999999999997</c:v>
                </c:pt>
                <c:pt idx="339">
                  <c:v>33.9</c:v>
                </c:pt>
                <c:pt idx="340">
                  <c:v>34</c:v>
                </c:pt>
                <c:pt idx="341">
                  <c:v>34.1</c:v>
                </c:pt>
                <c:pt idx="342">
                  <c:v>34.200000000000003</c:v>
                </c:pt>
                <c:pt idx="343">
                  <c:v>34.299999999999997</c:v>
                </c:pt>
                <c:pt idx="344">
                  <c:v>34.4</c:v>
                </c:pt>
                <c:pt idx="345">
                  <c:v>34.5</c:v>
                </c:pt>
                <c:pt idx="346">
                  <c:v>34.6</c:v>
                </c:pt>
                <c:pt idx="347">
                  <c:v>34.700000000000003</c:v>
                </c:pt>
                <c:pt idx="348">
                  <c:v>34.799999999999997</c:v>
                </c:pt>
                <c:pt idx="349">
                  <c:v>34.9</c:v>
                </c:pt>
                <c:pt idx="350">
                  <c:v>35</c:v>
                </c:pt>
                <c:pt idx="351">
                  <c:v>35.1</c:v>
                </c:pt>
                <c:pt idx="352">
                  <c:v>35.200000000000003</c:v>
                </c:pt>
                <c:pt idx="353">
                  <c:v>35.299999999999997</c:v>
                </c:pt>
                <c:pt idx="354">
                  <c:v>35.4</c:v>
                </c:pt>
                <c:pt idx="355">
                  <c:v>35.5</c:v>
                </c:pt>
                <c:pt idx="356">
                  <c:v>35.6</c:v>
                </c:pt>
                <c:pt idx="357">
                  <c:v>35.700000000000003</c:v>
                </c:pt>
                <c:pt idx="358">
                  <c:v>35.799999999999997</c:v>
                </c:pt>
                <c:pt idx="359">
                  <c:v>35.9</c:v>
                </c:pt>
                <c:pt idx="360">
                  <c:v>36</c:v>
                </c:pt>
                <c:pt idx="361">
                  <c:v>36.1</c:v>
                </c:pt>
                <c:pt idx="362">
                  <c:v>36.200000000000003</c:v>
                </c:pt>
                <c:pt idx="363">
                  <c:v>36.299999999999997</c:v>
                </c:pt>
                <c:pt idx="364">
                  <c:v>36.4</c:v>
                </c:pt>
                <c:pt idx="365">
                  <c:v>36.5</c:v>
                </c:pt>
                <c:pt idx="366">
                  <c:v>36.6</c:v>
                </c:pt>
                <c:pt idx="367">
                  <c:v>36.700000000000003</c:v>
                </c:pt>
                <c:pt idx="368">
                  <c:v>36.799999999999997</c:v>
                </c:pt>
                <c:pt idx="369">
                  <c:v>36.9</c:v>
                </c:pt>
                <c:pt idx="370">
                  <c:v>37</c:v>
                </c:pt>
                <c:pt idx="371">
                  <c:v>37.1</c:v>
                </c:pt>
                <c:pt idx="372">
                  <c:v>37.200000000000003</c:v>
                </c:pt>
                <c:pt idx="373">
                  <c:v>37.299999999999997</c:v>
                </c:pt>
                <c:pt idx="374">
                  <c:v>37.4</c:v>
                </c:pt>
                <c:pt idx="375">
                  <c:v>37.5</c:v>
                </c:pt>
                <c:pt idx="376">
                  <c:v>37.6</c:v>
                </c:pt>
                <c:pt idx="377">
                  <c:v>37.700000000000003</c:v>
                </c:pt>
                <c:pt idx="378">
                  <c:v>37.799999999999997</c:v>
                </c:pt>
                <c:pt idx="379">
                  <c:v>37.9</c:v>
                </c:pt>
                <c:pt idx="380">
                  <c:v>38</c:v>
                </c:pt>
                <c:pt idx="381">
                  <c:v>38.1</c:v>
                </c:pt>
                <c:pt idx="382">
                  <c:v>38.200000000000003</c:v>
                </c:pt>
                <c:pt idx="383">
                  <c:v>38.299999999999997</c:v>
                </c:pt>
                <c:pt idx="384">
                  <c:v>38.4</c:v>
                </c:pt>
                <c:pt idx="385">
                  <c:v>38.5</c:v>
                </c:pt>
                <c:pt idx="386">
                  <c:v>38.6</c:v>
                </c:pt>
                <c:pt idx="387">
                  <c:v>38.700000000000003</c:v>
                </c:pt>
                <c:pt idx="388">
                  <c:v>38.799999999999997</c:v>
                </c:pt>
                <c:pt idx="389">
                  <c:v>38.9</c:v>
                </c:pt>
                <c:pt idx="390">
                  <c:v>39</c:v>
                </c:pt>
                <c:pt idx="391">
                  <c:v>39.1</c:v>
                </c:pt>
                <c:pt idx="392">
                  <c:v>39.200000000000003</c:v>
                </c:pt>
                <c:pt idx="393">
                  <c:v>39.299999999999997</c:v>
                </c:pt>
                <c:pt idx="394">
                  <c:v>39.4</c:v>
                </c:pt>
                <c:pt idx="395">
                  <c:v>39.5</c:v>
                </c:pt>
                <c:pt idx="396">
                  <c:v>39.6</c:v>
                </c:pt>
                <c:pt idx="397">
                  <c:v>39.700000000000003</c:v>
                </c:pt>
                <c:pt idx="398">
                  <c:v>39.799999999999997</c:v>
                </c:pt>
                <c:pt idx="399">
                  <c:v>39.9</c:v>
                </c:pt>
                <c:pt idx="400">
                  <c:v>40</c:v>
                </c:pt>
                <c:pt idx="401">
                  <c:v>40.1</c:v>
                </c:pt>
                <c:pt idx="402">
                  <c:v>40.200000000000003</c:v>
                </c:pt>
                <c:pt idx="403">
                  <c:v>40.299999999999997</c:v>
                </c:pt>
                <c:pt idx="404">
                  <c:v>40.4</c:v>
                </c:pt>
                <c:pt idx="405">
                  <c:v>40.5</c:v>
                </c:pt>
                <c:pt idx="406">
                  <c:v>40.6</c:v>
                </c:pt>
                <c:pt idx="407">
                  <c:v>40.700000000000003</c:v>
                </c:pt>
                <c:pt idx="408">
                  <c:v>40.799999999999997</c:v>
                </c:pt>
                <c:pt idx="409">
                  <c:v>40.9</c:v>
                </c:pt>
                <c:pt idx="410">
                  <c:v>41</c:v>
                </c:pt>
                <c:pt idx="411">
                  <c:v>41.1</c:v>
                </c:pt>
                <c:pt idx="412">
                  <c:v>41.2</c:v>
                </c:pt>
                <c:pt idx="413">
                  <c:v>41.3</c:v>
                </c:pt>
                <c:pt idx="414">
                  <c:v>41.4</c:v>
                </c:pt>
                <c:pt idx="415">
                  <c:v>41.5</c:v>
                </c:pt>
                <c:pt idx="416">
                  <c:v>41.6</c:v>
                </c:pt>
                <c:pt idx="417">
                  <c:v>41.7</c:v>
                </c:pt>
                <c:pt idx="418">
                  <c:v>41.8</c:v>
                </c:pt>
                <c:pt idx="419">
                  <c:v>41.9</c:v>
                </c:pt>
                <c:pt idx="420">
                  <c:v>42</c:v>
                </c:pt>
                <c:pt idx="421">
                  <c:v>42.1</c:v>
                </c:pt>
                <c:pt idx="422">
                  <c:v>42.2</c:v>
                </c:pt>
                <c:pt idx="423">
                  <c:v>42.3</c:v>
                </c:pt>
                <c:pt idx="424">
                  <c:v>42.4</c:v>
                </c:pt>
                <c:pt idx="425">
                  <c:v>42.5</c:v>
                </c:pt>
                <c:pt idx="426">
                  <c:v>42.6</c:v>
                </c:pt>
                <c:pt idx="427">
                  <c:v>42.7</c:v>
                </c:pt>
                <c:pt idx="428">
                  <c:v>42.8</c:v>
                </c:pt>
                <c:pt idx="429">
                  <c:v>42.9</c:v>
                </c:pt>
                <c:pt idx="430">
                  <c:v>43</c:v>
                </c:pt>
                <c:pt idx="431">
                  <c:v>43.1</c:v>
                </c:pt>
                <c:pt idx="432">
                  <c:v>43.2</c:v>
                </c:pt>
                <c:pt idx="433">
                  <c:v>43.3</c:v>
                </c:pt>
                <c:pt idx="434">
                  <c:v>43.4</c:v>
                </c:pt>
                <c:pt idx="435">
                  <c:v>43.5</c:v>
                </c:pt>
                <c:pt idx="436">
                  <c:v>43.6</c:v>
                </c:pt>
                <c:pt idx="437">
                  <c:v>43.7</c:v>
                </c:pt>
                <c:pt idx="438">
                  <c:v>43.8</c:v>
                </c:pt>
                <c:pt idx="439">
                  <c:v>43.9</c:v>
                </c:pt>
                <c:pt idx="440">
                  <c:v>44</c:v>
                </c:pt>
                <c:pt idx="441">
                  <c:v>44.1</c:v>
                </c:pt>
                <c:pt idx="442">
                  <c:v>44.2</c:v>
                </c:pt>
                <c:pt idx="443">
                  <c:v>44.3</c:v>
                </c:pt>
                <c:pt idx="444">
                  <c:v>44.4</c:v>
                </c:pt>
                <c:pt idx="445">
                  <c:v>44.5</c:v>
                </c:pt>
                <c:pt idx="446">
                  <c:v>44.6</c:v>
                </c:pt>
                <c:pt idx="447">
                  <c:v>44.7</c:v>
                </c:pt>
                <c:pt idx="448">
                  <c:v>44.8</c:v>
                </c:pt>
                <c:pt idx="449">
                  <c:v>44.9</c:v>
                </c:pt>
                <c:pt idx="450">
                  <c:v>45</c:v>
                </c:pt>
                <c:pt idx="451">
                  <c:v>45.1</c:v>
                </c:pt>
                <c:pt idx="452">
                  <c:v>45.2</c:v>
                </c:pt>
                <c:pt idx="453">
                  <c:v>45.3</c:v>
                </c:pt>
                <c:pt idx="454">
                  <c:v>45.4</c:v>
                </c:pt>
                <c:pt idx="455">
                  <c:v>45.5</c:v>
                </c:pt>
                <c:pt idx="456">
                  <c:v>45.6</c:v>
                </c:pt>
                <c:pt idx="457">
                  <c:v>45.7</c:v>
                </c:pt>
                <c:pt idx="458">
                  <c:v>45.8</c:v>
                </c:pt>
                <c:pt idx="459">
                  <c:v>45.9</c:v>
                </c:pt>
                <c:pt idx="460">
                  <c:v>46</c:v>
                </c:pt>
                <c:pt idx="461">
                  <c:v>46.1</c:v>
                </c:pt>
                <c:pt idx="462">
                  <c:v>46.2</c:v>
                </c:pt>
                <c:pt idx="463">
                  <c:v>46.3</c:v>
                </c:pt>
                <c:pt idx="464">
                  <c:v>46.4</c:v>
                </c:pt>
                <c:pt idx="465">
                  <c:v>46.5</c:v>
                </c:pt>
                <c:pt idx="466">
                  <c:v>46.6</c:v>
                </c:pt>
                <c:pt idx="467">
                  <c:v>46.7</c:v>
                </c:pt>
                <c:pt idx="468">
                  <c:v>46.8</c:v>
                </c:pt>
                <c:pt idx="469">
                  <c:v>46.9</c:v>
                </c:pt>
                <c:pt idx="470">
                  <c:v>47</c:v>
                </c:pt>
                <c:pt idx="471">
                  <c:v>47.1</c:v>
                </c:pt>
                <c:pt idx="472">
                  <c:v>47.2</c:v>
                </c:pt>
                <c:pt idx="473">
                  <c:v>47.3</c:v>
                </c:pt>
                <c:pt idx="474">
                  <c:v>47.4</c:v>
                </c:pt>
                <c:pt idx="475">
                  <c:v>47.5</c:v>
                </c:pt>
                <c:pt idx="476">
                  <c:v>47.6</c:v>
                </c:pt>
                <c:pt idx="477">
                  <c:v>47.7</c:v>
                </c:pt>
                <c:pt idx="478">
                  <c:v>47.8</c:v>
                </c:pt>
                <c:pt idx="479">
                  <c:v>47.9</c:v>
                </c:pt>
                <c:pt idx="480">
                  <c:v>48</c:v>
                </c:pt>
                <c:pt idx="481">
                  <c:v>48.1</c:v>
                </c:pt>
                <c:pt idx="482">
                  <c:v>48.2</c:v>
                </c:pt>
                <c:pt idx="483">
                  <c:v>48.3</c:v>
                </c:pt>
                <c:pt idx="484">
                  <c:v>48.4</c:v>
                </c:pt>
                <c:pt idx="485">
                  <c:v>48.5</c:v>
                </c:pt>
                <c:pt idx="486">
                  <c:v>48.6</c:v>
                </c:pt>
                <c:pt idx="487">
                  <c:v>48.7</c:v>
                </c:pt>
                <c:pt idx="488">
                  <c:v>48.8</c:v>
                </c:pt>
                <c:pt idx="489">
                  <c:v>48.9</c:v>
                </c:pt>
                <c:pt idx="490">
                  <c:v>49</c:v>
                </c:pt>
                <c:pt idx="491">
                  <c:v>49.1</c:v>
                </c:pt>
                <c:pt idx="492">
                  <c:v>49.2</c:v>
                </c:pt>
                <c:pt idx="493">
                  <c:v>49.3</c:v>
                </c:pt>
                <c:pt idx="494">
                  <c:v>49.4</c:v>
                </c:pt>
                <c:pt idx="495">
                  <c:v>49.5</c:v>
                </c:pt>
                <c:pt idx="496">
                  <c:v>49.6</c:v>
                </c:pt>
                <c:pt idx="497">
                  <c:v>49.7</c:v>
                </c:pt>
                <c:pt idx="498">
                  <c:v>49.8</c:v>
                </c:pt>
                <c:pt idx="499">
                  <c:v>49.9</c:v>
                </c:pt>
                <c:pt idx="500">
                  <c:v>50</c:v>
                </c:pt>
                <c:pt idx="501">
                  <c:v>50.1</c:v>
                </c:pt>
                <c:pt idx="502">
                  <c:v>50.2</c:v>
                </c:pt>
                <c:pt idx="503">
                  <c:v>50.3</c:v>
                </c:pt>
                <c:pt idx="504">
                  <c:v>50.4</c:v>
                </c:pt>
                <c:pt idx="505">
                  <c:v>50.5</c:v>
                </c:pt>
                <c:pt idx="506">
                  <c:v>50.6</c:v>
                </c:pt>
                <c:pt idx="507">
                  <c:v>50.7</c:v>
                </c:pt>
                <c:pt idx="508">
                  <c:v>50.8</c:v>
                </c:pt>
                <c:pt idx="509">
                  <c:v>50.9</c:v>
                </c:pt>
                <c:pt idx="510">
                  <c:v>51</c:v>
                </c:pt>
                <c:pt idx="511">
                  <c:v>51.1</c:v>
                </c:pt>
                <c:pt idx="512">
                  <c:v>51.2</c:v>
                </c:pt>
                <c:pt idx="513">
                  <c:v>51.3</c:v>
                </c:pt>
                <c:pt idx="514">
                  <c:v>51.4</c:v>
                </c:pt>
                <c:pt idx="515">
                  <c:v>51.5</c:v>
                </c:pt>
                <c:pt idx="516">
                  <c:v>51.6</c:v>
                </c:pt>
                <c:pt idx="517">
                  <c:v>51.7</c:v>
                </c:pt>
                <c:pt idx="518">
                  <c:v>51.8</c:v>
                </c:pt>
                <c:pt idx="519">
                  <c:v>51.9</c:v>
                </c:pt>
                <c:pt idx="520">
                  <c:v>52</c:v>
                </c:pt>
                <c:pt idx="521">
                  <c:v>52.1</c:v>
                </c:pt>
                <c:pt idx="522">
                  <c:v>52.2</c:v>
                </c:pt>
                <c:pt idx="523">
                  <c:v>52.3</c:v>
                </c:pt>
                <c:pt idx="524">
                  <c:v>52.4</c:v>
                </c:pt>
                <c:pt idx="525">
                  <c:v>52.5</c:v>
                </c:pt>
                <c:pt idx="526">
                  <c:v>52.6</c:v>
                </c:pt>
                <c:pt idx="527">
                  <c:v>52.7</c:v>
                </c:pt>
                <c:pt idx="528">
                  <c:v>52.8</c:v>
                </c:pt>
                <c:pt idx="529">
                  <c:v>52.9</c:v>
                </c:pt>
                <c:pt idx="530">
                  <c:v>53</c:v>
                </c:pt>
                <c:pt idx="531">
                  <c:v>53.1</c:v>
                </c:pt>
                <c:pt idx="532">
                  <c:v>53.2</c:v>
                </c:pt>
                <c:pt idx="533">
                  <c:v>53.3</c:v>
                </c:pt>
                <c:pt idx="534">
                  <c:v>53.4</c:v>
                </c:pt>
                <c:pt idx="535">
                  <c:v>53.5</c:v>
                </c:pt>
                <c:pt idx="536">
                  <c:v>53.6</c:v>
                </c:pt>
                <c:pt idx="537">
                  <c:v>53.7</c:v>
                </c:pt>
                <c:pt idx="538">
                  <c:v>53.8</c:v>
                </c:pt>
                <c:pt idx="539">
                  <c:v>53.9</c:v>
                </c:pt>
                <c:pt idx="540">
                  <c:v>54</c:v>
                </c:pt>
                <c:pt idx="541">
                  <c:v>54.1</c:v>
                </c:pt>
                <c:pt idx="542">
                  <c:v>54.2</c:v>
                </c:pt>
                <c:pt idx="543">
                  <c:v>54.3</c:v>
                </c:pt>
                <c:pt idx="544">
                  <c:v>54.4</c:v>
                </c:pt>
                <c:pt idx="545">
                  <c:v>54.5</c:v>
                </c:pt>
                <c:pt idx="546">
                  <c:v>54.6</c:v>
                </c:pt>
                <c:pt idx="547">
                  <c:v>54.7</c:v>
                </c:pt>
                <c:pt idx="548">
                  <c:v>54.8</c:v>
                </c:pt>
                <c:pt idx="549">
                  <c:v>54.9</c:v>
                </c:pt>
                <c:pt idx="550">
                  <c:v>55</c:v>
                </c:pt>
                <c:pt idx="551">
                  <c:v>55.1</c:v>
                </c:pt>
                <c:pt idx="552">
                  <c:v>55.2</c:v>
                </c:pt>
                <c:pt idx="553">
                  <c:v>55.3</c:v>
                </c:pt>
                <c:pt idx="554">
                  <c:v>55.4</c:v>
                </c:pt>
                <c:pt idx="555">
                  <c:v>55.5</c:v>
                </c:pt>
                <c:pt idx="556">
                  <c:v>55.6</c:v>
                </c:pt>
                <c:pt idx="557">
                  <c:v>55.7</c:v>
                </c:pt>
                <c:pt idx="558">
                  <c:v>55.8</c:v>
                </c:pt>
                <c:pt idx="559">
                  <c:v>55.9</c:v>
                </c:pt>
                <c:pt idx="560">
                  <c:v>56</c:v>
                </c:pt>
                <c:pt idx="561">
                  <c:v>56.1</c:v>
                </c:pt>
                <c:pt idx="562">
                  <c:v>56.2</c:v>
                </c:pt>
                <c:pt idx="563">
                  <c:v>56.3</c:v>
                </c:pt>
                <c:pt idx="564">
                  <c:v>56.4</c:v>
                </c:pt>
                <c:pt idx="565">
                  <c:v>56.5</c:v>
                </c:pt>
                <c:pt idx="566">
                  <c:v>56.6</c:v>
                </c:pt>
                <c:pt idx="567">
                  <c:v>56.7</c:v>
                </c:pt>
                <c:pt idx="568">
                  <c:v>56.8</c:v>
                </c:pt>
                <c:pt idx="569">
                  <c:v>56.9</c:v>
                </c:pt>
                <c:pt idx="570">
                  <c:v>57</c:v>
                </c:pt>
                <c:pt idx="571">
                  <c:v>57.1</c:v>
                </c:pt>
                <c:pt idx="572">
                  <c:v>57.2</c:v>
                </c:pt>
                <c:pt idx="573">
                  <c:v>57.3</c:v>
                </c:pt>
                <c:pt idx="574">
                  <c:v>57.4</c:v>
                </c:pt>
                <c:pt idx="575">
                  <c:v>57.5</c:v>
                </c:pt>
                <c:pt idx="576">
                  <c:v>57.6</c:v>
                </c:pt>
                <c:pt idx="577">
                  <c:v>57.7</c:v>
                </c:pt>
                <c:pt idx="578">
                  <c:v>57.8</c:v>
                </c:pt>
                <c:pt idx="579">
                  <c:v>57.9</c:v>
                </c:pt>
                <c:pt idx="580">
                  <c:v>58</c:v>
                </c:pt>
                <c:pt idx="581">
                  <c:v>58.1</c:v>
                </c:pt>
                <c:pt idx="582">
                  <c:v>58.2</c:v>
                </c:pt>
                <c:pt idx="583">
                  <c:v>58.3</c:v>
                </c:pt>
                <c:pt idx="584">
                  <c:v>58.4</c:v>
                </c:pt>
                <c:pt idx="585">
                  <c:v>58.5</c:v>
                </c:pt>
                <c:pt idx="586">
                  <c:v>58.6</c:v>
                </c:pt>
                <c:pt idx="587">
                  <c:v>58.7</c:v>
                </c:pt>
                <c:pt idx="588">
                  <c:v>58.8</c:v>
                </c:pt>
                <c:pt idx="589">
                  <c:v>58.9</c:v>
                </c:pt>
                <c:pt idx="590">
                  <c:v>59</c:v>
                </c:pt>
                <c:pt idx="591">
                  <c:v>59.1</c:v>
                </c:pt>
                <c:pt idx="592">
                  <c:v>59.2</c:v>
                </c:pt>
                <c:pt idx="593">
                  <c:v>59.3</c:v>
                </c:pt>
                <c:pt idx="594">
                  <c:v>59.4</c:v>
                </c:pt>
                <c:pt idx="595">
                  <c:v>59.5</c:v>
                </c:pt>
                <c:pt idx="596">
                  <c:v>59.6</c:v>
                </c:pt>
                <c:pt idx="597">
                  <c:v>59.7</c:v>
                </c:pt>
                <c:pt idx="598">
                  <c:v>59.8</c:v>
                </c:pt>
                <c:pt idx="599">
                  <c:v>59.9</c:v>
                </c:pt>
                <c:pt idx="600">
                  <c:v>60</c:v>
                </c:pt>
                <c:pt idx="601">
                  <c:v>60.1</c:v>
                </c:pt>
                <c:pt idx="602">
                  <c:v>60.2</c:v>
                </c:pt>
                <c:pt idx="603">
                  <c:v>60.3</c:v>
                </c:pt>
                <c:pt idx="604">
                  <c:v>60.4</c:v>
                </c:pt>
                <c:pt idx="605">
                  <c:v>60.5</c:v>
                </c:pt>
                <c:pt idx="606">
                  <c:v>60.6</c:v>
                </c:pt>
                <c:pt idx="607">
                  <c:v>60.7</c:v>
                </c:pt>
                <c:pt idx="608">
                  <c:v>60.8</c:v>
                </c:pt>
                <c:pt idx="609">
                  <c:v>60.9</c:v>
                </c:pt>
                <c:pt idx="610">
                  <c:v>61</c:v>
                </c:pt>
                <c:pt idx="611">
                  <c:v>61.1</c:v>
                </c:pt>
                <c:pt idx="612">
                  <c:v>61.2</c:v>
                </c:pt>
                <c:pt idx="613">
                  <c:v>61.3</c:v>
                </c:pt>
                <c:pt idx="614">
                  <c:v>61.4</c:v>
                </c:pt>
                <c:pt idx="615">
                  <c:v>61.5</c:v>
                </c:pt>
                <c:pt idx="616">
                  <c:v>61.6</c:v>
                </c:pt>
                <c:pt idx="617">
                  <c:v>61.7</c:v>
                </c:pt>
                <c:pt idx="618">
                  <c:v>61.8</c:v>
                </c:pt>
                <c:pt idx="619">
                  <c:v>61.9</c:v>
                </c:pt>
                <c:pt idx="620">
                  <c:v>62</c:v>
                </c:pt>
                <c:pt idx="621">
                  <c:v>62.1</c:v>
                </c:pt>
                <c:pt idx="622">
                  <c:v>62.2</c:v>
                </c:pt>
                <c:pt idx="623">
                  <c:v>62.3</c:v>
                </c:pt>
                <c:pt idx="624">
                  <c:v>62.4</c:v>
                </c:pt>
                <c:pt idx="625">
                  <c:v>62.5</c:v>
                </c:pt>
                <c:pt idx="626">
                  <c:v>62.6</c:v>
                </c:pt>
                <c:pt idx="627">
                  <c:v>62.7</c:v>
                </c:pt>
                <c:pt idx="628">
                  <c:v>62.8</c:v>
                </c:pt>
                <c:pt idx="629">
                  <c:v>62.9</c:v>
                </c:pt>
                <c:pt idx="630">
                  <c:v>63</c:v>
                </c:pt>
                <c:pt idx="631">
                  <c:v>63.1</c:v>
                </c:pt>
                <c:pt idx="632">
                  <c:v>63.2</c:v>
                </c:pt>
                <c:pt idx="633">
                  <c:v>63.3</c:v>
                </c:pt>
                <c:pt idx="634">
                  <c:v>63.4</c:v>
                </c:pt>
                <c:pt idx="635">
                  <c:v>63.5</c:v>
                </c:pt>
                <c:pt idx="636">
                  <c:v>63.6</c:v>
                </c:pt>
                <c:pt idx="637">
                  <c:v>63.7</c:v>
                </c:pt>
                <c:pt idx="638">
                  <c:v>63.8</c:v>
                </c:pt>
                <c:pt idx="639">
                  <c:v>63.9</c:v>
                </c:pt>
                <c:pt idx="640">
                  <c:v>64</c:v>
                </c:pt>
                <c:pt idx="641">
                  <c:v>64.099999999999994</c:v>
                </c:pt>
                <c:pt idx="642">
                  <c:v>64.2</c:v>
                </c:pt>
                <c:pt idx="643">
                  <c:v>64.3</c:v>
                </c:pt>
                <c:pt idx="644">
                  <c:v>64.400000000000006</c:v>
                </c:pt>
                <c:pt idx="645">
                  <c:v>64.5</c:v>
                </c:pt>
                <c:pt idx="646">
                  <c:v>64.599999999999994</c:v>
                </c:pt>
                <c:pt idx="647">
                  <c:v>64.7</c:v>
                </c:pt>
                <c:pt idx="648">
                  <c:v>64.8</c:v>
                </c:pt>
                <c:pt idx="649">
                  <c:v>64.900000000000006</c:v>
                </c:pt>
                <c:pt idx="650">
                  <c:v>65</c:v>
                </c:pt>
                <c:pt idx="651">
                  <c:v>65.099999999999994</c:v>
                </c:pt>
                <c:pt idx="652">
                  <c:v>65.2</c:v>
                </c:pt>
                <c:pt idx="653">
                  <c:v>65.3</c:v>
                </c:pt>
                <c:pt idx="654">
                  <c:v>65.400000000000006</c:v>
                </c:pt>
                <c:pt idx="655">
                  <c:v>65.5</c:v>
                </c:pt>
                <c:pt idx="656">
                  <c:v>65.599999999999994</c:v>
                </c:pt>
                <c:pt idx="657">
                  <c:v>65.7</c:v>
                </c:pt>
                <c:pt idx="658">
                  <c:v>65.8</c:v>
                </c:pt>
                <c:pt idx="659">
                  <c:v>65.900000000000006</c:v>
                </c:pt>
                <c:pt idx="660">
                  <c:v>66</c:v>
                </c:pt>
                <c:pt idx="661">
                  <c:v>66.099999999999994</c:v>
                </c:pt>
                <c:pt idx="662">
                  <c:v>66.2</c:v>
                </c:pt>
                <c:pt idx="663">
                  <c:v>66.3</c:v>
                </c:pt>
                <c:pt idx="664">
                  <c:v>66.400000000000006</c:v>
                </c:pt>
                <c:pt idx="665">
                  <c:v>66.5</c:v>
                </c:pt>
                <c:pt idx="666">
                  <c:v>66.599999999999994</c:v>
                </c:pt>
                <c:pt idx="667">
                  <c:v>66.7</c:v>
                </c:pt>
                <c:pt idx="668">
                  <c:v>66.8</c:v>
                </c:pt>
                <c:pt idx="669">
                  <c:v>66.900000000000006</c:v>
                </c:pt>
                <c:pt idx="670">
                  <c:v>67</c:v>
                </c:pt>
                <c:pt idx="671">
                  <c:v>67.099999999999994</c:v>
                </c:pt>
                <c:pt idx="672">
                  <c:v>67.2</c:v>
                </c:pt>
                <c:pt idx="673">
                  <c:v>67.3</c:v>
                </c:pt>
                <c:pt idx="674">
                  <c:v>67.400000000000006</c:v>
                </c:pt>
                <c:pt idx="675">
                  <c:v>67.5</c:v>
                </c:pt>
                <c:pt idx="676">
                  <c:v>67.599999999999994</c:v>
                </c:pt>
                <c:pt idx="677">
                  <c:v>67.7</c:v>
                </c:pt>
                <c:pt idx="678">
                  <c:v>67.8</c:v>
                </c:pt>
                <c:pt idx="679">
                  <c:v>67.900000000000006</c:v>
                </c:pt>
                <c:pt idx="680">
                  <c:v>68</c:v>
                </c:pt>
                <c:pt idx="681">
                  <c:v>68.099999999999994</c:v>
                </c:pt>
                <c:pt idx="682">
                  <c:v>68.2</c:v>
                </c:pt>
                <c:pt idx="683">
                  <c:v>68.3</c:v>
                </c:pt>
                <c:pt idx="684">
                  <c:v>68.400000000000006</c:v>
                </c:pt>
                <c:pt idx="685">
                  <c:v>68.5</c:v>
                </c:pt>
                <c:pt idx="686">
                  <c:v>68.599999999999994</c:v>
                </c:pt>
                <c:pt idx="687">
                  <c:v>68.7</c:v>
                </c:pt>
                <c:pt idx="688">
                  <c:v>68.8</c:v>
                </c:pt>
                <c:pt idx="689">
                  <c:v>68.900000000000006</c:v>
                </c:pt>
                <c:pt idx="690">
                  <c:v>69</c:v>
                </c:pt>
                <c:pt idx="691">
                  <c:v>69.099999999999994</c:v>
                </c:pt>
                <c:pt idx="692">
                  <c:v>69.2</c:v>
                </c:pt>
                <c:pt idx="693">
                  <c:v>69.3</c:v>
                </c:pt>
                <c:pt idx="694">
                  <c:v>69.400000000000006</c:v>
                </c:pt>
                <c:pt idx="695">
                  <c:v>69.5</c:v>
                </c:pt>
                <c:pt idx="696">
                  <c:v>69.599999999999994</c:v>
                </c:pt>
                <c:pt idx="697">
                  <c:v>69.7</c:v>
                </c:pt>
                <c:pt idx="698">
                  <c:v>69.8</c:v>
                </c:pt>
                <c:pt idx="699">
                  <c:v>69.900000000000006</c:v>
                </c:pt>
                <c:pt idx="700">
                  <c:v>70</c:v>
                </c:pt>
                <c:pt idx="701">
                  <c:v>70.099999999999994</c:v>
                </c:pt>
                <c:pt idx="702">
                  <c:v>70.2</c:v>
                </c:pt>
                <c:pt idx="703">
                  <c:v>70.3</c:v>
                </c:pt>
                <c:pt idx="704">
                  <c:v>70.400000000000006</c:v>
                </c:pt>
                <c:pt idx="705">
                  <c:v>70.5</c:v>
                </c:pt>
                <c:pt idx="706">
                  <c:v>70.599999999999994</c:v>
                </c:pt>
                <c:pt idx="707">
                  <c:v>70.7</c:v>
                </c:pt>
                <c:pt idx="708">
                  <c:v>70.8</c:v>
                </c:pt>
                <c:pt idx="709">
                  <c:v>70.900000000000006</c:v>
                </c:pt>
                <c:pt idx="710">
                  <c:v>71</c:v>
                </c:pt>
                <c:pt idx="711">
                  <c:v>71.099999999999994</c:v>
                </c:pt>
                <c:pt idx="712">
                  <c:v>71.2</c:v>
                </c:pt>
                <c:pt idx="713">
                  <c:v>71.3</c:v>
                </c:pt>
                <c:pt idx="714">
                  <c:v>71.400000000000006</c:v>
                </c:pt>
                <c:pt idx="715">
                  <c:v>71.5</c:v>
                </c:pt>
                <c:pt idx="716">
                  <c:v>71.599999999999994</c:v>
                </c:pt>
                <c:pt idx="717">
                  <c:v>71.7</c:v>
                </c:pt>
                <c:pt idx="718">
                  <c:v>71.8</c:v>
                </c:pt>
                <c:pt idx="719">
                  <c:v>71.900000000000006</c:v>
                </c:pt>
                <c:pt idx="720">
                  <c:v>72</c:v>
                </c:pt>
                <c:pt idx="721">
                  <c:v>72.099999999999994</c:v>
                </c:pt>
                <c:pt idx="722">
                  <c:v>72.2</c:v>
                </c:pt>
                <c:pt idx="723">
                  <c:v>72.3</c:v>
                </c:pt>
                <c:pt idx="724">
                  <c:v>72.400000000000006</c:v>
                </c:pt>
                <c:pt idx="725">
                  <c:v>72.5</c:v>
                </c:pt>
                <c:pt idx="726">
                  <c:v>72.599999999999994</c:v>
                </c:pt>
                <c:pt idx="727">
                  <c:v>72.7</c:v>
                </c:pt>
                <c:pt idx="728">
                  <c:v>72.8</c:v>
                </c:pt>
                <c:pt idx="729">
                  <c:v>72.900000000000006</c:v>
                </c:pt>
                <c:pt idx="730">
                  <c:v>73</c:v>
                </c:pt>
                <c:pt idx="731">
                  <c:v>73.099999999999994</c:v>
                </c:pt>
                <c:pt idx="732">
                  <c:v>73.2</c:v>
                </c:pt>
                <c:pt idx="733">
                  <c:v>73.3</c:v>
                </c:pt>
                <c:pt idx="734">
                  <c:v>73.400000000000006</c:v>
                </c:pt>
                <c:pt idx="735">
                  <c:v>73.5</c:v>
                </c:pt>
                <c:pt idx="736">
                  <c:v>73.599999999999994</c:v>
                </c:pt>
                <c:pt idx="737">
                  <c:v>73.7</c:v>
                </c:pt>
                <c:pt idx="738">
                  <c:v>73.8</c:v>
                </c:pt>
                <c:pt idx="739">
                  <c:v>73.900000000000006</c:v>
                </c:pt>
                <c:pt idx="740">
                  <c:v>74</c:v>
                </c:pt>
                <c:pt idx="741">
                  <c:v>74.099999999999994</c:v>
                </c:pt>
                <c:pt idx="742">
                  <c:v>74.2</c:v>
                </c:pt>
                <c:pt idx="743">
                  <c:v>74.3</c:v>
                </c:pt>
                <c:pt idx="744">
                  <c:v>74.400000000000006</c:v>
                </c:pt>
                <c:pt idx="745">
                  <c:v>74.5</c:v>
                </c:pt>
                <c:pt idx="746">
                  <c:v>74.599999999999994</c:v>
                </c:pt>
                <c:pt idx="747">
                  <c:v>74.7</c:v>
                </c:pt>
                <c:pt idx="748">
                  <c:v>74.8</c:v>
                </c:pt>
                <c:pt idx="749">
                  <c:v>74.900000000000006</c:v>
                </c:pt>
                <c:pt idx="750">
                  <c:v>75</c:v>
                </c:pt>
                <c:pt idx="751">
                  <c:v>75.099999999999994</c:v>
                </c:pt>
                <c:pt idx="752">
                  <c:v>75.2</c:v>
                </c:pt>
                <c:pt idx="753">
                  <c:v>75.3</c:v>
                </c:pt>
                <c:pt idx="754">
                  <c:v>75.400000000000006</c:v>
                </c:pt>
                <c:pt idx="755">
                  <c:v>75.5</c:v>
                </c:pt>
                <c:pt idx="756">
                  <c:v>75.599999999999994</c:v>
                </c:pt>
                <c:pt idx="757">
                  <c:v>75.7</c:v>
                </c:pt>
                <c:pt idx="758">
                  <c:v>75.8</c:v>
                </c:pt>
                <c:pt idx="759">
                  <c:v>75.900000000000006</c:v>
                </c:pt>
                <c:pt idx="760">
                  <c:v>76</c:v>
                </c:pt>
                <c:pt idx="761">
                  <c:v>76.099999999999994</c:v>
                </c:pt>
                <c:pt idx="762">
                  <c:v>76.2</c:v>
                </c:pt>
                <c:pt idx="763">
                  <c:v>76.3</c:v>
                </c:pt>
                <c:pt idx="764">
                  <c:v>76.400000000000006</c:v>
                </c:pt>
                <c:pt idx="765">
                  <c:v>76.5</c:v>
                </c:pt>
                <c:pt idx="766">
                  <c:v>76.599999999999994</c:v>
                </c:pt>
                <c:pt idx="767">
                  <c:v>76.7</c:v>
                </c:pt>
                <c:pt idx="768">
                  <c:v>76.8</c:v>
                </c:pt>
                <c:pt idx="769">
                  <c:v>76.900000000000006</c:v>
                </c:pt>
                <c:pt idx="770">
                  <c:v>77</c:v>
                </c:pt>
                <c:pt idx="771">
                  <c:v>77.099999999999994</c:v>
                </c:pt>
                <c:pt idx="772">
                  <c:v>77.2</c:v>
                </c:pt>
                <c:pt idx="773">
                  <c:v>77.3</c:v>
                </c:pt>
                <c:pt idx="774">
                  <c:v>77.400000000000006</c:v>
                </c:pt>
                <c:pt idx="775">
                  <c:v>77.5</c:v>
                </c:pt>
                <c:pt idx="776">
                  <c:v>77.599999999999994</c:v>
                </c:pt>
                <c:pt idx="777">
                  <c:v>77.7</c:v>
                </c:pt>
                <c:pt idx="778">
                  <c:v>77.8</c:v>
                </c:pt>
                <c:pt idx="779">
                  <c:v>77.900000000000006</c:v>
                </c:pt>
                <c:pt idx="780">
                  <c:v>78</c:v>
                </c:pt>
                <c:pt idx="781">
                  <c:v>78.099999999999994</c:v>
                </c:pt>
                <c:pt idx="782">
                  <c:v>78.2</c:v>
                </c:pt>
                <c:pt idx="783">
                  <c:v>78.3</c:v>
                </c:pt>
                <c:pt idx="784">
                  <c:v>78.400000000000006</c:v>
                </c:pt>
                <c:pt idx="785">
                  <c:v>78.5</c:v>
                </c:pt>
                <c:pt idx="786">
                  <c:v>78.599999999999994</c:v>
                </c:pt>
                <c:pt idx="787">
                  <c:v>78.7</c:v>
                </c:pt>
                <c:pt idx="788">
                  <c:v>78.8</c:v>
                </c:pt>
                <c:pt idx="789">
                  <c:v>78.900000000000006</c:v>
                </c:pt>
                <c:pt idx="790">
                  <c:v>79</c:v>
                </c:pt>
                <c:pt idx="791">
                  <c:v>79.099999999999994</c:v>
                </c:pt>
                <c:pt idx="792">
                  <c:v>79.2</c:v>
                </c:pt>
                <c:pt idx="793">
                  <c:v>79.3</c:v>
                </c:pt>
                <c:pt idx="794">
                  <c:v>79.400000000000006</c:v>
                </c:pt>
                <c:pt idx="795">
                  <c:v>79.5</c:v>
                </c:pt>
                <c:pt idx="796">
                  <c:v>79.599999999999994</c:v>
                </c:pt>
                <c:pt idx="797">
                  <c:v>79.7</c:v>
                </c:pt>
                <c:pt idx="798">
                  <c:v>79.8</c:v>
                </c:pt>
                <c:pt idx="799">
                  <c:v>79.900000000000006</c:v>
                </c:pt>
                <c:pt idx="800">
                  <c:v>80</c:v>
                </c:pt>
                <c:pt idx="801">
                  <c:v>80.099999999999994</c:v>
                </c:pt>
                <c:pt idx="802">
                  <c:v>80.2</c:v>
                </c:pt>
                <c:pt idx="803">
                  <c:v>80.3</c:v>
                </c:pt>
                <c:pt idx="804">
                  <c:v>80.400000000000006</c:v>
                </c:pt>
                <c:pt idx="805">
                  <c:v>80.5</c:v>
                </c:pt>
                <c:pt idx="806">
                  <c:v>80.599999999999994</c:v>
                </c:pt>
                <c:pt idx="807">
                  <c:v>80.7</c:v>
                </c:pt>
                <c:pt idx="808">
                  <c:v>80.8</c:v>
                </c:pt>
                <c:pt idx="809">
                  <c:v>80.900000000000006</c:v>
                </c:pt>
                <c:pt idx="810">
                  <c:v>81</c:v>
                </c:pt>
                <c:pt idx="811">
                  <c:v>81.099999999999994</c:v>
                </c:pt>
                <c:pt idx="812">
                  <c:v>81.2</c:v>
                </c:pt>
                <c:pt idx="813">
                  <c:v>81.3</c:v>
                </c:pt>
                <c:pt idx="814">
                  <c:v>81.400000000000006</c:v>
                </c:pt>
                <c:pt idx="815">
                  <c:v>81.5</c:v>
                </c:pt>
                <c:pt idx="816">
                  <c:v>81.599999999999994</c:v>
                </c:pt>
                <c:pt idx="817">
                  <c:v>81.7</c:v>
                </c:pt>
                <c:pt idx="818">
                  <c:v>81.8</c:v>
                </c:pt>
                <c:pt idx="819">
                  <c:v>81.900000000000006</c:v>
                </c:pt>
                <c:pt idx="820">
                  <c:v>82</c:v>
                </c:pt>
                <c:pt idx="821">
                  <c:v>82.1</c:v>
                </c:pt>
                <c:pt idx="822">
                  <c:v>82.2</c:v>
                </c:pt>
                <c:pt idx="823">
                  <c:v>82.3</c:v>
                </c:pt>
                <c:pt idx="824">
                  <c:v>82.4</c:v>
                </c:pt>
                <c:pt idx="825">
                  <c:v>82.5</c:v>
                </c:pt>
                <c:pt idx="826">
                  <c:v>82.6</c:v>
                </c:pt>
                <c:pt idx="827">
                  <c:v>82.7</c:v>
                </c:pt>
                <c:pt idx="828">
                  <c:v>82.8</c:v>
                </c:pt>
                <c:pt idx="829">
                  <c:v>82.9</c:v>
                </c:pt>
                <c:pt idx="830">
                  <c:v>83</c:v>
                </c:pt>
                <c:pt idx="831">
                  <c:v>83.1</c:v>
                </c:pt>
                <c:pt idx="832">
                  <c:v>83.2</c:v>
                </c:pt>
                <c:pt idx="833">
                  <c:v>83.3</c:v>
                </c:pt>
                <c:pt idx="834">
                  <c:v>83.4</c:v>
                </c:pt>
                <c:pt idx="835">
                  <c:v>83.5</c:v>
                </c:pt>
                <c:pt idx="836">
                  <c:v>83.6</c:v>
                </c:pt>
                <c:pt idx="837">
                  <c:v>83.7</c:v>
                </c:pt>
                <c:pt idx="838">
                  <c:v>83.8</c:v>
                </c:pt>
                <c:pt idx="839">
                  <c:v>83.9</c:v>
                </c:pt>
                <c:pt idx="840">
                  <c:v>84</c:v>
                </c:pt>
                <c:pt idx="841">
                  <c:v>84.1</c:v>
                </c:pt>
                <c:pt idx="842">
                  <c:v>84.2</c:v>
                </c:pt>
                <c:pt idx="843">
                  <c:v>84.3</c:v>
                </c:pt>
                <c:pt idx="844">
                  <c:v>84.4</c:v>
                </c:pt>
                <c:pt idx="845">
                  <c:v>84.5</c:v>
                </c:pt>
                <c:pt idx="846">
                  <c:v>84.6</c:v>
                </c:pt>
                <c:pt idx="847">
                  <c:v>84.7</c:v>
                </c:pt>
                <c:pt idx="848">
                  <c:v>84.8</c:v>
                </c:pt>
                <c:pt idx="849">
                  <c:v>84.9</c:v>
                </c:pt>
                <c:pt idx="850">
                  <c:v>85</c:v>
                </c:pt>
                <c:pt idx="851">
                  <c:v>85.1</c:v>
                </c:pt>
                <c:pt idx="852">
                  <c:v>85.2</c:v>
                </c:pt>
                <c:pt idx="853">
                  <c:v>85.3</c:v>
                </c:pt>
                <c:pt idx="854">
                  <c:v>85.4</c:v>
                </c:pt>
                <c:pt idx="855">
                  <c:v>85.5</c:v>
                </c:pt>
                <c:pt idx="856">
                  <c:v>85.6</c:v>
                </c:pt>
                <c:pt idx="857">
                  <c:v>85.7</c:v>
                </c:pt>
                <c:pt idx="858">
                  <c:v>85.8</c:v>
                </c:pt>
                <c:pt idx="859">
                  <c:v>85.9</c:v>
                </c:pt>
                <c:pt idx="860">
                  <c:v>86</c:v>
                </c:pt>
                <c:pt idx="861">
                  <c:v>86.1</c:v>
                </c:pt>
                <c:pt idx="862">
                  <c:v>86.2</c:v>
                </c:pt>
                <c:pt idx="863">
                  <c:v>86.3</c:v>
                </c:pt>
                <c:pt idx="864">
                  <c:v>86.4</c:v>
                </c:pt>
                <c:pt idx="865">
                  <c:v>86.5</c:v>
                </c:pt>
                <c:pt idx="866">
                  <c:v>86.6</c:v>
                </c:pt>
                <c:pt idx="867">
                  <c:v>86.7</c:v>
                </c:pt>
                <c:pt idx="868">
                  <c:v>86.8</c:v>
                </c:pt>
                <c:pt idx="869">
                  <c:v>86.9</c:v>
                </c:pt>
                <c:pt idx="870">
                  <c:v>87</c:v>
                </c:pt>
                <c:pt idx="871">
                  <c:v>87.1</c:v>
                </c:pt>
                <c:pt idx="872">
                  <c:v>87.2</c:v>
                </c:pt>
                <c:pt idx="873">
                  <c:v>87.3</c:v>
                </c:pt>
                <c:pt idx="874">
                  <c:v>87.4</c:v>
                </c:pt>
                <c:pt idx="875">
                  <c:v>87.5</c:v>
                </c:pt>
                <c:pt idx="876">
                  <c:v>87.6</c:v>
                </c:pt>
                <c:pt idx="877">
                  <c:v>87.7</c:v>
                </c:pt>
                <c:pt idx="878">
                  <c:v>87.8</c:v>
                </c:pt>
                <c:pt idx="879">
                  <c:v>87.9</c:v>
                </c:pt>
                <c:pt idx="880">
                  <c:v>88</c:v>
                </c:pt>
                <c:pt idx="881">
                  <c:v>88.1</c:v>
                </c:pt>
                <c:pt idx="882">
                  <c:v>88.2</c:v>
                </c:pt>
                <c:pt idx="883">
                  <c:v>88.3</c:v>
                </c:pt>
                <c:pt idx="884">
                  <c:v>88.4</c:v>
                </c:pt>
                <c:pt idx="885">
                  <c:v>88.5</c:v>
                </c:pt>
                <c:pt idx="886">
                  <c:v>88.6</c:v>
                </c:pt>
                <c:pt idx="887">
                  <c:v>88.7</c:v>
                </c:pt>
                <c:pt idx="888">
                  <c:v>88.8</c:v>
                </c:pt>
                <c:pt idx="889">
                  <c:v>88.9</c:v>
                </c:pt>
                <c:pt idx="890">
                  <c:v>89</c:v>
                </c:pt>
                <c:pt idx="891">
                  <c:v>89.1</c:v>
                </c:pt>
                <c:pt idx="892">
                  <c:v>89.2</c:v>
                </c:pt>
                <c:pt idx="893">
                  <c:v>89.3</c:v>
                </c:pt>
                <c:pt idx="894">
                  <c:v>89.4</c:v>
                </c:pt>
                <c:pt idx="895">
                  <c:v>89.5</c:v>
                </c:pt>
                <c:pt idx="896">
                  <c:v>89.6</c:v>
                </c:pt>
                <c:pt idx="897">
                  <c:v>89.7</c:v>
                </c:pt>
                <c:pt idx="898">
                  <c:v>89.8</c:v>
                </c:pt>
                <c:pt idx="899">
                  <c:v>89.9</c:v>
                </c:pt>
                <c:pt idx="900">
                  <c:v>90</c:v>
                </c:pt>
                <c:pt idx="901">
                  <c:v>90.1</c:v>
                </c:pt>
                <c:pt idx="902">
                  <c:v>90.2</c:v>
                </c:pt>
                <c:pt idx="903">
                  <c:v>90.3</c:v>
                </c:pt>
                <c:pt idx="904">
                  <c:v>90.4</c:v>
                </c:pt>
                <c:pt idx="905">
                  <c:v>90.5</c:v>
                </c:pt>
                <c:pt idx="906">
                  <c:v>90.6</c:v>
                </c:pt>
                <c:pt idx="907">
                  <c:v>90.7</c:v>
                </c:pt>
                <c:pt idx="908">
                  <c:v>90.8</c:v>
                </c:pt>
                <c:pt idx="909">
                  <c:v>90.9</c:v>
                </c:pt>
                <c:pt idx="910">
                  <c:v>91</c:v>
                </c:pt>
                <c:pt idx="911">
                  <c:v>91.1</c:v>
                </c:pt>
                <c:pt idx="912">
                  <c:v>91.2</c:v>
                </c:pt>
                <c:pt idx="913">
                  <c:v>91.3</c:v>
                </c:pt>
                <c:pt idx="914">
                  <c:v>91.4</c:v>
                </c:pt>
                <c:pt idx="915">
                  <c:v>91.5</c:v>
                </c:pt>
                <c:pt idx="916">
                  <c:v>91.6</c:v>
                </c:pt>
                <c:pt idx="917">
                  <c:v>91.7</c:v>
                </c:pt>
                <c:pt idx="918">
                  <c:v>91.8</c:v>
                </c:pt>
                <c:pt idx="919">
                  <c:v>91.9</c:v>
                </c:pt>
                <c:pt idx="920">
                  <c:v>92</c:v>
                </c:pt>
                <c:pt idx="921">
                  <c:v>92.1</c:v>
                </c:pt>
                <c:pt idx="922">
                  <c:v>92.2</c:v>
                </c:pt>
                <c:pt idx="923">
                  <c:v>92.3</c:v>
                </c:pt>
                <c:pt idx="924">
                  <c:v>92.4</c:v>
                </c:pt>
                <c:pt idx="925">
                  <c:v>92.5</c:v>
                </c:pt>
                <c:pt idx="926">
                  <c:v>92.6</c:v>
                </c:pt>
                <c:pt idx="927">
                  <c:v>92.7</c:v>
                </c:pt>
                <c:pt idx="928">
                  <c:v>92.8</c:v>
                </c:pt>
                <c:pt idx="929">
                  <c:v>92.9</c:v>
                </c:pt>
                <c:pt idx="930">
                  <c:v>93</c:v>
                </c:pt>
                <c:pt idx="931">
                  <c:v>93.1</c:v>
                </c:pt>
                <c:pt idx="932">
                  <c:v>93.2</c:v>
                </c:pt>
                <c:pt idx="933">
                  <c:v>93.3</c:v>
                </c:pt>
                <c:pt idx="934">
                  <c:v>93.4</c:v>
                </c:pt>
                <c:pt idx="935">
                  <c:v>93.5</c:v>
                </c:pt>
                <c:pt idx="936">
                  <c:v>93.6</c:v>
                </c:pt>
                <c:pt idx="937">
                  <c:v>93.7</c:v>
                </c:pt>
                <c:pt idx="938">
                  <c:v>93.8</c:v>
                </c:pt>
                <c:pt idx="939">
                  <c:v>93.9</c:v>
                </c:pt>
                <c:pt idx="940">
                  <c:v>94</c:v>
                </c:pt>
                <c:pt idx="941">
                  <c:v>94.1</c:v>
                </c:pt>
                <c:pt idx="942">
                  <c:v>94.2</c:v>
                </c:pt>
                <c:pt idx="943">
                  <c:v>94.3</c:v>
                </c:pt>
                <c:pt idx="944">
                  <c:v>94.4</c:v>
                </c:pt>
                <c:pt idx="945">
                  <c:v>94.5</c:v>
                </c:pt>
                <c:pt idx="946">
                  <c:v>94.6</c:v>
                </c:pt>
                <c:pt idx="947">
                  <c:v>94.7</c:v>
                </c:pt>
                <c:pt idx="948">
                  <c:v>94.8</c:v>
                </c:pt>
                <c:pt idx="949">
                  <c:v>94.9</c:v>
                </c:pt>
                <c:pt idx="950">
                  <c:v>95</c:v>
                </c:pt>
                <c:pt idx="951">
                  <c:v>95.1</c:v>
                </c:pt>
                <c:pt idx="952">
                  <c:v>95.2</c:v>
                </c:pt>
                <c:pt idx="953">
                  <c:v>95.3</c:v>
                </c:pt>
                <c:pt idx="954">
                  <c:v>95.4</c:v>
                </c:pt>
                <c:pt idx="955">
                  <c:v>95.5</c:v>
                </c:pt>
                <c:pt idx="956">
                  <c:v>95.6</c:v>
                </c:pt>
                <c:pt idx="957">
                  <c:v>95.7</c:v>
                </c:pt>
                <c:pt idx="958">
                  <c:v>95.8</c:v>
                </c:pt>
                <c:pt idx="959">
                  <c:v>95.9</c:v>
                </c:pt>
                <c:pt idx="960">
                  <c:v>96</c:v>
                </c:pt>
                <c:pt idx="961">
                  <c:v>96.1</c:v>
                </c:pt>
                <c:pt idx="962">
                  <c:v>96.2</c:v>
                </c:pt>
                <c:pt idx="963">
                  <c:v>96.3</c:v>
                </c:pt>
                <c:pt idx="964">
                  <c:v>96.4</c:v>
                </c:pt>
                <c:pt idx="965">
                  <c:v>96.5</c:v>
                </c:pt>
                <c:pt idx="966">
                  <c:v>96.6</c:v>
                </c:pt>
                <c:pt idx="967">
                  <c:v>96.7</c:v>
                </c:pt>
                <c:pt idx="968">
                  <c:v>96.8</c:v>
                </c:pt>
                <c:pt idx="969">
                  <c:v>96.9</c:v>
                </c:pt>
                <c:pt idx="970">
                  <c:v>97</c:v>
                </c:pt>
                <c:pt idx="971">
                  <c:v>97.1</c:v>
                </c:pt>
                <c:pt idx="972">
                  <c:v>97.2</c:v>
                </c:pt>
                <c:pt idx="973">
                  <c:v>97.3</c:v>
                </c:pt>
                <c:pt idx="974">
                  <c:v>97.4</c:v>
                </c:pt>
                <c:pt idx="975">
                  <c:v>97.5</c:v>
                </c:pt>
                <c:pt idx="976">
                  <c:v>97.6</c:v>
                </c:pt>
                <c:pt idx="977">
                  <c:v>97.7</c:v>
                </c:pt>
                <c:pt idx="978">
                  <c:v>97.8</c:v>
                </c:pt>
                <c:pt idx="979">
                  <c:v>97.9</c:v>
                </c:pt>
                <c:pt idx="980">
                  <c:v>98</c:v>
                </c:pt>
                <c:pt idx="981">
                  <c:v>98.1</c:v>
                </c:pt>
                <c:pt idx="982">
                  <c:v>98.2</c:v>
                </c:pt>
                <c:pt idx="983">
                  <c:v>98.3</c:v>
                </c:pt>
                <c:pt idx="984">
                  <c:v>98.4</c:v>
                </c:pt>
                <c:pt idx="985">
                  <c:v>98.5</c:v>
                </c:pt>
                <c:pt idx="986">
                  <c:v>98.6</c:v>
                </c:pt>
                <c:pt idx="987">
                  <c:v>98.7</c:v>
                </c:pt>
                <c:pt idx="988">
                  <c:v>98.8</c:v>
                </c:pt>
                <c:pt idx="989">
                  <c:v>98.9</c:v>
                </c:pt>
                <c:pt idx="990">
                  <c:v>99</c:v>
                </c:pt>
                <c:pt idx="991">
                  <c:v>99.1</c:v>
                </c:pt>
                <c:pt idx="992">
                  <c:v>99.2</c:v>
                </c:pt>
                <c:pt idx="993">
                  <c:v>99.3</c:v>
                </c:pt>
                <c:pt idx="994">
                  <c:v>99.4</c:v>
                </c:pt>
                <c:pt idx="995">
                  <c:v>99.5</c:v>
                </c:pt>
                <c:pt idx="996">
                  <c:v>99.6</c:v>
                </c:pt>
                <c:pt idx="997">
                  <c:v>99.7</c:v>
                </c:pt>
                <c:pt idx="998">
                  <c:v>99.8</c:v>
                </c:pt>
                <c:pt idx="999">
                  <c:v>99.9</c:v>
                </c:pt>
                <c:pt idx="1000">
                  <c:v>100</c:v>
                </c:pt>
                <c:pt idx="1001">
                  <c:v>100.1</c:v>
                </c:pt>
                <c:pt idx="1002">
                  <c:v>100.2</c:v>
                </c:pt>
                <c:pt idx="1003">
                  <c:v>100.3</c:v>
                </c:pt>
                <c:pt idx="1004">
                  <c:v>100.4</c:v>
                </c:pt>
                <c:pt idx="1005">
                  <c:v>100.5</c:v>
                </c:pt>
                <c:pt idx="1006">
                  <c:v>100.6</c:v>
                </c:pt>
                <c:pt idx="1007">
                  <c:v>100.7</c:v>
                </c:pt>
                <c:pt idx="1008">
                  <c:v>100.8</c:v>
                </c:pt>
                <c:pt idx="1009">
                  <c:v>100.9</c:v>
                </c:pt>
                <c:pt idx="1010">
                  <c:v>101</c:v>
                </c:pt>
                <c:pt idx="1011">
                  <c:v>101.1</c:v>
                </c:pt>
                <c:pt idx="1012">
                  <c:v>101.2</c:v>
                </c:pt>
                <c:pt idx="1013">
                  <c:v>101.3</c:v>
                </c:pt>
                <c:pt idx="1014">
                  <c:v>101.4</c:v>
                </c:pt>
                <c:pt idx="1015">
                  <c:v>101.5</c:v>
                </c:pt>
                <c:pt idx="1016">
                  <c:v>101.6</c:v>
                </c:pt>
                <c:pt idx="1017">
                  <c:v>101.7</c:v>
                </c:pt>
                <c:pt idx="1018">
                  <c:v>101.8</c:v>
                </c:pt>
                <c:pt idx="1019">
                  <c:v>101.9</c:v>
                </c:pt>
                <c:pt idx="1020">
                  <c:v>102</c:v>
                </c:pt>
                <c:pt idx="1021">
                  <c:v>102.1</c:v>
                </c:pt>
                <c:pt idx="1022">
                  <c:v>102.2</c:v>
                </c:pt>
                <c:pt idx="1023">
                  <c:v>102.3</c:v>
                </c:pt>
                <c:pt idx="1024">
                  <c:v>102.4</c:v>
                </c:pt>
                <c:pt idx="1025">
                  <c:v>102.5</c:v>
                </c:pt>
                <c:pt idx="1026">
                  <c:v>102.6</c:v>
                </c:pt>
                <c:pt idx="1027">
                  <c:v>102.7</c:v>
                </c:pt>
                <c:pt idx="1028">
                  <c:v>102.8</c:v>
                </c:pt>
                <c:pt idx="1029">
                  <c:v>102.9</c:v>
                </c:pt>
                <c:pt idx="1030">
                  <c:v>103</c:v>
                </c:pt>
                <c:pt idx="1031">
                  <c:v>103.1</c:v>
                </c:pt>
                <c:pt idx="1032">
                  <c:v>103.2</c:v>
                </c:pt>
                <c:pt idx="1033">
                  <c:v>103.3</c:v>
                </c:pt>
                <c:pt idx="1034">
                  <c:v>103.4</c:v>
                </c:pt>
                <c:pt idx="1035">
                  <c:v>103.5</c:v>
                </c:pt>
                <c:pt idx="1036">
                  <c:v>103.6</c:v>
                </c:pt>
                <c:pt idx="1037">
                  <c:v>103.7</c:v>
                </c:pt>
                <c:pt idx="1038">
                  <c:v>103.8</c:v>
                </c:pt>
                <c:pt idx="1039">
                  <c:v>103.9</c:v>
                </c:pt>
                <c:pt idx="1040">
                  <c:v>104</c:v>
                </c:pt>
                <c:pt idx="1041">
                  <c:v>104.1</c:v>
                </c:pt>
                <c:pt idx="1042">
                  <c:v>104.2</c:v>
                </c:pt>
                <c:pt idx="1043">
                  <c:v>104.3</c:v>
                </c:pt>
                <c:pt idx="1044">
                  <c:v>104.4</c:v>
                </c:pt>
                <c:pt idx="1045">
                  <c:v>104.5</c:v>
                </c:pt>
                <c:pt idx="1046">
                  <c:v>104.6</c:v>
                </c:pt>
                <c:pt idx="1047">
                  <c:v>104.7</c:v>
                </c:pt>
                <c:pt idx="1048">
                  <c:v>104.8</c:v>
                </c:pt>
                <c:pt idx="1049">
                  <c:v>104.9</c:v>
                </c:pt>
                <c:pt idx="1050">
                  <c:v>105</c:v>
                </c:pt>
                <c:pt idx="1051">
                  <c:v>105.1</c:v>
                </c:pt>
                <c:pt idx="1052">
                  <c:v>105.2</c:v>
                </c:pt>
                <c:pt idx="1053">
                  <c:v>105.3</c:v>
                </c:pt>
                <c:pt idx="1054">
                  <c:v>105.4</c:v>
                </c:pt>
                <c:pt idx="1055">
                  <c:v>105.5</c:v>
                </c:pt>
                <c:pt idx="1056">
                  <c:v>105.6</c:v>
                </c:pt>
                <c:pt idx="1057">
                  <c:v>105.7</c:v>
                </c:pt>
                <c:pt idx="1058">
                  <c:v>105.8</c:v>
                </c:pt>
                <c:pt idx="1059">
                  <c:v>105.9</c:v>
                </c:pt>
                <c:pt idx="1060">
                  <c:v>106</c:v>
                </c:pt>
                <c:pt idx="1061">
                  <c:v>106.1</c:v>
                </c:pt>
                <c:pt idx="1062">
                  <c:v>106.2</c:v>
                </c:pt>
                <c:pt idx="1063">
                  <c:v>106.3</c:v>
                </c:pt>
                <c:pt idx="1064">
                  <c:v>106.4</c:v>
                </c:pt>
                <c:pt idx="1065">
                  <c:v>106.5</c:v>
                </c:pt>
                <c:pt idx="1066">
                  <c:v>106.6</c:v>
                </c:pt>
                <c:pt idx="1067">
                  <c:v>106.7</c:v>
                </c:pt>
                <c:pt idx="1068">
                  <c:v>106.8</c:v>
                </c:pt>
                <c:pt idx="1069">
                  <c:v>106.9</c:v>
                </c:pt>
                <c:pt idx="1070">
                  <c:v>107</c:v>
                </c:pt>
                <c:pt idx="1071">
                  <c:v>107.1</c:v>
                </c:pt>
                <c:pt idx="1072">
                  <c:v>107.2</c:v>
                </c:pt>
                <c:pt idx="1073">
                  <c:v>107.3</c:v>
                </c:pt>
                <c:pt idx="1074">
                  <c:v>107.4</c:v>
                </c:pt>
                <c:pt idx="1075">
                  <c:v>107.5</c:v>
                </c:pt>
                <c:pt idx="1076">
                  <c:v>107.6</c:v>
                </c:pt>
                <c:pt idx="1077">
                  <c:v>107.7</c:v>
                </c:pt>
                <c:pt idx="1078">
                  <c:v>107.8</c:v>
                </c:pt>
                <c:pt idx="1079">
                  <c:v>107.9</c:v>
                </c:pt>
                <c:pt idx="1080">
                  <c:v>108</c:v>
                </c:pt>
                <c:pt idx="1081">
                  <c:v>108.1</c:v>
                </c:pt>
                <c:pt idx="1082">
                  <c:v>108.2</c:v>
                </c:pt>
                <c:pt idx="1083">
                  <c:v>108.3</c:v>
                </c:pt>
                <c:pt idx="1084">
                  <c:v>108.4</c:v>
                </c:pt>
                <c:pt idx="1085">
                  <c:v>108.5</c:v>
                </c:pt>
                <c:pt idx="1086">
                  <c:v>108.6</c:v>
                </c:pt>
                <c:pt idx="1087">
                  <c:v>108.7</c:v>
                </c:pt>
                <c:pt idx="1088">
                  <c:v>108.8</c:v>
                </c:pt>
                <c:pt idx="1089">
                  <c:v>108.9</c:v>
                </c:pt>
                <c:pt idx="1090">
                  <c:v>109</c:v>
                </c:pt>
                <c:pt idx="1091">
                  <c:v>109.1</c:v>
                </c:pt>
                <c:pt idx="1092">
                  <c:v>109.2</c:v>
                </c:pt>
                <c:pt idx="1093">
                  <c:v>109.3</c:v>
                </c:pt>
                <c:pt idx="1094">
                  <c:v>109.4</c:v>
                </c:pt>
                <c:pt idx="1095">
                  <c:v>109.5</c:v>
                </c:pt>
                <c:pt idx="1096">
                  <c:v>109.6</c:v>
                </c:pt>
                <c:pt idx="1097">
                  <c:v>109.7</c:v>
                </c:pt>
                <c:pt idx="1098">
                  <c:v>109.8</c:v>
                </c:pt>
                <c:pt idx="1099">
                  <c:v>109.9</c:v>
                </c:pt>
                <c:pt idx="1100">
                  <c:v>110</c:v>
                </c:pt>
                <c:pt idx="1101">
                  <c:v>110.1</c:v>
                </c:pt>
                <c:pt idx="1102">
                  <c:v>110.2</c:v>
                </c:pt>
                <c:pt idx="1103">
                  <c:v>110.3</c:v>
                </c:pt>
                <c:pt idx="1104">
                  <c:v>110.4</c:v>
                </c:pt>
                <c:pt idx="1105">
                  <c:v>110.5</c:v>
                </c:pt>
                <c:pt idx="1106">
                  <c:v>110.6</c:v>
                </c:pt>
                <c:pt idx="1107">
                  <c:v>110.7</c:v>
                </c:pt>
                <c:pt idx="1108">
                  <c:v>110.8</c:v>
                </c:pt>
                <c:pt idx="1109">
                  <c:v>110.9</c:v>
                </c:pt>
                <c:pt idx="1110">
                  <c:v>111</c:v>
                </c:pt>
                <c:pt idx="1111">
                  <c:v>111.1</c:v>
                </c:pt>
                <c:pt idx="1112">
                  <c:v>111.2</c:v>
                </c:pt>
                <c:pt idx="1113">
                  <c:v>111.3</c:v>
                </c:pt>
                <c:pt idx="1114">
                  <c:v>111.4</c:v>
                </c:pt>
                <c:pt idx="1115">
                  <c:v>111.5</c:v>
                </c:pt>
                <c:pt idx="1116">
                  <c:v>111.6</c:v>
                </c:pt>
                <c:pt idx="1117">
                  <c:v>111.7</c:v>
                </c:pt>
                <c:pt idx="1118">
                  <c:v>111.8</c:v>
                </c:pt>
                <c:pt idx="1119">
                  <c:v>111.9</c:v>
                </c:pt>
                <c:pt idx="1120">
                  <c:v>112</c:v>
                </c:pt>
                <c:pt idx="1121">
                  <c:v>112.1</c:v>
                </c:pt>
                <c:pt idx="1122">
                  <c:v>112.2</c:v>
                </c:pt>
                <c:pt idx="1123">
                  <c:v>112.3</c:v>
                </c:pt>
                <c:pt idx="1124">
                  <c:v>112.4</c:v>
                </c:pt>
                <c:pt idx="1125">
                  <c:v>112.5</c:v>
                </c:pt>
                <c:pt idx="1126">
                  <c:v>112.6</c:v>
                </c:pt>
                <c:pt idx="1127">
                  <c:v>112.7</c:v>
                </c:pt>
                <c:pt idx="1128">
                  <c:v>112.8</c:v>
                </c:pt>
                <c:pt idx="1129">
                  <c:v>112.9</c:v>
                </c:pt>
                <c:pt idx="1130">
                  <c:v>113</c:v>
                </c:pt>
                <c:pt idx="1131">
                  <c:v>113.1</c:v>
                </c:pt>
                <c:pt idx="1132">
                  <c:v>113.2</c:v>
                </c:pt>
                <c:pt idx="1133">
                  <c:v>113.3</c:v>
                </c:pt>
                <c:pt idx="1134">
                  <c:v>113.4</c:v>
                </c:pt>
                <c:pt idx="1135">
                  <c:v>113.5</c:v>
                </c:pt>
                <c:pt idx="1136">
                  <c:v>113.6</c:v>
                </c:pt>
                <c:pt idx="1137">
                  <c:v>113.7</c:v>
                </c:pt>
                <c:pt idx="1138">
                  <c:v>113.8</c:v>
                </c:pt>
                <c:pt idx="1139">
                  <c:v>113.9</c:v>
                </c:pt>
                <c:pt idx="1140">
                  <c:v>114</c:v>
                </c:pt>
                <c:pt idx="1141">
                  <c:v>114.1</c:v>
                </c:pt>
                <c:pt idx="1142">
                  <c:v>114.2</c:v>
                </c:pt>
                <c:pt idx="1143">
                  <c:v>114.3</c:v>
                </c:pt>
                <c:pt idx="1144">
                  <c:v>114.4</c:v>
                </c:pt>
                <c:pt idx="1145">
                  <c:v>114.5</c:v>
                </c:pt>
                <c:pt idx="1146">
                  <c:v>114.6</c:v>
                </c:pt>
                <c:pt idx="1147">
                  <c:v>114.7</c:v>
                </c:pt>
                <c:pt idx="1148">
                  <c:v>114.8</c:v>
                </c:pt>
                <c:pt idx="1149">
                  <c:v>114.9</c:v>
                </c:pt>
                <c:pt idx="1150">
                  <c:v>115</c:v>
                </c:pt>
                <c:pt idx="1151">
                  <c:v>115.1</c:v>
                </c:pt>
                <c:pt idx="1152">
                  <c:v>115.2</c:v>
                </c:pt>
                <c:pt idx="1153">
                  <c:v>115.3</c:v>
                </c:pt>
                <c:pt idx="1154">
                  <c:v>115.4</c:v>
                </c:pt>
                <c:pt idx="1155">
                  <c:v>115.5</c:v>
                </c:pt>
                <c:pt idx="1156">
                  <c:v>115.6</c:v>
                </c:pt>
                <c:pt idx="1157">
                  <c:v>115.7</c:v>
                </c:pt>
                <c:pt idx="1158">
                  <c:v>115.8</c:v>
                </c:pt>
                <c:pt idx="1159">
                  <c:v>115.9</c:v>
                </c:pt>
                <c:pt idx="1160">
                  <c:v>116</c:v>
                </c:pt>
                <c:pt idx="1161">
                  <c:v>116.1</c:v>
                </c:pt>
                <c:pt idx="1162">
                  <c:v>116.2</c:v>
                </c:pt>
                <c:pt idx="1163">
                  <c:v>116.3</c:v>
                </c:pt>
                <c:pt idx="1164">
                  <c:v>116.4</c:v>
                </c:pt>
                <c:pt idx="1165">
                  <c:v>116.5</c:v>
                </c:pt>
                <c:pt idx="1166">
                  <c:v>116.6</c:v>
                </c:pt>
                <c:pt idx="1167">
                  <c:v>116.7</c:v>
                </c:pt>
                <c:pt idx="1168">
                  <c:v>116.8</c:v>
                </c:pt>
                <c:pt idx="1169">
                  <c:v>116.9</c:v>
                </c:pt>
                <c:pt idx="1170">
                  <c:v>117</c:v>
                </c:pt>
                <c:pt idx="1171">
                  <c:v>117.1</c:v>
                </c:pt>
                <c:pt idx="1172">
                  <c:v>117.2</c:v>
                </c:pt>
                <c:pt idx="1173">
                  <c:v>117.3</c:v>
                </c:pt>
                <c:pt idx="1174">
                  <c:v>117.4</c:v>
                </c:pt>
                <c:pt idx="1175">
                  <c:v>117.5</c:v>
                </c:pt>
                <c:pt idx="1176">
                  <c:v>117.6</c:v>
                </c:pt>
                <c:pt idx="1177">
                  <c:v>117.7</c:v>
                </c:pt>
                <c:pt idx="1178">
                  <c:v>117.8</c:v>
                </c:pt>
                <c:pt idx="1179">
                  <c:v>117.9</c:v>
                </c:pt>
                <c:pt idx="1180">
                  <c:v>118</c:v>
                </c:pt>
                <c:pt idx="1181">
                  <c:v>118.1</c:v>
                </c:pt>
                <c:pt idx="1182">
                  <c:v>118.2</c:v>
                </c:pt>
                <c:pt idx="1183">
                  <c:v>118.3</c:v>
                </c:pt>
                <c:pt idx="1184">
                  <c:v>118.4</c:v>
                </c:pt>
                <c:pt idx="1185">
                  <c:v>118.5</c:v>
                </c:pt>
                <c:pt idx="1186">
                  <c:v>118.6</c:v>
                </c:pt>
                <c:pt idx="1187">
                  <c:v>118.7</c:v>
                </c:pt>
                <c:pt idx="1188">
                  <c:v>118.8</c:v>
                </c:pt>
                <c:pt idx="1189">
                  <c:v>118.9</c:v>
                </c:pt>
                <c:pt idx="1190">
                  <c:v>119</c:v>
                </c:pt>
                <c:pt idx="1191">
                  <c:v>119.1</c:v>
                </c:pt>
                <c:pt idx="1192">
                  <c:v>119.2</c:v>
                </c:pt>
                <c:pt idx="1193">
                  <c:v>119.3</c:v>
                </c:pt>
                <c:pt idx="1194">
                  <c:v>119.4</c:v>
                </c:pt>
                <c:pt idx="1195">
                  <c:v>119.5</c:v>
                </c:pt>
                <c:pt idx="1196">
                  <c:v>119.6</c:v>
                </c:pt>
                <c:pt idx="1197">
                  <c:v>119.7</c:v>
                </c:pt>
                <c:pt idx="1198">
                  <c:v>119.8</c:v>
                </c:pt>
                <c:pt idx="1199">
                  <c:v>119.9</c:v>
                </c:pt>
                <c:pt idx="1200">
                  <c:v>120</c:v>
                </c:pt>
                <c:pt idx="1201">
                  <c:v>120.1</c:v>
                </c:pt>
                <c:pt idx="1202">
                  <c:v>120.2</c:v>
                </c:pt>
                <c:pt idx="1203">
                  <c:v>120.3</c:v>
                </c:pt>
                <c:pt idx="1204">
                  <c:v>120.4</c:v>
                </c:pt>
                <c:pt idx="1205">
                  <c:v>120.5</c:v>
                </c:pt>
                <c:pt idx="1206">
                  <c:v>120.6</c:v>
                </c:pt>
                <c:pt idx="1207">
                  <c:v>120.7</c:v>
                </c:pt>
                <c:pt idx="1208">
                  <c:v>120.8</c:v>
                </c:pt>
                <c:pt idx="1209">
                  <c:v>120.9</c:v>
                </c:pt>
                <c:pt idx="1210">
                  <c:v>121</c:v>
                </c:pt>
                <c:pt idx="1211">
                  <c:v>121.1</c:v>
                </c:pt>
                <c:pt idx="1212">
                  <c:v>121.2</c:v>
                </c:pt>
                <c:pt idx="1213">
                  <c:v>121.3</c:v>
                </c:pt>
                <c:pt idx="1214">
                  <c:v>121.4</c:v>
                </c:pt>
                <c:pt idx="1215">
                  <c:v>121.5</c:v>
                </c:pt>
                <c:pt idx="1216">
                  <c:v>121.6</c:v>
                </c:pt>
                <c:pt idx="1217">
                  <c:v>121.7</c:v>
                </c:pt>
                <c:pt idx="1218">
                  <c:v>121.8</c:v>
                </c:pt>
                <c:pt idx="1219">
                  <c:v>121.9</c:v>
                </c:pt>
                <c:pt idx="1220">
                  <c:v>122</c:v>
                </c:pt>
                <c:pt idx="1221">
                  <c:v>122.1</c:v>
                </c:pt>
                <c:pt idx="1222">
                  <c:v>122.2</c:v>
                </c:pt>
                <c:pt idx="1223">
                  <c:v>122.3</c:v>
                </c:pt>
                <c:pt idx="1224">
                  <c:v>122.4</c:v>
                </c:pt>
                <c:pt idx="1225">
                  <c:v>122.5</c:v>
                </c:pt>
                <c:pt idx="1226">
                  <c:v>122.6</c:v>
                </c:pt>
                <c:pt idx="1227">
                  <c:v>122.7</c:v>
                </c:pt>
                <c:pt idx="1228">
                  <c:v>122.8</c:v>
                </c:pt>
                <c:pt idx="1229">
                  <c:v>122.9</c:v>
                </c:pt>
                <c:pt idx="1230">
                  <c:v>123</c:v>
                </c:pt>
                <c:pt idx="1231">
                  <c:v>123.1</c:v>
                </c:pt>
                <c:pt idx="1232">
                  <c:v>123.2</c:v>
                </c:pt>
                <c:pt idx="1233">
                  <c:v>123.3</c:v>
                </c:pt>
                <c:pt idx="1234">
                  <c:v>123.4</c:v>
                </c:pt>
                <c:pt idx="1235">
                  <c:v>123.5</c:v>
                </c:pt>
                <c:pt idx="1236">
                  <c:v>123.6</c:v>
                </c:pt>
                <c:pt idx="1237">
                  <c:v>123.7</c:v>
                </c:pt>
                <c:pt idx="1238">
                  <c:v>123.8</c:v>
                </c:pt>
                <c:pt idx="1239">
                  <c:v>123.9</c:v>
                </c:pt>
                <c:pt idx="1240">
                  <c:v>124</c:v>
                </c:pt>
                <c:pt idx="1241">
                  <c:v>124.1</c:v>
                </c:pt>
                <c:pt idx="1242">
                  <c:v>124.2</c:v>
                </c:pt>
                <c:pt idx="1243">
                  <c:v>124.3</c:v>
                </c:pt>
                <c:pt idx="1244">
                  <c:v>124.4</c:v>
                </c:pt>
                <c:pt idx="1245">
                  <c:v>124.5</c:v>
                </c:pt>
                <c:pt idx="1246">
                  <c:v>124.6</c:v>
                </c:pt>
                <c:pt idx="1247">
                  <c:v>124.7</c:v>
                </c:pt>
                <c:pt idx="1248">
                  <c:v>124.8</c:v>
                </c:pt>
                <c:pt idx="1249">
                  <c:v>124.9</c:v>
                </c:pt>
                <c:pt idx="1250">
                  <c:v>125</c:v>
                </c:pt>
                <c:pt idx="1251">
                  <c:v>125.1</c:v>
                </c:pt>
                <c:pt idx="1252">
                  <c:v>125.2</c:v>
                </c:pt>
                <c:pt idx="1253">
                  <c:v>125.3</c:v>
                </c:pt>
                <c:pt idx="1254">
                  <c:v>125.4</c:v>
                </c:pt>
                <c:pt idx="1255">
                  <c:v>125.5</c:v>
                </c:pt>
                <c:pt idx="1256">
                  <c:v>125.6</c:v>
                </c:pt>
                <c:pt idx="1257">
                  <c:v>125.7</c:v>
                </c:pt>
                <c:pt idx="1258">
                  <c:v>125.8</c:v>
                </c:pt>
                <c:pt idx="1259">
                  <c:v>125.9</c:v>
                </c:pt>
                <c:pt idx="1260">
                  <c:v>126</c:v>
                </c:pt>
                <c:pt idx="1261">
                  <c:v>126.1</c:v>
                </c:pt>
                <c:pt idx="1262">
                  <c:v>126.2</c:v>
                </c:pt>
                <c:pt idx="1263">
                  <c:v>126.3</c:v>
                </c:pt>
                <c:pt idx="1264">
                  <c:v>126.4</c:v>
                </c:pt>
                <c:pt idx="1265">
                  <c:v>126.5</c:v>
                </c:pt>
                <c:pt idx="1266">
                  <c:v>126.6</c:v>
                </c:pt>
                <c:pt idx="1267">
                  <c:v>126.7</c:v>
                </c:pt>
                <c:pt idx="1268">
                  <c:v>126.8</c:v>
                </c:pt>
                <c:pt idx="1269">
                  <c:v>126.9</c:v>
                </c:pt>
                <c:pt idx="1270">
                  <c:v>127</c:v>
                </c:pt>
                <c:pt idx="1271">
                  <c:v>127.1</c:v>
                </c:pt>
                <c:pt idx="1272">
                  <c:v>127.2</c:v>
                </c:pt>
                <c:pt idx="1273">
                  <c:v>127.3</c:v>
                </c:pt>
                <c:pt idx="1274">
                  <c:v>127.4</c:v>
                </c:pt>
                <c:pt idx="1275">
                  <c:v>127.5</c:v>
                </c:pt>
                <c:pt idx="1276">
                  <c:v>127.6</c:v>
                </c:pt>
                <c:pt idx="1277">
                  <c:v>127.7</c:v>
                </c:pt>
                <c:pt idx="1278">
                  <c:v>127.8</c:v>
                </c:pt>
                <c:pt idx="1279">
                  <c:v>127.9</c:v>
                </c:pt>
                <c:pt idx="1280">
                  <c:v>128</c:v>
                </c:pt>
                <c:pt idx="1281">
                  <c:v>128.1</c:v>
                </c:pt>
                <c:pt idx="1282">
                  <c:v>128.19999999999999</c:v>
                </c:pt>
                <c:pt idx="1283">
                  <c:v>128.30000000000001</c:v>
                </c:pt>
                <c:pt idx="1284">
                  <c:v>128.4</c:v>
                </c:pt>
                <c:pt idx="1285">
                  <c:v>128.5</c:v>
                </c:pt>
                <c:pt idx="1286">
                  <c:v>128.6</c:v>
                </c:pt>
                <c:pt idx="1287">
                  <c:v>128.69999999999999</c:v>
                </c:pt>
                <c:pt idx="1288">
                  <c:v>128.80000000000001</c:v>
                </c:pt>
                <c:pt idx="1289">
                  <c:v>128.9</c:v>
                </c:pt>
                <c:pt idx="1290">
                  <c:v>129</c:v>
                </c:pt>
                <c:pt idx="1291">
                  <c:v>129.1</c:v>
                </c:pt>
                <c:pt idx="1292">
                  <c:v>129.19999999999999</c:v>
                </c:pt>
                <c:pt idx="1293">
                  <c:v>129.30000000000001</c:v>
                </c:pt>
                <c:pt idx="1294">
                  <c:v>129.4</c:v>
                </c:pt>
                <c:pt idx="1295">
                  <c:v>129.5</c:v>
                </c:pt>
                <c:pt idx="1296">
                  <c:v>129.6</c:v>
                </c:pt>
                <c:pt idx="1297">
                  <c:v>129.69999999999999</c:v>
                </c:pt>
                <c:pt idx="1298">
                  <c:v>129.80000000000001</c:v>
                </c:pt>
                <c:pt idx="1299">
                  <c:v>129.9</c:v>
                </c:pt>
                <c:pt idx="1300">
                  <c:v>130</c:v>
                </c:pt>
                <c:pt idx="1301">
                  <c:v>130.1</c:v>
                </c:pt>
                <c:pt idx="1302">
                  <c:v>130.19999999999999</c:v>
                </c:pt>
                <c:pt idx="1303">
                  <c:v>130.30000000000001</c:v>
                </c:pt>
                <c:pt idx="1304">
                  <c:v>130.4</c:v>
                </c:pt>
                <c:pt idx="1305">
                  <c:v>130.5</c:v>
                </c:pt>
                <c:pt idx="1306">
                  <c:v>130.6</c:v>
                </c:pt>
                <c:pt idx="1307">
                  <c:v>130.69999999999999</c:v>
                </c:pt>
                <c:pt idx="1308">
                  <c:v>130.80000000000001</c:v>
                </c:pt>
                <c:pt idx="1309">
                  <c:v>130.9</c:v>
                </c:pt>
                <c:pt idx="1310">
                  <c:v>131</c:v>
                </c:pt>
                <c:pt idx="1311">
                  <c:v>131.1</c:v>
                </c:pt>
                <c:pt idx="1312">
                  <c:v>131.19999999999999</c:v>
                </c:pt>
                <c:pt idx="1313">
                  <c:v>131.30000000000001</c:v>
                </c:pt>
                <c:pt idx="1314">
                  <c:v>131.4</c:v>
                </c:pt>
                <c:pt idx="1315">
                  <c:v>131.5</c:v>
                </c:pt>
                <c:pt idx="1316">
                  <c:v>131.6</c:v>
                </c:pt>
                <c:pt idx="1317">
                  <c:v>131.69999999999999</c:v>
                </c:pt>
                <c:pt idx="1318">
                  <c:v>131.80000000000001</c:v>
                </c:pt>
                <c:pt idx="1319">
                  <c:v>131.9</c:v>
                </c:pt>
                <c:pt idx="1320">
                  <c:v>132</c:v>
                </c:pt>
                <c:pt idx="1321">
                  <c:v>132.1</c:v>
                </c:pt>
                <c:pt idx="1322">
                  <c:v>132.19999999999999</c:v>
                </c:pt>
                <c:pt idx="1323">
                  <c:v>132.30000000000001</c:v>
                </c:pt>
                <c:pt idx="1324">
                  <c:v>132.4</c:v>
                </c:pt>
                <c:pt idx="1325">
                  <c:v>132.5</c:v>
                </c:pt>
                <c:pt idx="1326">
                  <c:v>132.6</c:v>
                </c:pt>
                <c:pt idx="1327">
                  <c:v>132.69999999999999</c:v>
                </c:pt>
                <c:pt idx="1328">
                  <c:v>132.80000000000001</c:v>
                </c:pt>
                <c:pt idx="1329">
                  <c:v>132.9</c:v>
                </c:pt>
                <c:pt idx="1330">
                  <c:v>133</c:v>
                </c:pt>
                <c:pt idx="1331">
                  <c:v>133.1</c:v>
                </c:pt>
                <c:pt idx="1332">
                  <c:v>133.19999999999999</c:v>
                </c:pt>
                <c:pt idx="1333">
                  <c:v>133.30000000000001</c:v>
                </c:pt>
                <c:pt idx="1334">
                  <c:v>133.4</c:v>
                </c:pt>
                <c:pt idx="1335">
                  <c:v>133.5</c:v>
                </c:pt>
                <c:pt idx="1336">
                  <c:v>133.6</c:v>
                </c:pt>
                <c:pt idx="1337">
                  <c:v>133.69999999999999</c:v>
                </c:pt>
                <c:pt idx="1338">
                  <c:v>133.80000000000001</c:v>
                </c:pt>
                <c:pt idx="1339">
                  <c:v>133.9</c:v>
                </c:pt>
                <c:pt idx="1340">
                  <c:v>134</c:v>
                </c:pt>
                <c:pt idx="1341">
                  <c:v>134.1</c:v>
                </c:pt>
                <c:pt idx="1342">
                  <c:v>134.19999999999999</c:v>
                </c:pt>
                <c:pt idx="1343">
                  <c:v>134.30000000000001</c:v>
                </c:pt>
                <c:pt idx="1344">
                  <c:v>134.4</c:v>
                </c:pt>
                <c:pt idx="1345">
                  <c:v>134.5</c:v>
                </c:pt>
                <c:pt idx="1346">
                  <c:v>134.6</c:v>
                </c:pt>
                <c:pt idx="1347">
                  <c:v>134.69999999999999</c:v>
                </c:pt>
                <c:pt idx="1348">
                  <c:v>134.80000000000001</c:v>
                </c:pt>
                <c:pt idx="1349">
                  <c:v>134.9</c:v>
                </c:pt>
                <c:pt idx="1350">
                  <c:v>135</c:v>
                </c:pt>
                <c:pt idx="1351">
                  <c:v>135.1</c:v>
                </c:pt>
                <c:pt idx="1352">
                  <c:v>135.19999999999999</c:v>
                </c:pt>
                <c:pt idx="1353">
                  <c:v>135.30000000000001</c:v>
                </c:pt>
                <c:pt idx="1354">
                  <c:v>135.4</c:v>
                </c:pt>
                <c:pt idx="1355">
                  <c:v>135.5</c:v>
                </c:pt>
                <c:pt idx="1356">
                  <c:v>135.6</c:v>
                </c:pt>
                <c:pt idx="1357">
                  <c:v>135.69999999999999</c:v>
                </c:pt>
                <c:pt idx="1358">
                  <c:v>135.80000000000001</c:v>
                </c:pt>
                <c:pt idx="1359">
                  <c:v>135.9</c:v>
                </c:pt>
                <c:pt idx="1360">
                  <c:v>136</c:v>
                </c:pt>
                <c:pt idx="1361">
                  <c:v>136.1</c:v>
                </c:pt>
                <c:pt idx="1362">
                  <c:v>136.19999999999999</c:v>
                </c:pt>
                <c:pt idx="1363">
                  <c:v>136.30000000000001</c:v>
                </c:pt>
                <c:pt idx="1364">
                  <c:v>136.4</c:v>
                </c:pt>
                <c:pt idx="1365">
                  <c:v>136.5</c:v>
                </c:pt>
                <c:pt idx="1366">
                  <c:v>136.6</c:v>
                </c:pt>
                <c:pt idx="1367">
                  <c:v>136.69999999999999</c:v>
                </c:pt>
                <c:pt idx="1368">
                  <c:v>136.80000000000001</c:v>
                </c:pt>
                <c:pt idx="1369">
                  <c:v>136.9</c:v>
                </c:pt>
                <c:pt idx="1370">
                  <c:v>137</c:v>
                </c:pt>
                <c:pt idx="1371">
                  <c:v>137.1</c:v>
                </c:pt>
                <c:pt idx="1372">
                  <c:v>137.19999999999999</c:v>
                </c:pt>
                <c:pt idx="1373">
                  <c:v>137.30000000000001</c:v>
                </c:pt>
                <c:pt idx="1374">
                  <c:v>137.4</c:v>
                </c:pt>
                <c:pt idx="1375">
                  <c:v>137.5</c:v>
                </c:pt>
                <c:pt idx="1376">
                  <c:v>137.6</c:v>
                </c:pt>
                <c:pt idx="1377">
                  <c:v>137.69999999999999</c:v>
                </c:pt>
                <c:pt idx="1378">
                  <c:v>137.80000000000001</c:v>
                </c:pt>
                <c:pt idx="1379">
                  <c:v>137.9</c:v>
                </c:pt>
                <c:pt idx="1380">
                  <c:v>138</c:v>
                </c:pt>
                <c:pt idx="1381">
                  <c:v>138.1</c:v>
                </c:pt>
                <c:pt idx="1382">
                  <c:v>138.19999999999999</c:v>
                </c:pt>
                <c:pt idx="1383">
                  <c:v>138.30000000000001</c:v>
                </c:pt>
                <c:pt idx="1384">
                  <c:v>138.4</c:v>
                </c:pt>
                <c:pt idx="1385">
                  <c:v>138.5</c:v>
                </c:pt>
                <c:pt idx="1386">
                  <c:v>138.6</c:v>
                </c:pt>
                <c:pt idx="1387">
                  <c:v>138.69999999999999</c:v>
                </c:pt>
                <c:pt idx="1388">
                  <c:v>138.80000000000001</c:v>
                </c:pt>
                <c:pt idx="1389">
                  <c:v>138.9</c:v>
                </c:pt>
                <c:pt idx="1390">
                  <c:v>139</c:v>
                </c:pt>
                <c:pt idx="1391">
                  <c:v>139.1</c:v>
                </c:pt>
                <c:pt idx="1392">
                  <c:v>139.19999999999999</c:v>
                </c:pt>
                <c:pt idx="1393">
                  <c:v>139.30000000000001</c:v>
                </c:pt>
                <c:pt idx="1394">
                  <c:v>139.4</c:v>
                </c:pt>
                <c:pt idx="1395">
                  <c:v>139.5</c:v>
                </c:pt>
                <c:pt idx="1396">
                  <c:v>139.6</c:v>
                </c:pt>
                <c:pt idx="1397">
                  <c:v>139.69999999999999</c:v>
                </c:pt>
                <c:pt idx="1398">
                  <c:v>139.80000000000001</c:v>
                </c:pt>
                <c:pt idx="1399">
                  <c:v>139.9</c:v>
                </c:pt>
                <c:pt idx="1400">
                  <c:v>140</c:v>
                </c:pt>
                <c:pt idx="1401">
                  <c:v>140.1</c:v>
                </c:pt>
                <c:pt idx="1402">
                  <c:v>140.19999999999999</c:v>
                </c:pt>
                <c:pt idx="1403">
                  <c:v>140.30000000000001</c:v>
                </c:pt>
                <c:pt idx="1404">
                  <c:v>140.4</c:v>
                </c:pt>
                <c:pt idx="1405">
                  <c:v>140.5</c:v>
                </c:pt>
                <c:pt idx="1406">
                  <c:v>140.6</c:v>
                </c:pt>
                <c:pt idx="1407">
                  <c:v>140.69999999999999</c:v>
                </c:pt>
                <c:pt idx="1408">
                  <c:v>140.80000000000001</c:v>
                </c:pt>
                <c:pt idx="1409">
                  <c:v>140.9</c:v>
                </c:pt>
                <c:pt idx="1410">
                  <c:v>141</c:v>
                </c:pt>
                <c:pt idx="1411">
                  <c:v>141.1</c:v>
                </c:pt>
                <c:pt idx="1412">
                  <c:v>141.19999999999999</c:v>
                </c:pt>
                <c:pt idx="1413">
                  <c:v>141.30000000000001</c:v>
                </c:pt>
                <c:pt idx="1414">
                  <c:v>141.4</c:v>
                </c:pt>
                <c:pt idx="1415">
                  <c:v>141.5</c:v>
                </c:pt>
                <c:pt idx="1416">
                  <c:v>141.6</c:v>
                </c:pt>
                <c:pt idx="1417">
                  <c:v>141.69999999999999</c:v>
                </c:pt>
                <c:pt idx="1418">
                  <c:v>141.80000000000001</c:v>
                </c:pt>
                <c:pt idx="1419">
                  <c:v>141.9</c:v>
                </c:pt>
                <c:pt idx="1420">
                  <c:v>142</c:v>
                </c:pt>
                <c:pt idx="1421">
                  <c:v>142.1</c:v>
                </c:pt>
                <c:pt idx="1422">
                  <c:v>142.19999999999999</c:v>
                </c:pt>
                <c:pt idx="1423">
                  <c:v>142.30000000000001</c:v>
                </c:pt>
                <c:pt idx="1424">
                  <c:v>142.4</c:v>
                </c:pt>
                <c:pt idx="1425">
                  <c:v>142.5</c:v>
                </c:pt>
                <c:pt idx="1426">
                  <c:v>142.6</c:v>
                </c:pt>
                <c:pt idx="1427">
                  <c:v>142.69999999999999</c:v>
                </c:pt>
                <c:pt idx="1428">
                  <c:v>142.80000000000001</c:v>
                </c:pt>
                <c:pt idx="1429">
                  <c:v>142.9</c:v>
                </c:pt>
                <c:pt idx="1430">
                  <c:v>143</c:v>
                </c:pt>
                <c:pt idx="1431">
                  <c:v>143.1</c:v>
                </c:pt>
                <c:pt idx="1432">
                  <c:v>143.19999999999999</c:v>
                </c:pt>
                <c:pt idx="1433">
                  <c:v>143.30000000000001</c:v>
                </c:pt>
                <c:pt idx="1434">
                  <c:v>143.4</c:v>
                </c:pt>
                <c:pt idx="1435">
                  <c:v>143.5</c:v>
                </c:pt>
                <c:pt idx="1436">
                  <c:v>143.6</c:v>
                </c:pt>
                <c:pt idx="1437">
                  <c:v>143.69999999999999</c:v>
                </c:pt>
                <c:pt idx="1438">
                  <c:v>143.80000000000001</c:v>
                </c:pt>
                <c:pt idx="1439">
                  <c:v>143.9</c:v>
                </c:pt>
                <c:pt idx="1440">
                  <c:v>144</c:v>
                </c:pt>
                <c:pt idx="1441">
                  <c:v>144.1</c:v>
                </c:pt>
                <c:pt idx="1442">
                  <c:v>144.19999999999999</c:v>
                </c:pt>
                <c:pt idx="1443">
                  <c:v>144.30000000000001</c:v>
                </c:pt>
                <c:pt idx="1444">
                  <c:v>144.4</c:v>
                </c:pt>
                <c:pt idx="1445">
                  <c:v>144.5</c:v>
                </c:pt>
                <c:pt idx="1446">
                  <c:v>144.6</c:v>
                </c:pt>
                <c:pt idx="1447">
                  <c:v>144.69999999999999</c:v>
                </c:pt>
                <c:pt idx="1448">
                  <c:v>144.80000000000001</c:v>
                </c:pt>
                <c:pt idx="1449">
                  <c:v>144.9</c:v>
                </c:pt>
                <c:pt idx="1450">
                  <c:v>145</c:v>
                </c:pt>
                <c:pt idx="1451">
                  <c:v>145.1</c:v>
                </c:pt>
                <c:pt idx="1452">
                  <c:v>145.19999999999999</c:v>
                </c:pt>
                <c:pt idx="1453">
                  <c:v>145.30000000000001</c:v>
                </c:pt>
                <c:pt idx="1454">
                  <c:v>145.4</c:v>
                </c:pt>
                <c:pt idx="1455">
                  <c:v>145.5</c:v>
                </c:pt>
                <c:pt idx="1456">
                  <c:v>145.6</c:v>
                </c:pt>
                <c:pt idx="1457">
                  <c:v>145.69999999999999</c:v>
                </c:pt>
                <c:pt idx="1458">
                  <c:v>145.80000000000001</c:v>
                </c:pt>
                <c:pt idx="1459">
                  <c:v>145.9</c:v>
                </c:pt>
                <c:pt idx="1460">
                  <c:v>146</c:v>
                </c:pt>
                <c:pt idx="1461">
                  <c:v>146.1</c:v>
                </c:pt>
                <c:pt idx="1462">
                  <c:v>146.19999999999999</c:v>
                </c:pt>
                <c:pt idx="1463">
                  <c:v>146.30000000000001</c:v>
                </c:pt>
                <c:pt idx="1464">
                  <c:v>146.4</c:v>
                </c:pt>
                <c:pt idx="1465">
                  <c:v>146.5</c:v>
                </c:pt>
                <c:pt idx="1466">
                  <c:v>146.6</c:v>
                </c:pt>
                <c:pt idx="1467">
                  <c:v>146.69999999999999</c:v>
                </c:pt>
                <c:pt idx="1468">
                  <c:v>146.80000000000001</c:v>
                </c:pt>
                <c:pt idx="1469">
                  <c:v>146.9</c:v>
                </c:pt>
                <c:pt idx="1470">
                  <c:v>147</c:v>
                </c:pt>
                <c:pt idx="1471">
                  <c:v>147.1</c:v>
                </c:pt>
                <c:pt idx="1472">
                  <c:v>147.19999999999999</c:v>
                </c:pt>
                <c:pt idx="1473">
                  <c:v>147.30000000000001</c:v>
                </c:pt>
                <c:pt idx="1474">
                  <c:v>147.4</c:v>
                </c:pt>
                <c:pt idx="1475">
                  <c:v>147.5</c:v>
                </c:pt>
                <c:pt idx="1476">
                  <c:v>147.6</c:v>
                </c:pt>
                <c:pt idx="1477">
                  <c:v>147.69999999999999</c:v>
                </c:pt>
                <c:pt idx="1478">
                  <c:v>147.80000000000001</c:v>
                </c:pt>
                <c:pt idx="1479">
                  <c:v>147.9</c:v>
                </c:pt>
                <c:pt idx="1480">
                  <c:v>148</c:v>
                </c:pt>
                <c:pt idx="1481">
                  <c:v>148.1</c:v>
                </c:pt>
                <c:pt idx="1482">
                  <c:v>148.19999999999999</c:v>
                </c:pt>
                <c:pt idx="1483">
                  <c:v>148.30000000000001</c:v>
                </c:pt>
                <c:pt idx="1484">
                  <c:v>148.4</c:v>
                </c:pt>
                <c:pt idx="1485">
                  <c:v>148.5</c:v>
                </c:pt>
                <c:pt idx="1486">
                  <c:v>148.6</c:v>
                </c:pt>
                <c:pt idx="1487">
                  <c:v>148.69999999999999</c:v>
                </c:pt>
                <c:pt idx="1488">
                  <c:v>148.80000000000001</c:v>
                </c:pt>
                <c:pt idx="1489">
                  <c:v>148.9</c:v>
                </c:pt>
                <c:pt idx="1490">
                  <c:v>149</c:v>
                </c:pt>
                <c:pt idx="1491">
                  <c:v>149.1</c:v>
                </c:pt>
                <c:pt idx="1492">
                  <c:v>149.19999999999999</c:v>
                </c:pt>
                <c:pt idx="1493">
                  <c:v>149.30000000000001</c:v>
                </c:pt>
                <c:pt idx="1494">
                  <c:v>149.4</c:v>
                </c:pt>
                <c:pt idx="1495">
                  <c:v>149.5</c:v>
                </c:pt>
                <c:pt idx="1496">
                  <c:v>149.6</c:v>
                </c:pt>
                <c:pt idx="1497">
                  <c:v>149.69999999999999</c:v>
                </c:pt>
                <c:pt idx="1498">
                  <c:v>149.80000000000001</c:v>
                </c:pt>
                <c:pt idx="1499">
                  <c:v>149.9</c:v>
                </c:pt>
                <c:pt idx="1500">
                  <c:v>150</c:v>
                </c:pt>
                <c:pt idx="1501">
                  <c:v>150.1</c:v>
                </c:pt>
                <c:pt idx="1502">
                  <c:v>150.19999999999999</c:v>
                </c:pt>
                <c:pt idx="1503">
                  <c:v>150.30000000000001</c:v>
                </c:pt>
                <c:pt idx="1504">
                  <c:v>150.4</c:v>
                </c:pt>
                <c:pt idx="1505">
                  <c:v>150.5</c:v>
                </c:pt>
                <c:pt idx="1506">
                  <c:v>150.6</c:v>
                </c:pt>
                <c:pt idx="1507">
                  <c:v>150.69999999999999</c:v>
                </c:pt>
                <c:pt idx="1508">
                  <c:v>150.80000000000001</c:v>
                </c:pt>
                <c:pt idx="1509">
                  <c:v>150.9</c:v>
                </c:pt>
                <c:pt idx="1510">
                  <c:v>151</c:v>
                </c:pt>
                <c:pt idx="1511">
                  <c:v>151.1</c:v>
                </c:pt>
                <c:pt idx="1512">
                  <c:v>151.19999999999999</c:v>
                </c:pt>
                <c:pt idx="1513">
                  <c:v>151.30000000000001</c:v>
                </c:pt>
                <c:pt idx="1514">
                  <c:v>151.4</c:v>
                </c:pt>
                <c:pt idx="1515">
                  <c:v>151.5</c:v>
                </c:pt>
                <c:pt idx="1516">
                  <c:v>151.6</c:v>
                </c:pt>
                <c:pt idx="1517">
                  <c:v>151.69999999999999</c:v>
                </c:pt>
                <c:pt idx="1518">
                  <c:v>151.80000000000001</c:v>
                </c:pt>
                <c:pt idx="1519">
                  <c:v>151.9</c:v>
                </c:pt>
                <c:pt idx="1520">
                  <c:v>152</c:v>
                </c:pt>
                <c:pt idx="1521">
                  <c:v>152.1</c:v>
                </c:pt>
                <c:pt idx="1522">
                  <c:v>152.19999999999999</c:v>
                </c:pt>
                <c:pt idx="1523">
                  <c:v>152.30000000000001</c:v>
                </c:pt>
                <c:pt idx="1524">
                  <c:v>152.4</c:v>
                </c:pt>
                <c:pt idx="1525">
                  <c:v>152.5</c:v>
                </c:pt>
                <c:pt idx="1526">
                  <c:v>152.6</c:v>
                </c:pt>
                <c:pt idx="1527">
                  <c:v>152.69999999999999</c:v>
                </c:pt>
                <c:pt idx="1528">
                  <c:v>152.80000000000001</c:v>
                </c:pt>
                <c:pt idx="1529">
                  <c:v>152.9</c:v>
                </c:pt>
                <c:pt idx="1530">
                  <c:v>153</c:v>
                </c:pt>
                <c:pt idx="1531">
                  <c:v>153.1</c:v>
                </c:pt>
                <c:pt idx="1532">
                  <c:v>153.19999999999999</c:v>
                </c:pt>
                <c:pt idx="1533">
                  <c:v>153.30000000000001</c:v>
                </c:pt>
                <c:pt idx="1534">
                  <c:v>153.4</c:v>
                </c:pt>
                <c:pt idx="1535">
                  <c:v>153.5</c:v>
                </c:pt>
                <c:pt idx="1536">
                  <c:v>153.6</c:v>
                </c:pt>
                <c:pt idx="1537">
                  <c:v>153.69999999999999</c:v>
                </c:pt>
                <c:pt idx="1538">
                  <c:v>153.80000000000001</c:v>
                </c:pt>
                <c:pt idx="1539">
                  <c:v>153.9</c:v>
                </c:pt>
                <c:pt idx="1540">
                  <c:v>154</c:v>
                </c:pt>
                <c:pt idx="1541">
                  <c:v>154.1</c:v>
                </c:pt>
                <c:pt idx="1542">
                  <c:v>154.19999999999999</c:v>
                </c:pt>
                <c:pt idx="1543">
                  <c:v>154.30000000000001</c:v>
                </c:pt>
                <c:pt idx="1544">
                  <c:v>154.4</c:v>
                </c:pt>
                <c:pt idx="1545">
                  <c:v>154.5</c:v>
                </c:pt>
                <c:pt idx="1546">
                  <c:v>154.6</c:v>
                </c:pt>
                <c:pt idx="1547">
                  <c:v>154.69999999999999</c:v>
                </c:pt>
                <c:pt idx="1548">
                  <c:v>154.80000000000001</c:v>
                </c:pt>
                <c:pt idx="1549">
                  <c:v>154.9</c:v>
                </c:pt>
                <c:pt idx="1550">
                  <c:v>155</c:v>
                </c:pt>
                <c:pt idx="1551">
                  <c:v>155.1</c:v>
                </c:pt>
                <c:pt idx="1552">
                  <c:v>155.19999999999999</c:v>
                </c:pt>
                <c:pt idx="1553">
                  <c:v>155.30000000000001</c:v>
                </c:pt>
                <c:pt idx="1554">
                  <c:v>155.4</c:v>
                </c:pt>
                <c:pt idx="1555">
                  <c:v>155.5</c:v>
                </c:pt>
                <c:pt idx="1556">
                  <c:v>155.6</c:v>
                </c:pt>
                <c:pt idx="1557">
                  <c:v>155.69999999999999</c:v>
                </c:pt>
                <c:pt idx="1558">
                  <c:v>155.80000000000001</c:v>
                </c:pt>
                <c:pt idx="1559">
                  <c:v>155.9</c:v>
                </c:pt>
                <c:pt idx="1560">
                  <c:v>156</c:v>
                </c:pt>
                <c:pt idx="1561">
                  <c:v>156.1</c:v>
                </c:pt>
                <c:pt idx="1562">
                  <c:v>156.19999999999999</c:v>
                </c:pt>
                <c:pt idx="1563">
                  <c:v>156.30000000000001</c:v>
                </c:pt>
                <c:pt idx="1564">
                  <c:v>156.4</c:v>
                </c:pt>
                <c:pt idx="1565">
                  <c:v>156.5</c:v>
                </c:pt>
                <c:pt idx="1566">
                  <c:v>156.6</c:v>
                </c:pt>
                <c:pt idx="1567">
                  <c:v>156.69999999999999</c:v>
                </c:pt>
                <c:pt idx="1568">
                  <c:v>156.80000000000001</c:v>
                </c:pt>
                <c:pt idx="1569">
                  <c:v>156.9</c:v>
                </c:pt>
                <c:pt idx="1570">
                  <c:v>157</c:v>
                </c:pt>
                <c:pt idx="1571">
                  <c:v>157.1</c:v>
                </c:pt>
                <c:pt idx="1572">
                  <c:v>157.19999999999999</c:v>
                </c:pt>
                <c:pt idx="1573">
                  <c:v>157.30000000000001</c:v>
                </c:pt>
                <c:pt idx="1574">
                  <c:v>157.4</c:v>
                </c:pt>
                <c:pt idx="1575">
                  <c:v>157.5</c:v>
                </c:pt>
                <c:pt idx="1576">
                  <c:v>157.6</c:v>
                </c:pt>
                <c:pt idx="1577">
                  <c:v>157.69999999999999</c:v>
                </c:pt>
                <c:pt idx="1578">
                  <c:v>157.80000000000001</c:v>
                </c:pt>
                <c:pt idx="1579">
                  <c:v>157.9</c:v>
                </c:pt>
                <c:pt idx="1580">
                  <c:v>158</c:v>
                </c:pt>
                <c:pt idx="1581">
                  <c:v>158.1</c:v>
                </c:pt>
                <c:pt idx="1582">
                  <c:v>158.19999999999999</c:v>
                </c:pt>
                <c:pt idx="1583">
                  <c:v>158.30000000000001</c:v>
                </c:pt>
                <c:pt idx="1584">
                  <c:v>158.4</c:v>
                </c:pt>
                <c:pt idx="1585">
                  <c:v>158.5</c:v>
                </c:pt>
                <c:pt idx="1586">
                  <c:v>158.6</c:v>
                </c:pt>
                <c:pt idx="1587">
                  <c:v>158.69999999999999</c:v>
                </c:pt>
                <c:pt idx="1588">
                  <c:v>158.80000000000001</c:v>
                </c:pt>
                <c:pt idx="1589">
                  <c:v>158.9</c:v>
                </c:pt>
                <c:pt idx="1590">
                  <c:v>159</c:v>
                </c:pt>
                <c:pt idx="1591">
                  <c:v>159.1</c:v>
                </c:pt>
              </c:numCache>
            </c:numRef>
          </c:xVal>
          <c:yVal>
            <c:numRef>
              <c:f>'DRIVE CYCLE'!$C$2:$C$1596</c:f>
              <c:numCache>
                <c:formatCode>General</c:formatCode>
                <c:ptCount val="1595"/>
                <c:pt idx="0">
                  <c:v>0</c:v>
                </c:pt>
                <c:pt idx="1">
                  <c:v>10</c:v>
                </c:pt>
                <c:pt idx="2">
                  <c:v>10</c:v>
                </c:pt>
                <c:pt idx="3">
                  <c:v>10</c:v>
                </c:pt>
                <c:pt idx="4">
                  <c:v>10</c:v>
                </c:pt>
                <c:pt idx="5">
                  <c:v>10</c:v>
                </c:pt>
                <c:pt idx="6">
                  <c:v>10</c:v>
                </c:pt>
                <c:pt idx="7">
                  <c:v>10</c:v>
                </c:pt>
                <c:pt idx="8">
                  <c:v>10</c:v>
                </c:pt>
                <c:pt idx="9">
                  <c:v>10</c:v>
                </c:pt>
                <c:pt idx="10">
                  <c:v>10</c:v>
                </c:pt>
                <c:pt idx="11">
                  <c:v>10</c:v>
                </c:pt>
                <c:pt idx="12">
                  <c:v>10</c:v>
                </c:pt>
                <c:pt idx="13">
                  <c:v>10</c:v>
                </c:pt>
                <c:pt idx="14">
                  <c:v>10</c:v>
                </c:pt>
                <c:pt idx="15">
                  <c:v>10</c:v>
                </c:pt>
                <c:pt idx="16">
                  <c:v>10</c:v>
                </c:pt>
                <c:pt idx="17">
                  <c:v>10</c:v>
                </c:pt>
                <c:pt idx="18">
                  <c:v>10</c:v>
                </c:pt>
                <c:pt idx="19">
                  <c:v>10</c:v>
                </c:pt>
                <c:pt idx="20">
                  <c:v>10</c:v>
                </c:pt>
                <c:pt idx="21">
                  <c:v>16.73</c:v>
                </c:pt>
                <c:pt idx="22">
                  <c:v>20</c:v>
                </c:pt>
                <c:pt idx="23">
                  <c:v>20</c:v>
                </c:pt>
                <c:pt idx="24">
                  <c:v>20</c:v>
                </c:pt>
                <c:pt idx="25">
                  <c:v>20</c:v>
                </c:pt>
                <c:pt idx="26">
                  <c:v>20</c:v>
                </c:pt>
                <c:pt idx="27">
                  <c:v>20</c:v>
                </c:pt>
                <c:pt idx="28">
                  <c:v>20</c:v>
                </c:pt>
                <c:pt idx="29">
                  <c:v>20</c:v>
                </c:pt>
                <c:pt idx="30">
                  <c:v>20</c:v>
                </c:pt>
                <c:pt idx="31">
                  <c:v>20</c:v>
                </c:pt>
                <c:pt idx="32">
                  <c:v>20</c:v>
                </c:pt>
                <c:pt idx="33">
                  <c:v>20</c:v>
                </c:pt>
                <c:pt idx="34">
                  <c:v>20</c:v>
                </c:pt>
                <c:pt idx="35">
                  <c:v>20</c:v>
                </c:pt>
                <c:pt idx="36">
                  <c:v>20</c:v>
                </c:pt>
                <c:pt idx="37">
                  <c:v>20</c:v>
                </c:pt>
                <c:pt idx="38">
                  <c:v>20</c:v>
                </c:pt>
                <c:pt idx="39">
                  <c:v>20</c:v>
                </c:pt>
                <c:pt idx="40">
                  <c:v>20</c:v>
                </c:pt>
                <c:pt idx="41">
                  <c:v>20</c:v>
                </c:pt>
                <c:pt idx="42">
                  <c:v>20</c:v>
                </c:pt>
                <c:pt idx="43">
                  <c:v>20</c:v>
                </c:pt>
                <c:pt idx="44">
                  <c:v>20</c:v>
                </c:pt>
                <c:pt idx="45">
                  <c:v>20</c:v>
                </c:pt>
                <c:pt idx="46">
                  <c:v>20</c:v>
                </c:pt>
                <c:pt idx="47">
                  <c:v>20</c:v>
                </c:pt>
                <c:pt idx="48">
                  <c:v>20</c:v>
                </c:pt>
                <c:pt idx="49">
                  <c:v>20</c:v>
                </c:pt>
                <c:pt idx="50">
                  <c:v>20</c:v>
                </c:pt>
                <c:pt idx="51">
                  <c:v>20</c:v>
                </c:pt>
                <c:pt idx="52">
                  <c:v>20</c:v>
                </c:pt>
                <c:pt idx="53">
                  <c:v>20</c:v>
                </c:pt>
                <c:pt idx="54">
                  <c:v>20</c:v>
                </c:pt>
                <c:pt idx="55">
                  <c:v>20</c:v>
                </c:pt>
                <c:pt idx="56">
                  <c:v>20</c:v>
                </c:pt>
                <c:pt idx="57">
                  <c:v>20</c:v>
                </c:pt>
                <c:pt idx="58">
                  <c:v>20</c:v>
                </c:pt>
                <c:pt idx="59">
                  <c:v>20</c:v>
                </c:pt>
                <c:pt idx="60">
                  <c:v>20</c:v>
                </c:pt>
                <c:pt idx="61">
                  <c:v>24.08</c:v>
                </c:pt>
                <c:pt idx="62">
                  <c:v>25</c:v>
                </c:pt>
                <c:pt idx="63">
                  <c:v>25</c:v>
                </c:pt>
                <c:pt idx="64">
                  <c:v>25</c:v>
                </c:pt>
                <c:pt idx="65">
                  <c:v>25</c:v>
                </c:pt>
                <c:pt idx="66">
                  <c:v>25</c:v>
                </c:pt>
                <c:pt idx="67">
                  <c:v>25</c:v>
                </c:pt>
                <c:pt idx="68">
                  <c:v>25</c:v>
                </c:pt>
                <c:pt idx="69">
                  <c:v>25</c:v>
                </c:pt>
                <c:pt idx="70">
                  <c:v>25</c:v>
                </c:pt>
                <c:pt idx="71">
                  <c:v>25</c:v>
                </c:pt>
                <c:pt idx="72">
                  <c:v>25</c:v>
                </c:pt>
                <c:pt idx="73">
                  <c:v>25</c:v>
                </c:pt>
                <c:pt idx="74">
                  <c:v>25</c:v>
                </c:pt>
                <c:pt idx="75">
                  <c:v>25</c:v>
                </c:pt>
                <c:pt idx="76">
                  <c:v>25</c:v>
                </c:pt>
                <c:pt idx="77">
                  <c:v>25</c:v>
                </c:pt>
                <c:pt idx="78">
                  <c:v>25</c:v>
                </c:pt>
                <c:pt idx="79">
                  <c:v>25</c:v>
                </c:pt>
                <c:pt idx="80">
                  <c:v>25</c:v>
                </c:pt>
                <c:pt idx="81">
                  <c:v>25</c:v>
                </c:pt>
                <c:pt idx="82">
                  <c:v>25</c:v>
                </c:pt>
                <c:pt idx="83">
                  <c:v>25</c:v>
                </c:pt>
                <c:pt idx="84">
                  <c:v>25</c:v>
                </c:pt>
                <c:pt idx="85">
                  <c:v>25</c:v>
                </c:pt>
                <c:pt idx="86">
                  <c:v>25</c:v>
                </c:pt>
                <c:pt idx="87">
                  <c:v>25</c:v>
                </c:pt>
                <c:pt idx="88">
                  <c:v>25</c:v>
                </c:pt>
                <c:pt idx="89">
                  <c:v>25</c:v>
                </c:pt>
                <c:pt idx="90">
                  <c:v>25</c:v>
                </c:pt>
                <c:pt idx="91">
                  <c:v>25</c:v>
                </c:pt>
                <c:pt idx="92">
                  <c:v>25</c:v>
                </c:pt>
                <c:pt idx="93">
                  <c:v>25</c:v>
                </c:pt>
                <c:pt idx="94">
                  <c:v>25</c:v>
                </c:pt>
                <c:pt idx="95">
                  <c:v>25</c:v>
                </c:pt>
                <c:pt idx="96">
                  <c:v>25</c:v>
                </c:pt>
                <c:pt idx="97">
                  <c:v>25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25</c:v>
                </c:pt>
                <c:pt idx="104">
                  <c:v>25</c:v>
                </c:pt>
                <c:pt idx="105">
                  <c:v>25</c:v>
                </c:pt>
                <c:pt idx="106">
                  <c:v>25</c:v>
                </c:pt>
                <c:pt idx="107">
                  <c:v>25</c:v>
                </c:pt>
                <c:pt idx="108">
                  <c:v>25</c:v>
                </c:pt>
                <c:pt idx="109">
                  <c:v>25</c:v>
                </c:pt>
                <c:pt idx="110">
                  <c:v>25</c:v>
                </c:pt>
                <c:pt idx="111">
                  <c:v>25</c:v>
                </c:pt>
                <c:pt idx="112">
                  <c:v>25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25</c:v>
                </c:pt>
                <c:pt idx="119">
                  <c:v>25</c:v>
                </c:pt>
                <c:pt idx="120">
                  <c:v>25</c:v>
                </c:pt>
                <c:pt idx="121">
                  <c:v>25</c:v>
                </c:pt>
                <c:pt idx="122">
                  <c:v>25</c:v>
                </c:pt>
                <c:pt idx="123">
                  <c:v>25</c:v>
                </c:pt>
                <c:pt idx="124">
                  <c:v>25</c:v>
                </c:pt>
                <c:pt idx="125">
                  <c:v>25</c:v>
                </c:pt>
                <c:pt idx="126">
                  <c:v>25</c:v>
                </c:pt>
                <c:pt idx="127">
                  <c:v>25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25</c:v>
                </c:pt>
                <c:pt idx="134">
                  <c:v>25</c:v>
                </c:pt>
                <c:pt idx="135">
                  <c:v>25</c:v>
                </c:pt>
                <c:pt idx="136">
                  <c:v>25</c:v>
                </c:pt>
                <c:pt idx="137">
                  <c:v>25</c:v>
                </c:pt>
                <c:pt idx="138">
                  <c:v>25</c:v>
                </c:pt>
                <c:pt idx="139">
                  <c:v>25</c:v>
                </c:pt>
                <c:pt idx="140">
                  <c:v>25</c:v>
                </c:pt>
                <c:pt idx="141">
                  <c:v>25</c:v>
                </c:pt>
                <c:pt idx="142">
                  <c:v>25</c:v>
                </c:pt>
                <c:pt idx="143">
                  <c:v>25</c:v>
                </c:pt>
                <c:pt idx="144">
                  <c:v>25</c:v>
                </c:pt>
                <c:pt idx="145">
                  <c:v>25</c:v>
                </c:pt>
                <c:pt idx="146">
                  <c:v>25</c:v>
                </c:pt>
                <c:pt idx="147">
                  <c:v>25</c:v>
                </c:pt>
                <c:pt idx="148">
                  <c:v>25</c:v>
                </c:pt>
                <c:pt idx="149">
                  <c:v>25</c:v>
                </c:pt>
                <c:pt idx="150">
                  <c:v>25</c:v>
                </c:pt>
                <c:pt idx="151">
                  <c:v>25</c:v>
                </c:pt>
                <c:pt idx="152">
                  <c:v>25</c:v>
                </c:pt>
                <c:pt idx="153">
                  <c:v>25</c:v>
                </c:pt>
                <c:pt idx="154">
                  <c:v>25</c:v>
                </c:pt>
                <c:pt idx="155">
                  <c:v>25</c:v>
                </c:pt>
                <c:pt idx="156">
                  <c:v>25</c:v>
                </c:pt>
                <c:pt idx="157">
                  <c:v>25</c:v>
                </c:pt>
                <c:pt idx="158">
                  <c:v>25</c:v>
                </c:pt>
                <c:pt idx="159">
                  <c:v>25</c:v>
                </c:pt>
                <c:pt idx="160">
                  <c:v>25</c:v>
                </c:pt>
                <c:pt idx="161">
                  <c:v>25</c:v>
                </c:pt>
                <c:pt idx="162">
                  <c:v>25</c:v>
                </c:pt>
                <c:pt idx="163">
                  <c:v>25</c:v>
                </c:pt>
                <c:pt idx="164">
                  <c:v>25</c:v>
                </c:pt>
                <c:pt idx="165">
                  <c:v>25</c:v>
                </c:pt>
                <c:pt idx="166">
                  <c:v>25</c:v>
                </c:pt>
                <c:pt idx="167">
                  <c:v>25</c:v>
                </c:pt>
                <c:pt idx="168">
                  <c:v>25</c:v>
                </c:pt>
                <c:pt idx="169">
                  <c:v>25</c:v>
                </c:pt>
                <c:pt idx="170">
                  <c:v>25</c:v>
                </c:pt>
                <c:pt idx="171">
                  <c:v>25</c:v>
                </c:pt>
                <c:pt idx="172">
                  <c:v>25</c:v>
                </c:pt>
                <c:pt idx="173">
                  <c:v>25</c:v>
                </c:pt>
                <c:pt idx="174">
                  <c:v>25</c:v>
                </c:pt>
                <c:pt idx="175">
                  <c:v>25</c:v>
                </c:pt>
                <c:pt idx="176">
                  <c:v>25</c:v>
                </c:pt>
                <c:pt idx="177">
                  <c:v>25</c:v>
                </c:pt>
                <c:pt idx="178">
                  <c:v>25</c:v>
                </c:pt>
                <c:pt idx="179">
                  <c:v>25</c:v>
                </c:pt>
                <c:pt idx="180">
                  <c:v>25</c:v>
                </c:pt>
                <c:pt idx="181">
                  <c:v>25</c:v>
                </c:pt>
                <c:pt idx="182">
                  <c:v>25</c:v>
                </c:pt>
                <c:pt idx="183">
                  <c:v>25</c:v>
                </c:pt>
                <c:pt idx="184">
                  <c:v>25</c:v>
                </c:pt>
                <c:pt idx="185">
                  <c:v>25</c:v>
                </c:pt>
                <c:pt idx="186">
                  <c:v>25</c:v>
                </c:pt>
                <c:pt idx="187">
                  <c:v>25</c:v>
                </c:pt>
                <c:pt idx="188">
                  <c:v>25</c:v>
                </c:pt>
                <c:pt idx="189">
                  <c:v>25</c:v>
                </c:pt>
                <c:pt idx="190">
                  <c:v>25</c:v>
                </c:pt>
                <c:pt idx="191">
                  <c:v>25</c:v>
                </c:pt>
                <c:pt idx="192">
                  <c:v>25</c:v>
                </c:pt>
                <c:pt idx="193">
                  <c:v>25</c:v>
                </c:pt>
                <c:pt idx="194">
                  <c:v>25</c:v>
                </c:pt>
                <c:pt idx="195">
                  <c:v>25</c:v>
                </c:pt>
                <c:pt idx="196">
                  <c:v>25</c:v>
                </c:pt>
                <c:pt idx="197">
                  <c:v>25</c:v>
                </c:pt>
                <c:pt idx="198">
                  <c:v>25</c:v>
                </c:pt>
                <c:pt idx="199">
                  <c:v>25</c:v>
                </c:pt>
                <c:pt idx="200">
                  <c:v>25</c:v>
                </c:pt>
                <c:pt idx="201">
                  <c:v>25</c:v>
                </c:pt>
                <c:pt idx="202">
                  <c:v>25</c:v>
                </c:pt>
                <c:pt idx="203">
                  <c:v>25</c:v>
                </c:pt>
                <c:pt idx="204">
                  <c:v>25</c:v>
                </c:pt>
                <c:pt idx="205">
                  <c:v>25</c:v>
                </c:pt>
                <c:pt idx="206">
                  <c:v>25</c:v>
                </c:pt>
                <c:pt idx="207">
                  <c:v>25</c:v>
                </c:pt>
                <c:pt idx="208">
                  <c:v>25</c:v>
                </c:pt>
                <c:pt idx="209">
                  <c:v>25</c:v>
                </c:pt>
                <c:pt idx="210">
                  <c:v>25</c:v>
                </c:pt>
                <c:pt idx="211">
                  <c:v>25</c:v>
                </c:pt>
                <c:pt idx="212">
                  <c:v>25</c:v>
                </c:pt>
                <c:pt idx="213">
                  <c:v>25</c:v>
                </c:pt>
                <c:pt idx="214">
                  <c:v>25</c:v>
                </c:pt>
                <c:pt idx="215">
                  <c:v>25</c:v>
                </c:pt>
                <c:pt idx="216">
                  <c:v>25</c:v>
                </c:pt>
                <c:pt idx="217">
                  <c:v>25</c:v>
                </c:pt>
                <c:pt idx="218">
                  <c:v>25</c:v>
                </c:pt>
                <c:pt idx="219">
                  <c:v>25</c:v>
                </c:pt>
                <c:pt idx="220">
                  <c:v>25</c:v>
                </c:pt>
                <c:pt idx="221">
                  <c:v>25</c:v>
                </c:pt>
                <c:pt idx="222">
                  <c:v>25</c:v>
                </c:pt>
                <c:pt idx="223">
                  <c:v>25</c:v>
                </c:pt>
                <c:pt idx="224">
                  <c:v>25</c:v>
                </c:pt>
                <c:pt idx="225">
                  <c:v>25</c:v>
                </c:pt>
                <c:pt idx="226">
                  <c:v>25</c:v>
                </c:pt>
                <c:pt idx="227">
                  <c:v>25</c:v>
                </c:pt>
                <c:pt idx="228">
                  <c:v>25</c:v>
                </c:pt>
                <c:pt idx="229">
                  <c:v>25</c:v>
                </c:pt>
                <c:pt idx="230">
                  <c:v>25</c:v>
                </c:pt>
                <c:pt idx="231">
                  <c:v>25</c:v>
                </c:pt>
                <c:pt idx="232">
                  <c:v>25</c:v>
                </c:pt>
                <c:pt idx="233">
                  <c:v>25</c:v>
                </c:pt>
                <c:pt idx="234">
                  <c:v>25</c:v>
                </c:pt>
                <c:pt idx="235">
                  <c:v>25</c:v>
                </c:pt>
                <c:pt idx="236">
                  <c:v>25</c:v>
                </c:pt>
                <c:pt idx="237">
                  <c:v>25</c:v>
                </c:pt>
                <c:pt idx="238">
                  <c:v>25</c:v>
                </c:pt>
                <c:pt idx="239">
                  <c:v>25</c:v>
                </c:pt>
                <c:pt idx="240">
                  <c:v>25</c:v>
                </c:pt>
                <c:pt idx="241">
                  <c:v>25</c:v>
                </c:pt>
                <c:pt idx="242">
                  <c:v>25</c:v>
                </c:pt>
                <c:pt idx="243">
                  <c:v>25</c:v>
                </c:pt>
                <c:pt idx="244">
                  <c:v>25</c:v>
                </c:pt>
                <c:pt idx="245">
                  <c:v>25</c:v>
                </c:pt>
                <c:pt idx="246">
                  <c:v>25</c:v>
                </c:pt>
                <c:pt idx="247">
                  <c:v>25</c:v>
                </c:pt>
                <c:pt idx="248">
                  <c:v>25</c:v>
                </c:pt>
                <c:pt idx="249">
                  <c:v>25</c:v>
                </c:pt>
                <c:pt idx="250">
                  <c:v>25</c:v>
                </c:pt>
                <c:pt idx="251">
                  <c:v>25</c:v>
                </c:pt>
                <c:pt idx="252">
                  <c:v>25</c:v>
                </c:pt>
                <c:pt idx="253">
                  <c:v>25</c:v>
                </c:pt>
                <c:pt idx="254">
                  <c:v>25</c:v>
                </c:pt>
                <c:pt idx="255">
                  <c:v>25</c:v>
                </c:pt>
                <c:pt idx="256">
                  <c:v>25</c:v>
                </c:pt>
                <c:pt idx="257">
                  <c:v>25</c:v>
                </c:pt>
                <c:pt idx="258">
                  <c:v>25</c:v>
                </c:pt>
                <c:pt idx="259">
                  <c:v>25</c:v>
                </c:pt>
                <c:pt idx="260">
                  <c:v>25</c:v>
                </c:pt>
                <c:pt idx="261">
                  <c:v>25</c:v>
                </c:pt>
                <c:pt idx="262">
                  <c:v>25</c:v>
                </c:pt>
                <c:pt idx="263">
                  <c:v>25</c:v>
                </c:pt>
                <c:pt idx="264">
                  <c:v>25</c:v>
                </c:pt>
                <c:pt idx="265">
                  <c:v>25</c:v>
                </c:pt>
                <c:pt idx="266">
                  <c:v>25</c:v>
                </c:pt>
                <c:pt idx="267">
                  <c:v>25</c:v>
                </c:pt>
                <c:pt idx="268">
                  <c:v>25</c:v>
                </c:pt>
                <c:pt idx="269">
                  <c:v>25</c:v>
                </c:pt>
                <c:pt idx="270">
                  <c:v>25</c:v>
                </c:pt>
                <c:pt idx="271">
                  <c:v>25</c:v>
                </c:pt>
                <c:pt idx="272">
                  <c:v>25</c:v>
                </c:pt>
                <c:pt idx="273">
                  <c:v>25</c:v>
                </c:pt>
                <c:pt idx="274">
                  <c:v>25</c:v>
                </c:pt>
                <c:pt idx="275">
                  <c:v>25</c:v>
                </c:pt>
                <c:pt idx="276">
                  <c:v>25</c:v>
                </c:pt>
                <c:pt idx="277">
                  <c:v>25</c:v>
                </c:pt>
                <c:pt idx="278">
                  <c:v>25</c:v>
                </c:pt>
                <c:pt idx="279">
                  <c:v>25</c:v>
                </c:pt>
                <c:pt idx="280">
                  <c:v>25</c:v>
                </c:pt>
                <c:pt idx="281">
                  <c:v>25</c:v>
                </c:pt>
                <c:pt idx="282">
                  <c:v>25</c:v>
                </c:pt>
                <c:pt idx="283">
                  <c:v>25</c:v>
                </c:pt>
                <c:pt idx="284">
                  <c:v>25</c:v>
                </c:pt>
                <c:pt idx="285">
                  <c:v>25</c:v>
                </c:pt>
                <c:pt idx="286">
                  <c:v>25</c:v>
                </c:pt>
                <c:pt idx="287">
                  <c:v>25</c:v>
                </c:pt>
                <c:pt idx="288">
                  <c:v>25</c:v>
                </c:pt>
                <c:pt idx="289">
                  <c:v>25</c:v>
                </c:pt>
                <c:pt idx="290">
                  <c:v>25</c:v>
                </c:pt>
                <c:pt idx="291">
                  <c:v>25</c:v>
                </c:pt>
                <c:pt idx="292">
                  <c:v>25</c:v>
                </c:pt>
                <c:pt idx="293">
                  <c:v>25</c:v>
                </c:pt>
                <c:pt idx="294">
                  <c:v>25</c:v>
                </c:pt>
                <c:pt idx="295">
                  <c:v>25</c:v>
                </c:pt>
                <c:pt idx="296">
                  <c:v>25</c:v>
                </c:pt>
                <c:pt idx="297">
                  <c:v>25</c:v>
                </c:pt>
                <c:pt idx="298">
                  <c:v>25</c:v>
                </c:pt>
                <c:pt idx="299">
                  <c:v>25</c:v>
                </c:pt>
                <c:pt idx="300">
                  <c:v>25</c:v>
                </c:pt>
                <c:pt idx="301">
                  <c:v>25</c:v>
                </c:pt>
                <c:pt idx="302">
                  <c:v>25</c:v>
                </c:pt>
                <c:pt idx="303">
                  <c:v>25</c:v>
                </c:pt>
                <c:pt idx="304">
                  <c:v>25</c:v>
                </c:pt>
                <c:pt idx="305">
                  <c:v>25</c:v>
                </c:pt>
                <c:pt idx="306">
                  <c:v>25</c:v>
                </c:pt>
                <c:pt idx="307">
                  <c:v>25</c:v>
                </c:pt>
                <c:pt idx="308">
                  <c:v>25</c:v>
                </c:pt>
                <c:pt idx="309">
                  <c:v>25</c:v>
                </c:pt>
                <c:pt idx="310">
                  <c:v>25</c:v>
                </c:pt>
                <c:pt idx="311">
                  <c:v>25</c:v>
                </c:pt>
                <c:pt idx="312">
                  <c:v>25</c:v>
                </c:pt>
                <c:pt idx="313">
                  <c:v>25</c:v>
                </c:pt>
                <c:pt idx="314">
                  <c:v>25</c:v>
                </c:pt>
                <c:pt idx="315">
                  <c:v>25</c:v>
                </c:pt>
                <c:pt idx="316">
                  <c:v>25</c:v>
                </c:pt>
                <c:pt idx="317">
                  <c:v>25</c:v>
                </c:pt>
                <c:pt idx="318">
                  <c:v>25</c:v>
                </c:pt>
                <c:pt idx="319">
                  <c:v>25</c:v>
                </c:pt>
                <c:pt idx="320">
                  <c:v>25</c:v>
                </c:pt>
                <c:pt idx="321">
                  <c:v>25</c:v>
                </c:pt>
                <c:pt idx="322">
                  <c:v>25</c:v>
                </c:pt>
                <c:pt idx="323">
                  <c:v>25</c:v>
                </c:pt>
                <c:pt idx="324">
                  <c:v>25</c:v>
                </c:pt>
                <c:pt idx="325">
                  <c:v>25</c:v>
                </c:pt>
                <c:pt idx="326">
                  <c:v>25</c:v>
                </c:pt>
                <c:pt idx="327">
                  <c:v>25</c:v>
                </c:pt>
                <c:pt idx="328">
                  <c:v>25</c:v>
                </c:pt>
                <c:pt idx="329">
                  <c:v>25</c:v>
                </c:pt>
                <c:pt idx="330">
                  <c:v>25</c:v>
                </c:pt>
                <c:pt idx="331">
                  <c:v>25</c:v>
                </c:pt>
                <c:pt idx="332">
                  <c:v>25</c:v>
                </c:pt>
                <c:pt idx="333">
                  <c:v>25</c:v>
                </c:pt>
                <c:pt idx="334">
                  <c:v>25</c:v>
                </c:pt>
                <c:pt idx="335">
                  <c:v>25</c:v>
                </c:pt>
                <c:pt idx="336">
                  <c:v>25</c:v>
                </c:pt>
                <c:pt idx="337">
                  <c:v>25</c:v>
                </c:pt>
                <c:pt idx="338">
                  <c:v>25</c:v>
                </c:pt>
                <c:pt idx="339">
                  <c:v>25</c:v>
                </c:pt>
                <c:pt idx="340">
                  <c:v>25</c:v>
                </c:pt>
                <c:pt idx="341">
                  <c:v>25</c:v>
                </c:pt>
                <c:pt idx="342">
                  <c:v>25</c:v>
                </c:pt>
                <c:pt idx="343">
                  <c:v>25</c:v>
                </c:pt>
                <c:pt idx="344">
                  <c:v>25</c:v>
                </c:pt>
                <c:pt idx="345">
                  <c:v>25</c:v>
                </c:pt>
                <c:pt idx="346">
                  <c:v>25</c:v>
                </c:pt>
                <c:pt idx="347">
                  <c:v>25</c:v>
                </c:pt>
                <c:pt idx="348">
                  <c:v>25</c:v>
                </c:pt>
                <c:pt idx="349">
                  <c:v>25</c:v>
                </c:pt>
                <c:pt idx="350">
                  <c:v>25</c:v>
                </c:pt>
                <c:pt idx="351">
                  <c:v>25</c:v>
                </c:pt>
                <c:pt idx="352">
                  <c:v>25</c:v>
                </c:pt>
                <c:pt idx="353">
                  <c:v>25</c:v>
                </c:pt>
                <c:pt idx="354">
                  <c:v>25</c:v>
                </c:pt>
                <c:pt idx="355">
                  <c:v>25</c:v>
                </c:pt>
                <c:pt idx="356">
                  <c:v>25</c:v>
                </c:pt>
                <c:pt idx="357">
                  <c:v>25</c:v>
                </c:pt>
                <c:pt idx="358">
                  <c:v>25</c:v>
                </c:pt>
                <c:pt idx="359">
                  <c:v>25</c:v>
                </c:pt>
                <c:pt idx="360">
                  <c:v>25</c:v>
                </c:pt>
                <c:pt idx="361">
                  <c:v>25</c:v>
                </c:pt>
                <c:pt idx="362">
                  <c:v>25</c:v>
                </c:pt>
                <c:pt idx="363">
                  <c:v>25</c:v>
                </c:pt>
                <c:pt idx="364">
                  <c:v>25</c:v>
                </c:pt>
                <c:pt idx="365">
                  <c:v>25</c:v>
                </c:pt>
                <c:pt idx="366">
                  <c:v>25</c:v>
                </c:pt>
                <c:pt idx="367">
                  <c:v>25</c:v>
                </c:pt>
                <c:pt idx="368">
                  <c:v>25</c:v>
                </c:pt>
                <c:pt idx="369">
                  <c:v>25</c:v>
                </c:pt>
                <c:pt idx="370">
                  <c:v>25</c:v>
                </c:pt>
                <c:pt idx="371">
                  <c:v>25</c:v>
                </c:pt>
                <c:pt idx="372">
                  <c:v>25</c:v>
                </c:pt>
                <c:pt idx="373">
                  <c:v>25</c:v>
                </c:pt>
                <c:pt idx="374">
                  <c:v>25</c:v>
                </c:pt>
                <c:pt idx="375">
                  <c:v>25</c:v>
                </c:pt>
                <c:pt idx="376">
                  <c:v>25</c:v>
                </c:pt>
                <c:pt idx="377">
                  <c:v>25</c:v>
                </c:pt>
                <c:pt idx="378">
                  <c:v>25</c:v>
                </c:pt>
                <c:pt idx="379">
                  <c:v>25</c:v>
                </c:pt>
                <c:pt idx="380">
                  <c:v>25</c:v>
                </c:pt>
                <c:pt idx="381">
                  <c:v>25</c:v>
                </c:pt>
                <c:pt idx="382">
                  <c:v>25</c:v>
                </c:pt>
                <c:pt idx="383">
                  <c:v>25</c:v>
                </c:pt>
                <c:pt idx="384">
                  <c:v>25</c:v>
                </c:pt>
                <c:pt idx="385">
                  <c:v>25</c:v>
                </c:pt>
                <c:pt idx="386">
                  <c:v>25</c:v>
                </c:pt>
                <c:pt idx="387">
                  <c:v>25</c:v>
                </c:pt>
                <c:pt idx="388">
                  <c:v>25</c:v>
                </c:pt>
                <c:pt idx="389">
                  <c:v>25</c:v>
                </c:pt>
                <c:pt idx="390">
                  <c:v>25</c:v>
                </c:pt>
                <c:pt idx="391">
                  <c:v>25</c:v>
                </c:pt>
                <c:pt idx="392">
                  <c:v>25</c:v>
                </c:pt>
                <c:pt idx="393">
                  <c:v>25</c:v>
                </c:pt>
                <c:pt idx="394">
                  <c:v>25</c:v>
                </c:pt>
                <c:pt idx="395">
                  <c:v>25</c:v>
                </c:pt>
                <c:pt idx="396">
                  <c:v>25</c:v>
                </c:pt>
                <c:pt idx="397">
                  <c:v>25</c:v>
                </c:pt>
                <c:pt idx="398">
                  <c:v>25</c:v>
                </c:pt>
                <c:pt idx="399">
                  <c:v>25</c:v>
                </c:pt>
                <c:pt idx="400">
                  <c:v>25</c:v>
                </c:pt>
                <c:pt idx="401">
                  <c:v>25</c:v>
                </c:pt>
                <c:pt idx="402">
                  <c:v>25</c:v>
                </c:pt>
                <c:pt idx="403">
                  <c:v>25</c:v>
                </c:pt>
                <c:pt idx="404">
                  <c:v>25</c:v>
                </c:pt>
                <c:pt idx="405">
                  <c:v>25</c:v>
                </c:pt>
                <c:pt idx="406">
                  <c:v>25</c:v>
                </c:pt>
                <c:pt idx="407">
                  <c:v>25</c:v>
                </c:pt>
                <c:pt idx="408">
                  <c:v>25</c:v>
                </c:pt>
                <c:pt idx="409">
                  <c:v>25</c:v>
                </c:pt>
                <c:pt idx="410">
                  <c:v>25</c:v>
                </c:pt>
                <c:pt idx="411">
                  <c:v>25</c:v>
                </c:pt>
                <c:pt idx="412">
                  <c:v>25</c:v>
                </c:pt>
                <c:pt idx="413">
                  <c:v>25</c:v>
                </c:pt>
                <c:pt idx="414">
                  <c:v>25</c:v>
                </c:pt>
                <c:pt idx="415">
                  <c:v>25</c:v>
                </c:pt>
                <c:pt idx="416">
                  <c:v>25</c:v>
                </c:pt>
                <c:pt idx="417">
                  <c:v>25</c:v>
                </c:pt>
                <c:pt idx="418">
                  <c:v>25</c:v>
                </c:pt>
                <c:pt idx="419">
                  <c:v>25</c:v>
                </c:pt>
                <c:pt idx="420">
                  <c:v>25</c:v>
                </c:pt>
                <c:pt idx="421">
                  <c:v>25</c:v>
                </c:pt>
                <c:pt idx="422">
                  <c:v>25</c:v>
                </c:pt>
                <c:pt idx="423">
                  <c:v>25</c:v>
                </c:pt>
                <c:pt idx="424">
                  <c:v>25</c:v>
                </c:pt>
                <c:pt idx="425">
                  <c:v>25</c:v>
                </c:pt>
                <c:pt idx="426">
                  <c:v>25</c:v>
                </c:pt>
                <c:pt idx="427">
                  <c:v>25</c:v>
                </c:pt>
                <c:pt idx="428">
                  <c:v>25</c:v>
                </c:pt>
                <c:pt idx="429">
                  <c:v>25</c:v>
                </c:pt>
                <c:pt idx="430">
                  <c:v>25</c:v>
                </c:pt>
                <c:pt idx="431">
                  <c:v>25</c:v>
                </c:pt>
                <c:pt idx="432">
                  <c:v>25</c:v>
                </c:pt>
                <c:pt idx="433">
                  <c:v>25</c:v>
                </c:pt>
                <c:pt idx="434">
                  <c:v>25</c:v>
                </c:pt>
                <c:pt idx="435">
                  <c:v>25</c:v>
                </c:pt>
                <c:pt idx="436">
                  <c:v>25</c:v>
                </c:pt>
                <c:pt idx="437">
                  <c:v>25</c:v>
                </c:pt>
                <c:pt idx="438">
                  <c:v>25</c:v>
                </c:pt>
                <c:pt idx="439">
                  <c:v>25</c:v>
                </c:pt>
                <c:pt idx="440">
                  <c:v>25</c:v>
                </c:pt>
                <c:pt idx="441">
                  <c:v>25</c:v>
                </c:pt>
                <c:pt idx="442">
                  <c:v>25</c:v>
                </c:pt>
                <c:pt idx="443">
                  <c:v>25</c:v>
                </c:pt>
                <c:pt idx="444">
                  <c:v>25</c:v>
                </c:pt>
                <c:pt idx="445">
                  <c:v>25</c:v>
                </c:pt>
                <c:pt idx="446">
                  <c:v>25</c:v>
                </c:pt>
                <c:pt idx="447">
                  <c:v>25</c:v>
                </c:pt>
                <c:pt idx="448">
                  <c:v>25</c:v>
                </c:pt>
                <c:pt idx="449">
                  <c:v>25</c:v>
                </c:pt>
                <c:pt idx="450">
                  <c:v>25</c:v>
                </c:pt>
                <c:pt idx="451">
                  <c:v>25</c:v>
                </c:pt>
                <c:pt idx="452">
                  <c:v>25</c:v>
                </c:pt>
                <c:pt idx="453">
                  <c:v>25</c:v>
                </c:pt>
                <c:pt idx="454">
                  <c:v>25</c:v>
                </c:pt>
                <c:pt idx="455">
                  <c:v>25</c:v>
                </c:pt>
                <c:pt idx="456">
                  <c:v>25</c:v>
                </c:pt>
                <c:pt idx="457">
                  <c:v>25</c:v>
                </c:pt>
                <c:pt idx="458">
                  <c:v>25</c:v>
                </c:pt>
                <c:pt idx="459">
                  <c:v>25</c:v>
                </c:pt>
                <c:pt idx="460">
                  <c:v>25</c:v>
                </c:pt>
                <c:pt idx="461">
                  <c:v>25</c:v>
                </c:pt>
                <c:pt idx="462">
                  <c:v>25</c:v>
                </c:pt>
                <c:pt idx="463">
                  <c:v>25</c:v>
                </c:pt>
                <c:pt idx="464">
                  <c:v>25</c:v>
                </c:pt>
                <c:pt idx="465">
                  <c:v>25</c:v>
                </c:pt>
                <c:pt idx="466">
                  <c:v>25</c:v>
                </c:pt>
                <c:pt idx="467">
                  <c:v>25</c:v>
                </c:pt>
                <c:pt idx="468">
                  <c:v>25</c:v>
                </c:pt>
                <c:pt idx="469">
                  <c:v>25</c:v>
                </c:pt>
                <c:pt idx="470">
                  <c:v>25</c:v>
                </c:pt>
                <c:pt idx="471">
                  <c:v>25</c:v>
                </c:pt>
                <c:pt idx="472">
                  <c:v>25</c:v>
                </c:pt>
                <c:pt idx="473">
                  <c:v>25</c:v>
                </c:pt>
                <c:pt idx="474">
                  <c:v>25</c:v>
                </c:pt>
                <c:pt idx="475">
                  <c:v>25</c:v>
                </c:pt>
                <c:pt idx="476">
                  <c:v>25</c:v>
                </c:pt>
                <c:pt idx="477">
                  <c:v>25</c:v>
                </c:pt>
                <c:pt idx="478">
                  <c:v>25</c:v>
                </c:pt>
                <c:pt idx="479">
                  <c:v>25</c:v>
                </c:pt>
                <c:pt idx="480">
                  <c:v>25</c:v>
                </c:pt>
                <c:pt idx="481">
                  <c:v>25</c:v>
                </c:pt>
                <c:pt idx="482">
                  <c:v>25</c:v>
                </c:pt>
                <c:pt idx="483">
                  <c:v>25</c:v>
                </c:pt>
                <c:pt idx="484">
                  <c:v>25</c:v>
                </c:pt>
                <c:pt idx="485">
                  <c:v>25</c:v>
                </c:pt>
                <c:pt idx="486">
                  <c:v>25</c:v>
                </c:pt>
                <c:pt idx="487">
                  <c:v>25</c:v>
                </c:pt>
                <c:pt idx="488">
                  <c:v>21.45</c:v>
                </c:pt>
                <c:pt idx="489">
                  <c:v>16.73</c:v>
                </c:pt>
                <c:pt idx="490">
                  <c:v>10</c:v>
                </c:pt>
                <c:pt idx="491">
                  <c:v>10</c:v>
                </c:pt>
                <c:pt idx="492">
                  <c:v>10</c:v>
                </c:pt>
                <c:pt idx="493">
                  <c:v>10</c:v>
                </c:pt>
                <c:pt idx="494">
                  <c:v>10</c:v>
                </c:pt>
                <c:pt idx="495">
                  <c:v>10</c:v>
                </c:pt>
                <c:pt idx="496">
                  <c:v>10</c:v>
                </c:pt>
                <c:pt idx="497">
                  <c:v>10</c:v>
                </c:pt>
                <c:pt idx="498">
                  <c:v>10</c:v>
                </c:pt>
                <c:pt idx="499">
                  <c:v>10</c:v>
                </c:pt>
                <c:pt idx="500">
                  <c:v>10</c:v>
                </c:pt>
                <c:pt idx="501">
                  <c:v>10</c:v>
                </c:pt>
                <c:pt idx="502">
                  <c:v>10</c:v>
                </c:pt>
                <c:pt idx="503">
                  <c:v>10</c:v>
                </c:pt>
                <c:pt idx="504">
                  <c:v>10</c:v>
                </c:pt>
                <c:pt idx="505">
                  <c:v>10</c:v>
                </c:pt>
                <c:pt idx="506">
                  <c:v>10</c:v>
                </c:pt>
                <c:pt idx="507">
                  <c:v>10</c:v>
                </c:pt>
                <c:pt idx="508">
                  <c:v>10</c:v>
                </c:pt>
                <c:pt idx="509">
                  <c:v>10</c:v>
                </c:pt>
                <c:pt idx="510">
                  <c:v>10</c:v>
                </c:pt>
                <c:pt idx="511">
                  <c:v>10</c:v>
                </c:pt>
                <c:pt idx="512">
                  <c:v>10</c:v>
                </c:pt>
                <c:pt idx="513">
                  <c:v>10</c:v>
                </c:pt>
                <c:pt idx="514">
                  <c:v>10</c:v>
                </c:pt>
                <c:pt idx="515">
                  <c:v>10</c:v>
                </c:pt>
                <c:pt idx="516">
                  <c:v>10</c:v>
                </c:pt>
                <c:pt idx="517">
                  <c:v>10</c:v>
                </c:pt>
                <c:pt idx="518">
                  <c:v>10</c:v>
                </c:pt>
                <c:pt idx="519">
                  <c:v>10</c:v>
                </c:pt>
                <c:pt idx="520">
                  <c:v>10</c:v>
                </c:pt>
                <c:pt idx="521">
                  <c:v>10</c:v>
                </c:pt>
                <c:pt idx="522">
                  <c:v>10</c:v>
                </c:pt>
                <c:pt idx="523">
                  <c:v>10</c:v>
                </c:pt>
                <c:pt idx="524">
                  <c:v>10</c:v>
                </c:pt>
                <c:pt idx="525">
                  <c:v>10</c:v>
                </c:pt>
                <c:pt idx="526">
                  <c:v>10</c:v>
                </c:pt>
                <c:pt idx="527">
                  <c:v>10</c:v>
                </c:pt>
                <c:pt idx="528">
                  <c:v>10</c:v>
                </c:pt>
                <c:pt idx="529">
                  <c:v>10</c:v>
                </c:pt>
                <c:pt idx="530">
                  <c:v>10</c:v>
                </c:pt>
                <c:pt idx="531">
                  <c:v>10</c:v>
                </c:pt>
                <c:pt idx="532">
                  <c:v>10</c:v>
                </c:pt>
                <c:pt idx="533">
                  <c:v>10</c:v>
                </c:pt>
                <c:pt idx="534">
                  <c:v>10</c:v>
                </c:pt>
                <c:pt idx="535">
                  <c:v>10</c:v>
                </c:pt>
                <c:pt idx="536">
                  <c:v>10</c:v>
                </c:pt>
                <c:pt idx="537">
                  <c:v>10</c:v>
                </c:pt>
                <c:pt idx="538">
                  <c:v>10</c:v>
                </c:pt>
                <c:pt idx="539">
                  <c:v>10</c:v>
                </c:pt>
                <c:pt idx="540">
                  <c:v>10</c:v>
                </c:pt>
                <c:pt idx="541">
                  <c:v>10</c:v>
                </c:pt>
                <c:pt idx="542">
                  <c:v>10</c:v>
                </c:pt>
                <c:pt idx="543">
                  <c:v>10</c:v>
                </c:pt>
                <c:pt idx="544">
                  <c:v>10</c:v>
                </c:pt>
                <c:pt idx="545">
                  <c:v>10</c:v>
                </c:pt>
                <c:pt idx="546">
                  <c:v>10</c:v>
                </c:pt>
                <c:pt idx="547">
                  <c:v>10</c:v>
                </c:pt>
                <c:pt idx="548">
                  <c:v>10</c:v>
                </c:pt>
                <c:pt idx="549">
                  <c:v>10</c:v>
                </c:pt>
                <c:pt idx="550">
                  <c:v>10</c:v>
                </c:pt>
                <c:pt idx="551">
                  <c:v>10</c:v>
                </c:pt>
                <c:pt idx="552">
                  <c:v>10</c:v>
                </c:pt>
                <c:pt idx="553">
                  <c:v>10</c:v>
                </c:pt>
                <c:pt idx="554">
                  <c:v>10</c:v>
                </c:pt>
                <c:pt idx="555">
                  <c:v>10</c:v>
                </c:pt>
                <c:pt idx="556">
                  <c:v>10</c:v>
                </c:pt>
                <c:pt idx="557">
                  <c:v>10</c:v>
                </c:pt>
                <c:pt idx="558">
                  <c:v>10</c:v>
                </c:pt>
                <c:pt idx="559">
                  <c:v>10</c:v>
                </c:pt>
                <c:pt idx="560">
                  <c:v>10</c:v>
                </c:pt>
                <c:pt idx="561">
                  <c:v>10</c:v>
                </c:pt>
                <c:pt idx="562">
                  <c:v>10</c:v>
                </c:pt>
                <c:pt idx="563">
                  <c:v>10</c:v>
                </c:pt>
                <c:pt idx="564">
                  <c:v>10</c:v>
                </c:pt>
                <c:pt idx="565">
                  <c:v>10</c:v>
                </c:pt>
                <c:pt idx="566">
                  <c:v>10</c:v>
                </c:pt>
                <c:pt idx="567">
                  <c:v>10</c:v>
                </c:pt>
                <c:pt idx="568">
                  <c:v>10</c:v>
                </c:pt>
                <c:pt idx="569">
                  <c:v>10</c:v>
                </c:pt>
                <c:pt idx="570">
                  <c:v>10</c:v>
                </c:pt>
                <c:pt idx="571">
                  <c:v>10</c:v>
                </c:pt>
                <c:pt idx="572">
                  <c:v>10</c:v>
                </c:pt>
                <c:pt idx="573">
                  <c:v>10</c:v>
                </c:pt>
                <c:pt idx="574">
                  <c:v>10</c:v>
                </c:pt>
                <c:pt idx="575">
                  <c:v>10</c:v>
                </c:pt>
                <c:pt idx="576">
                  <c:v>10</c:v>
                </c:pt>
                <c:pt idx="577">
                  <c:v>10</c:v>
                </c:pt>
                <c:pt idx="578">
                  <c:v>10</c:v>
                </c:pt>
                <c:pt idx="579">
                  <c:v>10</c:v>
                </c:pt>
                <c:pt idx="580">
                  <c:v>10</c:v>
                </c:pt>
                <c:pt idx="581">
                  <c:v>10</c:v>
                </c:pt>
                <c:pt idx="582">
                  <c:v>10</c:v>
                </c:pt>
                <c:pt idx="583">
                  <c:v>10</c:v>
                </c:pt>
                <c:pt idx="584">
                  <c:v>10</c:v>
                </c:pt>
                <c:pt idx="585">
                  <c:v>10</c:v>
                </c:pt>
                <c:pt idx="586">
                  <c:v>10</c:v>
                </c:pt>
                <c:pt idx="587">
                  <c:v>16.73</c:v>
                </c:pt>
                <c:pt idx="588">
                  <c:v>21.45</c:v>
                </c:pt>
                <c:pt idx="589">
                  <c:v>25</c:v>
                </c:pt>
                <c:pt idx="590">
                  <c:v>25</c:v>
                </c:pt>
                <c:pt idx="591">
                  <c:v>25</c:v>
                </c:pt>
                <c:pt idx="592">
                  <c:v>25</c:v>
                </c:pt>
                <c:pt idx="593">
                  <c:v>25</c:v>
                </c:pt>
                <c:pt idx="594">
                  <c:v>25</c:v>
                </c:pt>
                <c:pt idx="595">
                  <c:v>25</c:v>
                </c:pt>
                <c:pt idx="596">
                  <c:v>25</c:v>
                </c:pt>
                <c:pt idx="597">
                  <c:v>25</c:v>
                </c:pt>
                <c:pt idx="598">
                  <c:v>25</c:v>
                </c:pt>
                <c:pt idx="599">
                  <c:v>25</c:v>
                </c:pt>
                <c:pt idx="600">
                  <c:v>25</c:v>
                </c:pt>
                <c:pt idx="601">
                  <c:v>25</c:v>
                </c:pt>
                <c:pt idx="602">
                  <c:v>25</c:v>
                </c:pt>
                <c:pt idx="603">
                  <c:v>25</c:v>
                </c:pt>
                <c:pt idx="604">
                  <c:v>25</c:v>
                </c:pt>
                <c:pt idx="605">
                  <c:v>25</c:v>
                </c:pt>
                <c:pt idx="606">
                  <c:v>25</c:v>
                </c:pt>
                <c:pt idx="607">
                  <c:v>25</c:v>
                </c:pt>
                <c:pt idx="608">
                  <c:v>25</c:v>
                </c:pt>
                <c:pt idx="609">
                  <c:v>25</c:v>
                </c:pt>
                <c:pt idx="610">
                  <c:v>25</c:v>
                </c:pt>
                <c:pt idx="611">
                  <c:v>25</c:v>
                </c:pt>
                <c:pt idx="612">
                  <c:v>25</c:v>
                </c:pt>
                <c:pt idx="613">
                  <c:v>25</c:v>
                </c:pt>
                <c:pt idx="614">
                  <c:v>25</c:v>
                </c:pt>
                <c:pt idx="615">
                  <c:v>25</c:v>
                </c:pt>
                <c:pt idx="616">
                  <c:v>25</c:v>
                </c:pt>
                <c:pt idx="617">
                  <c:v>25</c:v>
                </c:pt>
                <c:pt idx="618">
                  <c:v>25</c:v>
                </c:pt>
                <c:pt idx="619">
                  <c:v>25</c:v>
                </c:pt>
                <c:pt idx="620">
                  <c:v>25</c:v>
                </c:pt>
                <c:pt idx="621">
                  <c:v>25</c:v>
                </c:pt>
                <c:pt idx="622">
                  <c:v>25</c:v>
                </c:pt>
                <c:pt idx="623">
                  <c:v>25</c:v>
                </c:pt>
                <c:pt idx="624">
                  <c:v>25</c:v>
                </c:pt>
                <c:pt idx="625">
                  <c:v>25</c:v>
                </c:pt>
                <c:pt idx="626">
                  <c:v>25</c:v>
                </c:pt>
                <c:pt idx="627">
                  <c:v>25</c:v>
                </c:pt>
                <c:pt idx="628">
                  <c:v>25</c:v>
                </c:pt>
                <c:pt idx="629">
                  <c:v>25</c:v>
                </c:pt>
                <c:pt idx="630">
                  <c:v>25</c:v>
                </c:pt>
                <c:pt idx="631">
                  <c:v>25</c:v>
                </c:pt>
                <c:pt idx="632">
                  <c:v>25</c:v>
                </c:pt>
                <c:pt idx="633">
                  <c:v>25</c:v>
                </c:pt>
                <c:pt idx="634">
                  <c:v>25</c:v>
                </c:pt>
                <c:pt idx="635">
                  <c:v>25</c:v>
                </c:pt>
                <c:pt idx="636">
                  <c:v>25</c:v>
                </c:pt>
                <c:pt idx="637">
                  <c:v>25</c:v>
                </c:pt>
                <c:pt idx="638">
                  <c:v>25</c:v>
                </c:pt>
                <c:pt idx="639">
                  <c:v>25</c:v>
                </c:pt>
                <c:pt idx="640">
                  <c:v>25</c:v>
                </c:pt>
                <c:pt idx="641">
                  <c:v>25</c:v>
                </c:pt>
                <c:pt idx="642">
                  <c:v>25</c:v>
                </c:pt>
                <c:pt idx="643">
                  <c:v>25</c:v>
                </c:pt>
                <c:pt idx="644">
                  <c:v>25</c:v>
                </c:pt>
                <c:pt idx="645">
                  <c:v>25</c:v>
                </c:pt>
                <c:pt idx="646">
                  <c:v>25</c:v>
                </c:pt>
                <c:pt idx="647">
                  <c:v>25</c:v>
                </c:pt>
                <c:pt idx="648">
                  <c:v>25</c:v>
                </c:pt>
                <c:pt idx="649">
                  <c:v>25</c:v>
                </c:pt>
                <c:pt idx="650">
                  <c:v>25</c:v>
                </c:pt>
                <c:pt idx="651">
                  <c:v>25</c:v>
                </c:pt>
                <c:pt idx="652">
                  <c:v>25</c:v>
                </c:pt>
                <c:pt idx="653">
                  <c:v>25</c:v>
                </c:pt>
                <c:pt idx="654">
                  <c:v>25</c:v>
                </c:pt>
                <c:pt idx="655">
                  <c:v>25</c:v>
                </c:pt>
                <c:pt idx="656">
                  <c:v>25</c:v>
                </c:pt>
                <c:pt idx="657">
                  <c:v>25</c:v>
                </c:pt>
                <c:pt idx="658">
                  <c:v>25</c:v>
                </c:pt>
                <c:pt idx="659">
                  <c:v>25</c:v>
                </c:pt>
                <c:pt idx="660">
                  <c:v>25</c:v>
                </c:pt>
                <c:pt idx="661">
                  <c:v>25</c:v>
                </c:pt>
                <c:pt idx="662">
                  <c:v>25</c:v>
                </c:pt>
                <c:pt idx="663">
                  <c:v>25</c:v>
                </c:pt>
                <c:pt idx="664">
                  <c:v>25</c:v>
                </c:pt>
                <c:pt idx="665">
                  <c:v>25</c:v>
                </c:pt>
                <c:pt idx="666">
                  <c:v>25</c:v>
                </c:pt>
                <c:pt idx="667">
                  <c:v>25</c:v>
                </c:pt>
                <c:pt idx="668">
                  <c:v>25</c:v>
                </c:pt>
                <c:pt idx="669">
                  <c:v>25</c:v>
                </c:pt>
                <c:pt idx="670">
                  <c:v>25</c:v>
                </c:pt>
                <c:pt idx="671">
                  <c:v>25</c:v>
                </c:pt>
                <c:pt idx="672">
                  <c:v>25</c:v>
                </c:pt>
                <c:pt idx="673">
                  <c:v>25</c:v>
                </c:pt>
                <c:pt idx="674">
                  <c:v>25</c:v>
                </c:pt>
                <c:pt idx="675">
                  <c:v>25</c:v>
                </c:pt>
                <c:pt idx="676">
                  <c:v>25</c:v>
                </c:pt>
                <c:pt idx="677">
                  <c:v>25</c:v>
                </c:pt>
                <c:pt idx="678">
                  <c:v>25</c:v>
                </c:pt>
                <c:pt idx="679">
                  <c:v>25</c:v>
                </c:pt>
                <c:pt idx="680">
                  <c:v>25</c:v>
                </c:pt>
                <c:pt idx="681">
                  <c:v>25</c:v>
                </c:pt>
                <c:pt idx="682">
                  <c:v>25</c:v>
                </c:pt>
                <c:pt idx="683">
                  <c:v>25</c:v>
                </c:pt>
                <c:pt idx="684">
                  <c:v>25</c:v>
                </c:pt>
                <c:pt idx="685">
                  <c:v>25</c:v>
                </c:pt>
                <c:pt idx="686">
                  <c:v>25</c:v>
                </c:pt>
                <c:pt idx="687">
                  <c:v>25</c:v>
                </c:pt>
                <c:pt idx="688">
                  <c:v>25</c:v>
                </c:pt>
                <c:pt idx="689">
                  <c:v>25</c:v>
                </c:pt>
                <c:pt idx="690">
                  <c:v>25</c:v>
                </c:pt>
                <c:pt idx="691">
                  <c:v>25</c:v>
                </c:pt>
                <c:pt idx="692">
                  <c:v>25</c:v>
                </c:pt>
                <c:pt idx="693">
                  <c:v>25</c:v>
                </c:pt>
                <c:pt idx="694">
                  <c:v>25</c:v>
                </c:pt>
                <c:pt idx="695">
                  <c:v>25</c:v>
                </c:pt>
                <c:pt idx="696">
                  <c:v>25</c:v>
                </c:pt>
                <c:pt idx="697">
                  <c:v>25</c:v>
                </c:pt>
                <c:pt idx="698">
                  <c:v>25</c:v>
                </c:pt>
                <c:pt idx="699">
                  <c:v>25</c:v>
                </c:pt>
                <c:pt idx="700">
                  <c:v>25</c:v>
                </c:pt>
                <c:pt idx="701">
                  <c:v>25</c:v>
                </c:pt>
                <c:pt idx="702">
                  <c:v>25</c:v>
                </c:pt>
                <c:pt idx="703">
                  <c:v>25</c:v>
                </c:pt>
                <c:pt idx="704">
                  <c:v>25</c:v>
                </c:pt>
                <c:pt idx="705">
                  <c:v>25</c:v>
                </c:pt>
                <c:pt idx="706">
                  <c:v>25</c:v>
                </c:pt>
                <c:pt idx="707">
                  <c:v>25</c:v>
                </c:pt>
                <c:pt idx="708">
                  <c:v>25</c:v>
                </c:pt>
                <c:pt idx="709">
                  <c:v>25</c:v>
                </c:pt>
                <c:pt idx="710">
                  <c:v>25</c:v>
                </c:pt>
                <c:pt idx="711">
                  <c:v>25</c:v>
                </c:pt>
                <c:pt idx="712">
                  <c:v>25</c:v>
                </c:pt>
                <c:pt idx="713">
                  <c:v>25</c:v>
                </c:pt>
                <c:pt idx="714">
                  <c:v>25</c:v>
                </c:pt>
                <c:pt idx="715">
                  <c:v>25</c:v>
                </c:pt>
                <c:pt idx="716">
                  <c:v>25</c:v>
                </c:pt>
                <c:pt idx="717">
                  <c:v>25</c:v>
                </c:pt>
                <c:pt idx="718">
                  <c:v>25</c:v>
                </c:pt>
                <c:pt idx="719">
                  <c:v>25</c:v>
                </c:pt>
                <c:pt idx="720">
                  <c:v>25</c:v>
                </c:pt>
                <c:pt idx="721">
                  <c:v>25</c:v>
                </c:pt>
                <c:pt idx="722">
                  <c:v>25</c:v>
                </c:pt>
                <c:pt idx="723">
                  <c:v>25</c:v>
                </c:pt>
                <c:pt idx="724">
                  <c:v>25</c:v>
                </c:pt>
                <c:pt idx="725">
                  <c:v>25</c:v>
                </c:pt>
                <c:pt idx="726">
                  <c:v>25</c:v>
                </c:pt>
                <c:pt idx="727">
                  <c:v>25</c:v>
                </c:pt>
                <c:pt idx="728">
                  <c:v>25</c:v>
                </c:pt>
                <c:pt idx="729">
                  <c:v>25</c:v>
                </c:pt>
                <c:pt idx="730">
                  <c:v>25</c:v>
                </c:pt>
                <c:pt idx="731">
                  <c:v>25</c:v>
                </c:pt>
                <c:pt idx="732">
                  <c:v>25</c:v>
                </c:pt>
                <c:pt idx="733">
                  <c:v>25</c:v>
                </c:pt>
                <c:pt idx="734">
                  <c:v>25</c:v>
                </c:pt>
                <c:pt idx="735">
                  <c:v>25</c:v>
                </c:pt>
                <c:pt idx="736">
                  <c:v>25</c:v>
                </c:pt>
                <c:pt idx="737">
                  <c:v>25</c:v>
                </c:pt>
                <c:pt idx="738">
                  <c:v>25</c:v>
                </c:pt>
                <c:pt idx="739">
                  <c:v>25</c:v>
                </c:pt>
                <c:pt idx="740">
                  <c:v>25</c:v>
                </c:pt>
                <c:pt idx="741">
                  <c:v>25</c:v>
                </c:pt>
                <c:pt idx="742">
                  <c:v>25</c:v>
                </c:pt>
                <c:pt idx="743">
                  <c:v>25</c:v>
                </c:pt>
                <c:pt idx="744">
                  <c:v>25</c:v>
                </c:pt>
                <c:pt idx="745">
                  <c:v>25</c:v>
                </c:pt>
                <c:pt idx="746">
                  <c:v>25</c:v>
                </c:pt>
                <c:pt idx="747">
                  <c:v>25</c:v>
                </c:pt>
                <c:pt idx="748">
                  <c:v>25</c:v>
                </c:pt>
                <c:pt idx="749">
                  <c:v>25</c:v>
                </c:pt>
                <c:pt idx="750">
                  <c:v>25</c:v>
                </c:pt>
                <c:pt idx="751">
                  <c:v>25</c:v>
                </c:pt>
                <c:pt idx="752">
                  <c:v>25</c:v>
                </c:pt>
                <c:pt idx="753">
                  <c:v>25</c:v>
                </c:pt>
                <c:pt idx="754">
                  <c:v>25</c:v>
                </c:pt>
                <c:pt idx="755">
                  <c:v>25</c:v>
                </c:pt>
                <c:pt idx="756">
                  <c:v>25</c:v>
                </c:pt>
                <c:pt idx="757">
                  <c:v>25</c:v>
                </c:pt>
                <c:pt idx="758">
                  <c:v>25</c:v>
                </c:pt>
                <c:pt idx="759">
                  <c:v>25</c:v>
                </c:pt>
                <c:pt idx="760">
                  <c:v>25</c:v>
                </c:pt>
                <c:pt idx="761">
                  <c:v>25</c:v>
                </c:pt>
                <c:pt idx="762">
                  <c:v>25</c:v>
                </c:pt>
                <c:pt idx="763">
                  <c:v>25</c:v>
                </c:pt>
                <c:pt idx="764">
                  <c:v>25</c:v>
                </c:pt>
                <c:pt idx="765">
                  <c:v>25</c:v>
                </c:pt>
                <c:pt idx="766">
                  <c:v>25</c:v>
                </c:pt>
                <c:pt idx="767">
                  <c:v>25</c:v>
                </c:pt>
                <c:pt idx="768">
                  <c:v>25</c:v>
                </c:pt>
                <c:pt idx="769">
                  <c:v>25</c:v>
                </c:pt>
                <c:pt idx="770">
                  <c:v>25</c:v>
                </c:pt>
                <c:pt idx="771">
                  <c:v>25</c:v>
                </c:pt>
                <c:pt idx="772">
                  <c:v>25</c:v>
                </c:pt>
                <c:pt idx="773">
                  <c:v>25</c:v>
                </c:pt>
                <c:pt idx="774">
                  <c:v>25</c:v>
                </c:pt>
                <c:pt idx="775">
                  <c:v>25</c:v>
                </c:pt>
                <c:pt idx="776">
                  <c:v>25</c:v>
                </c:pt>
                <c:pt idx="777">
                  <c:v>25</c:v>
                </c:pt>
                <c:pt idx="778">
                  <c:v>25</c:v>
                </c:pt>
                <c:pt idx="779">
                  <c:v>25</c:v>
                </c:pt>
                <c:pt idx="780">
                  <c:v>25</c:v>
                </c:pt>
                <c:pt idx="781">
                  <c:v>25</c:v>
                </c:pt>
                <c:pt idx="782">
                  <c:v>25</c:v>
                </c:pt>
                <c:pt idx="783">
                  <c:v>25</c:v>
                </c:pt>
                <c:pt idx="784">
                  <c:v>25</c:v>
                </c:pt>
                <c:pt idx="785">
                  <c:v>25</c:v>
                </c:pt>
                <c:pt idx="786">
                  <c:v>25</c:v>
                </c:pt>
                <c:pt idx="787">
                  <c:v>25</c:v>
                </c:pt>
                <c:pt idx="788">
                  <c:v>25</c:v>
                </c:pt>
                <c:pt idx="789">
                  <c:v>25</c:v>
                </c:pt>
                <c:pt idx="790">
                  <c:v>25</c:v>
                </c:pt>
                <c:pt idx="791">
                  <c:v>25</c:v>
                </c:pt>
                <c:pt idx="792">
                  <c:v>25</c:v>
                </c:pt>
                <c:pt idx="793">
                  <c:v>25</c:v>
                </c:pt>
                <c:pt idx="794">
                  <c:v>25</c:v>
                </c:pt>
                <c:pt idx="795">
                  <c:v>25</c:v>
                </c:pt>
                <c:pt idx="796">
                  <c:v>25</c:v>
                </c:pt>
                <c:pt idx="797">
                  <c:v>25</c:v>
                </c:pt>
                <c:pt idx="798">
                  <c:v>25</c:v>
                </c:pt>
                <c:pt idx="799">
                  <c:v>25</c:v>
                </c:pt>
                <c:pt idx="800">
                  <c:v>25</c:v>
                </c:pt>
                <c:pt idx="801">
                  <c:v>25</c:v>
                </c:pt>
                <c:pt idx="802">
                  <c:v>25</c:v>
                </c:pt>
                <c:pt idx="803">
                  <c:v>25</c:v>
                </c:pt>
                <c:pt idx="804">
                  <c:v>25</c:v>
                </c:pt>
                <c:pt idx="805">
                  <c:v>25</c:v>
                </c:pt>
                <c:pt idx="806">
                  <c:v>25</c:v>
                </c:pt>
                <c:pt idx="807">
                  <c:v>25</c:v>
                </c:pt>
                <c:pt idx="808">
                  <c:v>25</c:v>
                </c:pt>
                <c:pt idx="809">
                  <c:v>25</c:v>
                </c:pt>
                <c:pt idx="810">
                  <c:v>25</c:v>
                </c:pt>
                <c:pt idx="811">
                  <c:v>25</c:v>
                </c:pt>
                <c:pt idx="812">
                  <c:v>25</c:v>
                </c:pt>
                <c:pt idx="813">
                  <c:v>25</c:v>
                </c:pt>
                <c:pt idx="814">
                  <c:v>25</c:v>
                </c:pt>
                <c:pt idx="815">
                  <c:v>25</c:v>
                </c:pt>
                <c:pt idx="816">
                  <c:v>25</c:v>
                </c:pt>
                <c:pt idx="817">
                  <c:v>25</c:v>
                </c:pt>
                <c:pt idx="818">
                  <c:v>25</c:v>
                </c:pt>
                <c:pt idx="819">
                  <c:v>25</c:v>
                </c:pt>
                <c:pt idx="820">
                  <c:v>25</c:v>
                </c:pt>
                <c:pt idx="821">
                  <c:v>25</c:v>
                </c:pt>
                <c:pt idx="822">
                  <c:v>25</c:v>
                </c:pt>
                <c:pt idx="823">
                  <c:v>25</c:v>
                </c:pt>
                <c:pt idx="824">
                  <c:v>25</c:v>
                </c:pt>
                <c:pt idx="825">
                  <c:v>25</c:v>
                </c:pt>
                <c:pt idx="826">
                  <c:v>25</c:v>
                </c:pt>
                <c:pt idx="827">
                  <c:v>25</c:v>
                </c:pt>
                <c:pt idx="828">
                  <c:v>25</c:v>
                </c:pt>
                <c:pt idx="829">
                  <c:v>25</c:v>
                </c:pt>
                <c:pt idx="830">
                  <c:v>25</c:v>
                </c:pt>
                <c:pt idx="831">
                  <c:v>25</c:v>
                </c:pt>
                <c:pt idx="832">
                  <c:v>25</c:v>
                </c:pt>
                <c:pt idx="833">
                  <c:v>25</c:v>
                </c:pt>
                <c:pt idx="834">
                  <c:v>25</c:v>
                </c:pt>
                <c:pt idx="835">
                  <c:v>25</c:v>
                </c:pt>
                <c:pt idx="836">
                  <c:v>25</c:v>
                </c:pt>
                <c:pt idx="837">
                  <c:v>25</c:v>
                </c:pt>
                <c:pt idx="838">
                  <c:v>25</c:v>
                </c:pt>
                <c:pt idx="839">
                  <c:v>25</c:v>
                </c:pt>
                <c:pt idx="840">
                  <c:v>25</c:v>
                </c:pt>
                <c:pt idx="841">
                  <c:v>25</c:v>
                </c:pt>
                <c:pt idx="842">
                  <c:v>25</c:v>
                </c:pt>
                <c:pt idx="843">
                  <c:v>25</c:v>
                </c:pt>
                <c:pt idx="844">
                  <c:v>25</c:v>
                </c:pt>
                <c:pt idx="845">
                  <c:v>25</c:v>
                </c:pt>
                <c:pt idx="846">
                  <c:v>25</c:v>
                </c:pt>
                <c:pt idx="847">
                  <c:v>25</c:v>
                </c:pt>
                <c:pt idx="848">
                  <c:v>25</c:v>
                </c:pt>
                <c:pt idx="849">
                  <c:v>25</c:v>
                </c:pt>
                <c:pt idx="850">
                  <c:v>25</c:v>
                </c:pt>
                <c:pt idx="851">
                  <c:v>25</c:v>
                </c:pt>
                <c:pt idx="852">
                  <c:v>25</c:v>
                </c:pt>
                <c:pt idx="853">
                  <c:v>25</c:v>
                </c:pt>
                <c:pt idx="854">
                  <c:v>25</c:v>
                </c:pt>
                <c:pt idx="855">
                  <c:v>25</c:v>
                </c:pt>
                <c:pt idx="856">
                  <c:v>25</c:v>
                </c:pt>
                <c:pt idx="857">
                  <c:v>25</c:v>
                </c:pt>
                <c:pt idx="858">
                  <c:v>25</c:v>
                </c:pt>
                <c:pt idx="859">
                  <c:v>25</c:v>
                </c:pt>
                <c:pt idx="860">
                  <c:v>25</c:v>
                </c:pt>
                <c:pt idx="861">
                  <c:v>25</c:v>
                </c:pt>
                <c:pt idx="862">
                  <c:v>25</c:v>
                </c:pt>
                <c:pt idx="863">
                  <c:v>25</c:v>
                </c:pt>
                <c:pt idx="864">
                  <c:v>25</c:v>
                </c:pt>
                <c:pt idx="865">
                  <c:v>25</c:v>
                </c:pt>
                <c:pt idx="866">
                  <c:v>25</c:v>
                </c:pt>
                <c:pt idx="867">
                  <c:v>25</c:v>
                </c:pt>
                <c:pt idx="868">
                  <c:v>25</c:v>
                </c:pt>
                <c:pt idx="869">
                  <c:v>25</c:v>
                </c:pt>
                <c:pt idx="870">
                  <c:v>25</c:v>
                </c:pt>
                <c:pt idx="871">
                  <c:v>25</c:v>
                </c:pt>
                <c:pt idx="872">
                  <c:v>25</c:v>
                </c:pt>
                <c:pt idx="873">
                  <c:v>25</c:v>
                </c:pt>
                <c:pt idx="874">
                  <c:v>25</c:v>
                </c:pt>
                <c:pt idx="875">
                  <c:v>25</c:v>
                </c:pt>
                <c:pt idx="876">
                  <c:v>25</c:v>
                </c:pt>
                <c:pt idx="877">
                  <c:v>25</c:v>
                </c:pt>
                <c:pt idx="878">
                  <c:v>25</c:v>
                </c:pt>
                <c:pt idx="879">
                  <c:v>25</c:v>
                </c:pt>
                <c:pt idx="880">
                  <c:v>25</c:v>
                </c:pt>
                <c:pt idx="881">
                  <c:v>25</c:v>
                </c:pt>
                <c:pt idx="882">
                  <c:v>25</c:v>
                </c:pt>
                <c:pt idx="883">
                  <c:v>25</c:v>
                </c:pt>
                <c:pt idx="884">
                  <c:v>25</c:v>
                </c:pt>
                <c:pt idx="885">
                  <c:v>25</c:v>
                </c:pt>
                <c:pt idx="886">
                  <c:v>25</c:v>
                </c:pt>
                <c:pt idx="887">
                  <c:v>25</c:v>
                </c:pt>
                <c:pt idx="888">
                  <c:v>25</c:v>
                </c:pt>
                <c:pt idx="889">
                  <c:v>25</c:v>
                </c:pt>
                <c:pt idx="890">
                  <c:v>25</c:v>
                </c:pt>
                <c:pt idx="891">
                  <c:v>25</c:v>
                </c:pt>
                <c:pt idx="892">
                  <c:v>25</c:v>
                </c:pt>
                <c:pt idx="893">
                  <c:v>25</c:v>
                </c:pt>
                <c:pt idx="894">
                  <c:v>25</c:v>
                </c:pt>
                <c:pt idx="895">
                  <c:v>25</c:v>
                </c:pt>
                <c:pt idx="896">
                  <c:v>25</c:v>
                </c:pt>
                <c:pt idx="897">
                  <c:v>25</c:v>
                </c:pt>
                <c:pt idx="898">
                  <c:v>25</c:v>
                </c:pt>
                <c:pt idx="899">
                  <c:v>25</c:v>
                </c:pt>
                <c:pt idx="900">
                  <c:v>25</c:v>
                </c:pt>
                <c:pt idx="901">
                  <c:v>25</c:v>
                </c:pt>
                <c:pt idx="902">
                  <c:v>25</c:v>
                </c:pt>
                <c:pt idx="903">
                  <c:v>25</c:v>
                </c:pt>
                <c:pt idx="904">
                  <c:v>25</c:v>
                </c:pt>
                <c:pt idx="905">
                  <c:v>25</c:v>
                </c:pt>
                <c:pt idx="906">
                  <c:v>25</c:v>
                </c:pt>
                <c:pt idx="907">
                  <c:v>25</c:v>
                </c:pt>
                <c:pt idx="908">
                  <c:v>25</c:v>
                </c:pt>
                <c:pt idx="909">
                  <c:v>25</c:v>
                </c:pt>
                <c:pt idx="910">
                  <c:v>25</c:v>
                </c:pt>
                <c:pt idx="911">
                  <c:v>21.45</c:v>
                </c:pt>
                <c:pt idx="912">
                  <c:v>16.73</c:v>
                </c:pt>
                <c:pt idx="913">
                  <c:v>10</c:v>
                </c:pt>
                <c:pt idx="914">
                  <c:v>10</c:v>
                </c:pt>
                <c:pt idx="915">
                  <c:v>10</c:v>
                </c:pt>
                <c:pt idx="916">
                  <c:v>10</c:v>
                </c:pt>
                <c:pt idx="917">
                  <c:v>10</c:v>
                </c:pt>
                <c:pt idx="918">
                  <c:v>10</c:v>
                </c:pt>
                <c:pt idx="919">
                  <c:v>10</c:v>
                </c:pt>
                <c:pt idx="920">
                  <c:v>10</c:v>
                </c:pt>
                <c:pt idx="921">
                  <c:v>10</c:v>
                </c:pt>
                <c:pt idx="922">
                  <c:v>10</c:v>
                </c:pt>
                <c:pt idx="923">
                  <c:v>10</c:v>
                </c:pt>
                <c:pt idx="924">
                  <c:v>10</c:v>
                </c:pt>
                <c:pt idx="925">
                  <c:v>10</c:v>
                </c:pt>
                <c:pt idx="926">
                  <c:v>10</c:v>
                </c:pt>
                <c:pt idx="927">
                  <c:v>10</c:v>
                </c:pt>
                <c:pt idx="928">
                  <c:v>10</c:v>
                </c:pt>
                <c:pt idx="929">
                  <c:v>10</c:v>
                </c:pt>
                <c:pt idx="930">
                  <c:v>10</c:v>
                </c:pt>
                <c:pt idx="931">
                  <c:v>10</c:v>
                </c:pt>
                <c:pt idx="932">
                  <c:v>10</c:v>
                </c:pt>
                <c:pt idx="933">
                  <c:v>10</c:v>
                </c:pt>
                <c:pt idx="934">
                  <c:v>10</c:v>
                </c:pt>
                <c:pt idx="935">
                  <c:v>10</c:v>
                </c:pt>
                <c:pt idx="936">
                  <c:v>10</c:v>
                </c:pt>
                <c:pt idx="937">
                  <c:v>10</c:v>
                </c:pt>
                <c:pt idx="938">
                  <c:v>10</c:v>
                </c:pt>
                <c:pt idx="939">
                  <c:v>10</c:v>
                </c:pt>
                <c:pt idx="940">
                  <c:v>10</c:v>
                </c:pt>
                <c:pt idx="941">
                  <c:v>10</c:v>
                </c:pt>
                <c:pt idx="942">
                  <c:v>10</c:v>
                </c:pt>
                <c:pt idx="943">
                  <c:v>10</c:v>
                </c:pt>
                <c:pt idx="944">
                  <c:v>10</c:v>
                </c:pt>
                <c:pt idx="945">
                  <c:v>0</c:v>
                </c:pt>
                <c:pt idx="946">
                  <c:v>13.42</c:v>
                </c:pt>
                <c:pt idx="947">
                  <c:v>18.97</c:v>
                </c:pt>
                <c:pt idx="948">
                  <c:v>23.24</c:v>
                </c:pt>
                <c:pt idx="949">
                  <c:v>25</c:v>
                </c:pt>
                <c:pt idx="950">
                  <c:v>25</c:v>
                </c:pt>
                <c:pt idx="951">
                  <c:v>25</c:v>
                </c:pt>
                <c:pt idx="952">
                  <c:v>25</c:v>
                </c:pt>
                <c:pt idx="953">
                  <c:v>25</c:v>
                </c:pt>
                <c:pt idx="954">
                  <c:v>25</c:v>
                </c:pt>
                <c:pt idx="955">
                  <c:v>25</c:v>
                </c:pt>
                <c:pt idx="956">
                  <c:v>25</c:v>
                </c:pt>
                <c:pt idx="957">
                  <c:v>25</c:v>
                </c:pt>
                <c:pt idx="958">
                  <c:v>25</c:v>
                </c:pt>
                <c:pt idx="959">
                  <c:v>25</c:v>
                </c:pt>
                <c:pt idx="960">
                  <c:v>25</c:v>
                </c:pt>
                <c:pt idx="961">
                  <c:v>25</c:v>
                </c:pt>
                <c:pt idx="962">
                  <c:v>25</c:v>
                </c:pt>
                <c:pt idx="963">
                  <c:v>25</c:v>
                </c:pt>
                <c:pt idx="964">
                  <c:v>25</c:v>
                </c:pt>
                <c:pt idx="965">
                  <c:v>25</c:v>
                </c:pt>
                <c:pt idx="966">
                  <c:v>25</c:v>
                </c:pt>
                <c:pt idx="967">
                  <c:v>25</c:v>
                </c:pt>
                <c:pt idx="968">
                  <c:v>25</c:v>
                </c:pt>
                <c:pt idx="969">
                  <c:v>25</c:v>
                </c:pt>
                <c:pt idx="970">
                  <c:v>25</c:v>
                </c:pt>
                <c:pt idx="971">
                  <c:v>25</c:v>
                </c:pt>
                <c:pt idx="972">
                  <c:v>25</c:v>
                </c:pt>
                <c:pt idx="973">
                  <c:v>25</c:v>
                </c:pt>
                <c:pt idx="974">
                  <c:v>25</c:v>
                </c:pt>
                <c:pt idx="975">
                  <c:v>25</c:v>
                </c:pt>
                <c:pt idx="976">
                  <c:v>25</c:v>
                </c:pt>
                <c:pt idx="977">
                  <c:v>25</c:v>
                </c:pt>
                <c:pt idx="978">
                  <c:v>25</c:v>
                </c:pt>
                <c:pt idx="979">
                  <c:v>25</c:v>
                </c:pt>
                <c:pt idx="980">
                  <c:v>25</c:v>
                </c:pt>
                <c:pt idx="981">
                  <c:v>25</c:v>
                </c:pt>
                <c:pt idx="982">
                  <c:v>25</c:v>
                </c:pt>
                <c:pt idx="983">
                  <c:v>25</c:v>
                </c:pt>
                <c:pt idx="984">
                  <c:v>25</c:v>
                </c:pt>
                <c:pt idx="985">
                  <c:v>25</c:v>
                </c:pt>
                <c:pt idx="986">
                  <c:v>25</c:v>
                </c:pt>
                <c:pt idx="987">
                  <c:v>25</c:v>
                </c:pt>
                <c:pt idx="988">
                  <c:v>25</c:v>
                </c:pt>
                <c:pt idx="989">
                  <c:v>25</c:v>
                </c:pt>
                <c:pt idx="990">
                  <c:v>25</c:v>
                </c:pt>
                <c:pt idx="991">
                  <c:v>25</c:v>
                </c:pt>
                <c:pt idx="992">
                  <c:v>25</c:v>
                </c:pt>
                <c:pt idx="993">
                  <c:v>25</c:v>
                </c:pt>
                <c:pt idx="994">
                  <c:v>25</c:v>
                </c:pt>
                <c:pt idx="995">
                  <c:v>25</c:v>
                </c:pt>
                <c:pt idx="996">
                  <c:v>25</c:v>
                </c:pt>
                <c:pt idx="997">
                  <c:v>25</c:v>
                </c:pt>
                <c:pt idx="998">
                  <c:v>25</c:v>
                </c:pt>
                <c:pt idx="999">
                  <c:v>25</c:v>
                </c:pt>
                <c:pt idx="1000">
                  <c:v>25</c:v>
                </c:pt>
                <c:pt idx="1001">
                  <c:v>25</c:v>
                </c:pt>
                <c:pt idx="1002">
                  <c:v>25</c:v>
                </c:pt>
                <c:pt idx="1003">
                  <c:v>25</c:v>
                </c:pt>
                <c:pt idx="1004">
                  <c:v>25</c:v>
                </c:pt>
                <c:pt idx="1005">
                  <c:v>25</c:v>
                </c:pt>
                <c:pt idx="1006">
                  <c:v>25</c:v>
                </c:pt>
                <c:pt idx="1007">
                  <c:v>25</c:v>
                </c:pt>
                <c:pt idx="1008">
                  <c:v>25</c:v>
                </c:pt>
                <c:pt idx="1009">
                  <c:v>25</c:v>
                </c:pt>
                <c:pt idx="1010">
                  <c:v>25</c:v>
                </c:pt>
                <c:pt idx="1011">
                  <c:v>25</c:v>
                </c:pt>
                <c:pt idx="1012">
                  <c:v>25</c:v>
                </c:pt>
                <c:pt idx="1013">
                  <c:v>25</c:v>
                </c:pt>
                <c:pt idx="1014">
                  <c:v>25</c:v>
                </c:pt>
                <c:pt idx="1015">
                  <c:v>25</c:v>
                </c:pt>
                <c:pt idx="1016">
                  <c:v>25</c:v>
                </c:pt>
                <c:pt idx="1017">
                  <c:v>25</c:v>
                </c:pt>
                <c:pt idx="1018">
                  <c:v>25</c:v>
                </c:pt>
                <c:pt idx="1019">
                  <c:v>25</c:v>
                </c:pt>
                <c:pt idx="1020">
                  <c:v>25</c:v>
                </c:pt>
                <c:pt idx="1021">
                  <c:v>25</c:v>
                </c:pt>
                <c:pt idx="1022">
                  <c:v>25</c:v>
                </c:pt>
                <c:pt idx="1023">
                  <c:v>25</c:v>
                </c:pt>
                <c:pt idx="1024">
                  <c:v>25</c:v>
                </c:pt>
                <c:pt idx="1025">
                  <c:v>25</c:v>
                </c:pt>
                <c:pt idx="1026">
                  <c:v>25</c:v>
                </c:pt>
                <c:pt idx="1027">
                  <c:v>25</c:v>
                </c:pt>
                <c:pt idx="1028">
                  <c:v>25</c:v>
                </c:pt>
                <c:pt idx="1029">
                  <c:v>25</c:v>
                </c:pt>
                <c:pt idx="1030">
                  <c:v>25</c:v>
                </c:pt>
                <c:pt idx="1031">
                  <c:v>25</c:v>
                </c:pt>
                <c:pt idx="1032">
                  <c:v>25</c:v>
                </c:pt>
                <c:pt idx="1033">
                  <c:v>25</c:v>
                </c:pt>
                <c:pt idx="1034">
                  <c:v>25</c:v>
                </c:pt>
                <c:pt idx="1035">
                  <c:v>25</c:v>
                </c:pt>
                <c:pt idx="1036">
                  <c:v>25</c:v>
                </c:pt>
                <c:pt idx="1037">
                  <c:v>25</c:v>
                </c:pt>
                <c:pt idx="1038">
                  <c:v>25</c:v>
                </c:pt>
                <c:pt idx="1039">
                  <c:v>25</c:v>
                </c:pt>
                <c:pt idx="1040">
                  <c:v>25</c:v>
                </c:pt>
                <c:pt idx="1041">
                  <c:v>25</c:v>
                </c:pt>
                <c:pt idx="1042">
                  <c:v>25</c:v>
                </c:pt>
                <c:pt idx="1043">
                  <c:v>25</c:v>
                </c:pt>
                <c:pt idx="1044">
                  <c:v>25</c:v>
                </c:pt>
                <c:pt idx="1045">
                  <c:v>25</c:v>
                </c:pt>
                <c:pt idx="1046">
                  <c:v>25</c:v>
                </c:pt>
                <c:pt idx="1047">
                  <c:v>25</c:v>
                </c:pt>
                <c:pt idx="1048">
                  <c:v>25</c:v>
                </c:pt>
                <c:pt idx="1049">
                  <c:v>25</c:v>
                </c:pt>
                <c:pt idx="1050">
                  <c:v>25</c:v>
                </c:pt>
                <c:pt idx="1051">
                  <c:v>25</c:v>
                </c:pt>
                <c:pt idx="1052">
                  <c:v>25</c:v>
                </c:pt>
                <c:pt idx="1053">
                  <c:v>25</c:v>
                </c:pt>
                <c:pt idx="1054">
                  <c:v>25</c:v>
                </c:pt>
                <c:pt idx="1055">
                  <c:v>25</c:v>
                </c:pt>
                <c:pt idx="1056">
                  <c:v>25</c:v>
                </c:pt>
                <c:pt idx="1057">
                  <c:v>25</c:v>
                </c:pt>
                <c:pt idx="1058">
                  <c:v>25</c:v>
                </c:pt>
                <c:pt idx="1059">
                  <c:v>25</c:v>
                </c:pt>
                <c:pt idx="1060">
                  <c:v>25</c:v>
                </c:pt>
                <c:pt idx="1061">
                  <c:v>25</c:v>
                </c:pt>
                <c:pt idx="1062">
                  <c:v>25</c:v>
                </c:pt>
                <c:pt idx="1063">
                  <c:v>25</c:v>
                </c:pt>
                <c:pt idx="1064">
                  <c:v>25</c:v>
                </c:pt>
                <c:pt idx="1065">
                  <c:v>25</c:v>
                </c:pt>
                <c:pt idx="1066">
                  <c:v>25</c:v>
                </c:pt>
                <c:pt idx="1067">
                  <c:v>25</c:v>
                </c:pt>
                <c:pt idx="1068">
                  <c:v>25</c:v>
                </c:pt>
                <c:pt idx="1069">
                  <c:v>25</c:v>
                </c:pt>
                <c:pt idx="1070">
                  <c:v>25</c:v>
                </c:pt>
                <c:pt idx="1071">
                  <c:v>25</c:v>
                </c:pt>
                <c:pt idx="1072">
                  <c:v>25</c:v>
                </c:pt>
                <c:pt idx="1073">
                  <c:v>25</c:v>
                </c:pt>
                <c:pt idx="1074">
                  <c:v>25</c:v>
                </c:pt>
                <c:pt idx="1075">
                  <c:v>25</c:v>
                </c:pt>
                <c:pt idx="1076">
                  <c:v>25</c:v>
                </c:pt>
                <c:pt idx="1077">
                  <c:v>25</c:v>
                </c:pt>
                <c:pt idx="1078">
                  <c:v>25</c:v>
                </c:pt>
                <c:pt idx="1079">
                  <c:v>25</c:v>
                </c:pt>
                <c:pt idx="1080">
                  <c:v>25</c:v>
                </c:pt>
                <c:pt idx="1081">
                  <c:v>25</c:v>
                </c:pt>
                <c:pt idx="1082">
                  <c:v>25</c:v>
                </c:pt>
                <c:pt idx="1083">
                  <c:v>25</c:v>
                </c:pt>
                <c:pt idx="1084">
                  <c:v>25</c:v>
                </c:pt>
                <c:pt idx="1085">
                  <c:v>25</c:v>
                </c:pt>
                <c:pt idx="1086">
                  <c:v>25</c:v>
                </c:pt>
                <c:pt idx="1087">
                  <c:v>25</c:v>
                </c:pt>
                <c:pt idx="1088">
                  <c:v>25</c:v>
                </c:pt>
                <c:pt idx="1089">
                  <c:v>25</c:v>
                </c:pt>
                <c:pt idx="1090">
                  <c:v>25</c:v>
                </c:pt>
                <c:pt idx="1091">
                  <c:v>25</c:v>
                </c:pt>
                <c:pt idx="1092">
                  <c:v>25</c:v>
                </c:pt>
                <c:pt idx="1093">
                  <c:v>25</c:v>
                </c:pt>
                <c:pt idx="1094">
                  <c:v>25</c:v>
                </c:pt>
                <c:pt idx="1095">
                  <c:v>25</c:v>
                </c:pt>
                <c:pt idx="1096">
                  <c:v>25</c:v>
                </c:pt>
                <c:pt idx="1097">
                  <c:v>25</c:v>
                </c:pt>
                <c:pt idx="1098">
                  <c:v>25</c:v>
                </c:pt>
                <c:pt idx="1099">
                  <c:v>25</c:v>
                </c:pt>
                <c:pt idx="1100">
                  <c:v>25</c:v>
                </c:pt>
                <c:pt idx="1101">
                  <c:v>25</c:v>
                </c:pt>
                <c:pt idx="1102">
                  <c:v>25</c:v>
                </c:pt>
                <c:pt idx="1103">
                  <c:v>25</c:v>
                </c:pt>
                <c:pt idx="1104">
                  <c:v>25</c:v>
                </c:pt>
                <c:pt idx="1105">
                  <c:v>25</c:v>
                </c:pt>
                <c:pt idx="1106">
                  <c:v>25</c:v>
                </c:pt>
                <c:pt idx="1107">
                  <c:v>25</c:v>
                </c:pt>
                <c:pt idx="1108">
                  <c:v>25</c:v>
                </c:pt>
                <c:pt idx="1109">
                  <c:v>25</c:v>
                </c:pt>
                <c:pt idx="1110">
                  <c:v>25</c:v>
                </c:pt>
                <c:pt idx="1111">
                  <c:v>25</c:v>
                </c:pt>
                <c:pt idx="1112">
                  <c:v>25</c:v>
                </c:pt>
                <c:pt idx="1113">
                  <c:v>25</c:v>
                </c:pt>
                <c:pt idx="1114">
                  <c:v>25</c:v>
                </c:pt>
                <c:pt idx="1115">
                  <c:v>25</c:v>
                </c:pt>
                <c:pt idx="1116">
                  <c:v>25</c:v>
                </c:pt>
                <c:pt idx="1117">
                  <c:v>25</c:v>
                </c:pt>
                <c:pt idx="1118">
                  <c:v>25</c:v>
                </c:pt>
                <c:pt idx="1119">
                  <c:v>21.45</c:v>
                </c:pt>
                <c:pt idx="1120">
                  <c:v>16.73</c:v>
                </c:pt>
                <c:pt idx="1121">
                  <c:v>10</c:v>
                </c:pt>
                <c:pt idx="1122">
                  <c:v>10</c:v>
                </c:pt>
                <c:pt idx="1123">
                  <c:v>10</c:v>
                </c:pt>
                <c:pt idx="1124">
                  <c:v>10</c:v>
                </c:pt>
                <c:pt idx="1125">
                  <c:v>10</c:v>
                </c:pt>
                <c:pt idx="1126">
                  <c:v>10</c:v>
                </c:pt>
                <c:pt idx="1127">
                  <c:v>10</c:v>
                </c:pt>
                <c:pt idx="1128">
                  <c:v>10</c:v>
                </c:pt>
                <c:pt idx="1129">
                  <c:v>10</c:v>
                </c:pt>
                <c:pt idx="1130">
                  <c:v>10</c:v>
                </c:pt>
                <c:pt idx="1131">
                  <c:v>10</c:v>
                </c:pt>
                <c:pt idx="1132">
                  <c:v>10</c:v>
                </c:pt>
                <c:pt idx="1133">
                  <c:v>10</c:v>
                </c:pt>
                <c:pt idx="1134">
                  <c:v>10</c:v>
                </c:pt>
                <c:pt idx="1135">
                  <c:v>10</c:v>
                </c:pt>
                <c:pt idx="1136">
                  <c:v>10</c:v>
                </c:pt>
                <c:pt idx="1137">
                  <c:v>10</c:v>
                </c:pt>
                <c:pt idx="1138">
                  <c:v>10</c:v>
                </c:pt>
                <c:pt idx="1139">
                  <c:v>10</c:v>
                </c:pt>
                <c:pt idx="1140">
                  <c:v>10</c:v>
                </c:pt>
                <c:pt idx="1141">
                  <c:v>10</c:v>
                </c:pt>
                <c:pt idx="1142">
                  <c:v>16.73</c:v>
                </c:pt>
                <c:pt idx="1143">
                  <c:v>21.45</c:v>
                </c:pt>
                <c:pt idx="1144">
                  <c:v>25</c:v>
                </c:pt>
                <c:pt idx="1145">
                  <c:v>25</c:v>
                </c:pt>
                <c:pt idx="1146">
                  <c:v>25</c:v>
                </c:pt>
                <c:pt idx="1147">
                  <c:v>25</c:v>
                </c:pt>
                <c:pt idx="1148">
                  <c:v>25</c:v>
                </c:pt>
                <c:pt idx="1149">
                  <c:v>25</c:v>
                </c:pt>
                <c:pt idx="1150">
                  <c:v>25</c:v>
                </c:pt>
                <c:pt idx="1151">
                  <c:v>25</c:v>
                </c:pt>
                <c:pt idx="1152">
                  <c:v>25</c:v>
                </c:pt>
                <c:pt idx="1153">
                  <c:v>25</c:v>
                </c:pt>
                <c:pt idx="1154">
                  <c:v>25</c:v>
                </c:pt>
                <c:pt idx="1155">
                  <c:v>25</c:v>
                </c:pt>
                <c:pt idx="1156">
                  <c:v>25</c:v>
                </c:pt>
                <c:pt idx="1157">
                  <c:v>25</c:v>
                </c:pt>
                <c:pt idx="1158">
                  <c:v>25</c:v>
                </c:pt>
                <c:pt idx="1159">
                  <c:v>25</c:v>
                </c:pt>
                <c:pt idx="1160">
                  <c:v>25</c:v>
                </c:pt>
                <c:pt idx="1161">
                  <c:v>25</c:v>
                </c:pt>
                <c:pt idx="1162">
                  <c:v>25</c:v>
                </c:pt>
                <c:pt idx="1163">
                  <c:v>25</c:v>
                </c:pt>
                <c:pt idx="1164">
                  <c:v>25</c:v>
                </c:pt>
                <c:pt idx="1165">
                  <c:v>25</c:v>
                </c:pt>
                <c:pt idx="1166">
                  <c:v>25</c:v>
                </c:pt>
                <c:pt idx="1167">
                  <c:v>25</c:v>
                </c:pt>
                <c:pt idx="1168">
                  <c:v>25</c:v>
                </c:pt>
                <c:pt idx="1169">
                  <c:v>25</c:v>
                </c:pt>
                <c:pt idx="1170">
                  <c:v>25</c:v>
                </c:pt>
                <c:pt idx="1171">
                  <c:v>25</c:v>
                </c:pt>
                <c:pt idx="1172">
                  <c:v>25</c:v>
                </c:pt>
                <c:pt idx="1173">
                  <c:v>25</c:v>
                </c:pt>
                <c:pt idx="1174">
                  <c:v>25</c:v>
                </c:pt>
                <c:pt idx="1175">
                  <c:v>25</c:v>
                </c:pt>
                <c:pt idx="1176">
                  <c:v>25</c:v>
                </c:pt>
                <c:pt idx="1177">
                  <c:v>25</c:v>
                </c:pt>
                <c:pt idx="1178">
                  <c:v>25</c:v>
                </c:pt>
                <c:pt idx="1179">
                  <c:v>25</c:v>
                </c:pt>
                <c:pt idx="1180">
                  <c:v>25</c:v>
                </c:pt>
                <c:pt idx="1181">
                  <c:v>25</c:v>
                </c:pt>
                <c:pt idx="1182">
                  <c:v>25</c:v>
                </c:pt>
                <c:pt idx="1183">
                  <c:v>25</c:v>
                </c:pt>
                <c:pt idx="1184">
                  <c:v>25</c:v>
                </c:pt>
                <c:pt idx="1185">
                  <c:v>25</c:v>
                </c:pt>
                <c:pt idx="1186">
                  <c:v>25</c:v>
                </c:pt>
                <c:pt idx="1187">
                  <c:v>25</c:v>
                </c:pt>
                <c:pt idx="1188">
                  <c:v>25</c:v>
                </c:pt>
                <c:pt idx="1189">
                  <c:v>25</c:v>
                </c:pt>
                <c:pt idx="1190">
                  <c:v>25</c:v>
                </c:pt>
                <c:pt idx="1191">
                  <c:v>25</c:v>
                </c:pt>
                <c:pt idx="1192">
                  <c:v>25</c:v>
                </c:pt>
                <c:pt idx="1193">
                  <c:v>25</c:v>
                </c:pt>
                <c:pt idx="1194">
                  <c:v>25</c:v>
                </c:pt>
                <c:pt idx="1195">
                  <c:v>25</c:v>
                </c:pt>
                <c:pt idx="1196">
                  <c:v>25</c:v>
                </c:pt>
                <c:pt idx="1197">
                  <c:v>25</c:v>
                </c:pt>
                <c:pt idx="1198">
                  <c:v>25</c:v>
                </c:pt>
                <c:pt idx="1199">
                  <c:v>25</c:v>
                </c:pt>
                <c:pt idx="1200">
                  <c:v>25</c:v>
                </c:pt>
                <c:pt idx="1201">
                  <c:v>25</c:v>
                </c:pt>
                <c:pt idx="1202">
                  <c:v>25</c:v>
                </c:pt>
                <c:pt idx="1203">
                  <c:v>25</c:v>
                </c:pt>
                <c:pt idx="1204">
                  <c:v>25</c:v>
                </c:pt>
                <c:pt idx="1205">
                  <c:v>25</c:v>
                </c:pt>
                <c:pt idx="1206">
                  <c:v>25</c:v>
                </c:pt>
                <c:pt idx="1207">
                  <c:v>25</c:v>
                </c:pt>
                <c:pt idx="1208">
                  <c:v>25</c:v>
                </c:pt>
                <c:pt idx="1209">
                  <c:v>25</c:v>
                </c:pt>
                <c:pt idx="1210">
                  <c:v>25</c:v>
                </c:pt>
                <c:pt idx="1211">
                  <c:v>25</c:v>
                </c:pt>
                <c:pt idx="1212">
                  <c:v>25</c:v>
                </c:pt>
                <c:pt idx="1213">
                  <c:v>25</c:v>
                </c:pt>
                <c:pt idx="1214">
                  <c:v>25</c:v>
                </c:pt>
                <c:pt idx="1215">
                  <c:v>25</c:v>
                </c:pt>
                <c:pt idx="1216">
                  <c:v>25</c:v>
                </c:pt>
                <c:pt idx="1217">
                  <c:v>25</c:v>
                </c:pt>
                <c:pt idx="1218">
                  <c:v>25</c:v>
                </c:pt>
                <c:pt idx="1219">
                  <c:v>25</c:v>
                </c:pt>
                <c:pt idx="1220">
                  <c:v>25</c:v>
                </c:pt>
                <c:pt idx="1221">
                  <c:v>25</c:v>
                </c:pt>
                <c:pt idx="1222">
                  <c:v>25</c:v>
                </c:pt>
                <c:pt idx="1223">
                  <c:v>25</c:v>
                </c:pt>
                <c:pt idx="1224">
                  <c:v>25</c:v>
                </c:pt>
                <c:pt idx="1225">
                  <c:v>25</c:v>
                </c:pt>
                <c:pt idx="1226">
                  <c:v>25</c:v>
                </c:pt>
                <c:pt idx="1227">
                  <c:v>25</c:v>
                </c:pt>
                <c:pt idx="1228">
                  <c:v>25</c:v>
                </c:pt>
                <c:pt idx="1229">
                  <c:v>25</c:v>
                </c:pt>
                <c:pt idx="1230">
                  <c:v>25</c:v>
                </c:pt>
                <c:pt idx="1231">
                  <c:v>25</c:v>
                </c:pt>
                <c:pt idx="1232">
                  <c:v>25</c:v>
                </c:pt>
                <c:pt idx="1233">
                  <c:v>25</c:v>
                </c:pt>
                <c:pt idx="1234">
                  <c:v>25</c:v>
                </c:pt>
                <c:pt idx="1235">
                  <c:v>25</c:v>
                </c:pt>
                <c:pt idx="1236">
                  <c:v>25</c:v>
                </c:pt>
                <c:pt idx="1237">
                  <c:v>25</c:v>
                </c:pt>
                <c:pt idx="1238">
                  <c:v>25</c:v>
                </c:pt>
                <c:pt idx="1239">
                  <c:v>25</c:v>
                </c:pt>
                <c:pt idx="1240">
                  <c:v>25</c:v>
                </c:pt>
                <c:pt idx="1241">
                  <c:v>25</c:v>
                </c:pt>
                <c:pt idx="1242">
                  <c:v>25</c:v>
                </c:pt>
                <c:pt idx="1243">
                  <c:v>25</c:v>
                </c:pt>
                <c:pt idx="1244">
                  <c:v>25</c:v>
                </c:pt>
                <c:pt idx="1245">
                  <c:v>25</c:v>
                </c:pt>
                <c:pt idx="1246">
                  <c:v>25</c:v>
                </c:pt>
                <c:pt idx="1247">
                  <c:v>25</c:v>
                </c:pt>
                <c:pt idx="1248">
                  <c:v>25</c:v>
                </c:pt>
                <c:pt idx="1249">
                  <c:v>25</c:v>
                </c:pt>
                <c:pt idx="1250">
                  <c:v>25</c:v>
                </c:pt>
                <c:pt idx="1251">
                  <c:v>25</c:v>
                </c:pt>
                <c:pt idx="1252">
                  <c:v>25</c:v>
                </c:pt>
                <c:pt idx="1253">
                  <c:v>25</c:v>
                </c:pt>
                <c:pt idx="1254">
                  <c:v>25</c:v>
                </c:pt>
                <c:pt idx="1255">
                  <c:v>25</c:v>
                </c:pt>
                <c:pt idx="1256">
                  <c:v>25</c:v>
                </c:pt>
                <c:pt idx="1257">
                  <c:v>25</c:v>
                </c:pt>
                <c:pt idx="1258">
                  <c:v>25</c:v>
                </c:pt>
                <c:pt idx="1259">
                  <c:v>25</c:v>
                </c:pt>
                <c:pt idx="1260">
                  <c:v>25</c:v>
                </c:pt>
                <c:pt idx="1261">
                  <c:v>25</c:v>
                </c:pt>
                <c:pt idx="1262">
                  <c:v>25</c:v>
                </c:pt>
                <c:pt idx="1263">
                  <c:v>25</c:v>
                </c:pt>
                <c:pt idx="1264">
                  <c:v>25</c:v>
                </c:pt>
                <c:pt idx="1265">
                  <c:v>25</c:v>
                </c:pt>
                <c:pt idx="1266">
                  <c:v>25</c:v>
                </c:pt>
                <c:pt idx="1267">
                  <c:v>25</c:v>
                </c:pt>
                <c:pt idx="1268">
                  <c:v>25</c:v>
                </c:pt>
                <c:pt idx="1269">
                  <c:v>25</c:v>
                </c:pt>
                <c:pt idx="1270">
                  <c:v>25</c:v>
                </c:pt>
                <c:pt idx="1271">
                  <c:v>25</c:v>
                </c:pt>
                <c:pt idx="1272">
                  <c:v>25</c:v>
                </c:pt>
                <c:pt idx="1273">
                  <c:v>25</c:v>
                </c:pt>
                <c:pt idx="1274">
                  <c:v>25</c:v>
                </c:pt>
                <c:pt idx="1275">
                  <c:v>25</c:v>
                </c:pt>
                <c:pt idx="1276">
                  <c:v>25</c:v>
                </c:pt>
                <c:pt idx="1277">
                  <c:v>25</c:v>
                </c:pt>
                <c:pt idx="1278">
                  <c:v>25</c:v>
                </c:pt>
                <c:pt idx="1279">
                  <c:v>25</c:v>
                </c:pt>
                <c:pt idx="1280">
                  <c:v>25</c:v>
                </c:pt>
                <c:pt idx="1281">
                  <c:v>25</c:v>
                </c:pt>
                <c:pt idx="1282">
                  <c:v>25</c:v>
                </c:pt>
                <c:pt idx="1283">
                  <c:v>25</c:v>
                </c:pt>
                <c:pt idx="1284">
                  <c:v>25</c:v>
                </c:pt>
                <c:pt idx="1285">
                  <c:v>25</c:v>
                </c:pt>
                <c:pt idx="1286">
                  <c:v>25</c:v>
                </c:pt>
                <c:pt idx="1287">
                  <c:v>25</c:v>
                </c:pt>
                <c:pt idx="1288">
                  <c:v>25</c:v>
                </c:pt>
                <c:pt idx="1289">
                  <c:v>25</c:v>
                </c:pt>
                <c:pt idx="1290">
                  <c:v>25</c:v>
                </c:pt>
                <c:pt idx="1291">
                  <c:v>25</c:v>
                </c:pt>
                <c:pt idx="1292">
                  <c:v>25</c:v>
                </c:pt>
                <c:pt idx="1293">
                  <c:v>25</c:v>
                </c:pt>
                <c:pt idx="1294">
                  <c:v>25</c:v>
                </c:pt>
                <c:pt idx="1295">
                  <c:v>25</c:v>
                </c:pt>
                <c:pt idx="1296">
                  <c:v>25</c:v>
                </c:pt>
                <c:pt idx="1297">
                  <c:v>25</c:v>
                </c:pt>
                <c:pt idx="1298">
                  <c:v>25</c:v>
                </c:pt>
                <c:pt idx="1299">
                  <c:v>25</c:v>
                </c:pt>
                <c:pt idx="1300">
                  <c:v>25</c:v>
                </c:pt>
                <c:pt idx="1301">
                  <c:v>25</c:v>
                </c:pt>
                <c:pt idx="1302">
                  <c:v>25</c:v>
                </c:pt>
                <c:pt idx="1303">
                  <c:v>25</c:v>
                </c:pt>
                <c:pt idx="1304">
                  <c:v>25</c:v>
                </c:pt>
                <c:pt idx="1305">
                  <c:v>25</c:v>
                </c:pt>
                <c:pt idx="1306">
                  <c:v>25</c:v>
                </c:pt>
                <c:pt idx="1307">
                  <c:v>25</c:v>
                </c:pt>
                <c:pt idx="1308">
                  <c:v>25</c:v>
                </c:pt>
                <c:pt idx="1309">
                  <c:v>25</c:v>
                </c:pt>
                <c:pt idx="1310">
                  <c:v>25</c:v>
                </c:pt>
                <c:pt idx="1311">
                  <c:v>25</c:v>
                </c:pt>
                <c:pt idx="1312">
                  <c:v>25</c:v>
                </c:pt>
                <c:pt idx="1313">
                  <c:v>25</c:v>
                </c:pt>
                <c:pt idx="1314">
                  <c:v>25</c:v>
                </c:pt>
                <c:pt idx="1315">
                  <c:v>25</c:v>
                </c:pt>
                <c:pt idx="1316">
                  <c:v>25</c:v>
                </c:pt>
                <c:pt idx="1317">
                  <c:v>25</c:v>
                </c:pt>
                <c:pt idx="1318">
                  <c:v>25</c:v>
                </c:pt>
                <c:pt idx="1319">
                  <c:v>25</c:v>
                </c:pt>
                <c:pt idx="1320">
                  <c:v>25</c:v>
                </c:pt>
                <c:pt idx="1321">
                  <c:v>25</c:v>
                </c:pt>
                <c:pt idx="1322">
                  <c:v>25</c:v>
                </c:pt>
                <c:pt idx="1323">
                  <c:v>25</c:v>
                </c:pt>
                <c:pt idx="1324">
                  <c:v>25</c:v>
                </c:pt>
                <c:pt idx="1325">
                  <c:v>25</c:v>
                </c:pt>
                <c:pt idx="1326">
                  <c:v>25</c:v>
                </c:pt>
                <c:pt idx="1327">
                  <c:v>25</c:v>
                </c:pt>
                <c:pt idx="1328">
                  <c:v>25</c:v>
                </c:pt>
                <c:pt idx="1329">
                  <c:v>25</c:v>
                </c:pt>
                <c:pt idx="1330">
                  <c:v>25</c:v>
                </c:pt>
                <c:pt idx="1331">
                  <c:v>25</c:v>
                </c:pt>
                <c:pt idx="1332">
                  <c:v>25</c:v>
                </c:pt>
                <c:pt idx="1333">
                  <c:v>25</c:v>
                </c:pt>
                <c:pt idx="1334">
                  <c:v>25</c:v>
                </c:pt>
                <c:pt idx="1335">
                  <c:v>25</c:v>
                </c:pt>
                <c:pt idx="1336">
                  <c:v>25</c:v>
                </c:pt>
                <c:pt idx="1337">
                  <c:v>25</c:v>
                </c:pt>
                <c:pt idx="1338">
                  <c:v>25</c:v>
                </c:pt>
                <c:pt idx="1339">
                  <c:v>25</c:v>
                </c:pt>
                <c:pt idx="1340">
                  <c:v>25</c:v>
                </c:pt>
                <c:pt idx="1341">
                  <c:v>25</c:v>
                </c:pt>
                <c:pt idx="1342">
                  <c:v>25</c:v>
                </c:pt>
                <c:pt idx="1343">
                  <c:v>25</c:v>
                </c:pt>
                <c:pt idx="1344">
                  <c:v>25</c:v>
                </c:pt>
                <c:pt idx="1345">
                  <c:v>25</c:v>
                </c:pt>
                <c:pt idx="1346">
                  <c:v>25</c:v>
                </c:pt>
                <c:pt idx="1347">
                  <c:v>25</c:v>
                </c:pt>
                <c:pt idx="1348">
                  <c:v>25</c:v>
                </c:pt>
                <c:pt idx="1349">
                  <c:v>25</c:v>
                </c:pt>
                <c:pt idx="1350">
                  <c:v>25</c:v>
                </c:pt>
                <c:pt idx="1351">
                  <c:v>25</c:v>
                </c:pt>
                <c:pt idx="1352">
                  <c:v>25</c:v>
                </c:pt>
                <c:pt idx="1353">
                  <c:v>25</c:v>
                </c:pt>
                <c:pt idx="1354">
                  <c:v>25</c:v>
                </c:pt>
                <c:pt idx="1355">
                  <c:v>25</c:v>
                </c:pt>
                <c:pt idx="1356">
                  <c:v>25</c:v>
                </c:pt>
                <c:pt idx="1357">
                  <c:v>25</c:v>
                </c:pt>
                <c:pt idx="1358">
                  <c:v>25</c:v>
                </c:pt>
                <c:pt idx="1359">
                  <c:v>25</c:v>
                </c:pt>
                <c:pt idx="1360">
                  <c:v>25</c:v>
                </c:pt>
                <c:pt idx="1361">
                  <c:v>25</c:v>
                </c:pt>
                <c:pt idx="1362">
                  <c:v>25</c:v>
                </c:pt>
                <c:pt idx="1363">
                  <c:v>25</c:v>
                </c:pt>
                <c:pt idx="1364">
                  <c:v>25</c:v>
                </c:pt>
                <c:pt idx="1365">
                  <c:v>25</c:v>
                </c:pt>
                <c:pt idx="1366">
                  <c:v>25</c:v>
                </c:pt>
                <c:pt idx="1367">
                  <c:v>25</c:v>
                </c:pt>
                <c:pt idx="1368">
                  <c:v>25</c:v>
                </c:pt>
                <c:pt idx="1369">
                  <c:v>25</c:v>
                </c:pt>
                <c:pt idx="1370">
                  <c:v>25</c:v>
                </c:pt>
                <c:pt idx="1371">
                  <c:v>25</c:v>
                </c:pt>
                <c:pt idx="1372">
                  <c:v>25</c:v>
                </c:pt>
                <c:pt idx="1373">
                  <c:v>25</c:v>
                </c:pt>
                <c:pt idx="1374">
                  <c:v>25</c:v>
                </c:pt>
                <c:pt idx="1375">
                  <c:v>25</c:v>
                </c:pt>
                <c:pt idx="1376">
                  <c:v>25</c:v>
                </c:pt>
                <c:pt idx="1377">
                  <c:v>25</c:v>
                </c:pt>
                <c:pt idx="1378">
                  <c:v>25</c:v>
                </c:pt>
                <c:pt idx="1379">
                  <c:v>25</c:v>
                </c:pt>
                <c:pt idx="1380">
                  <c:v>25</c:v>
                </c:pt>
                <c:pt idx="1381">
                  <c:v>25</c:v>
                </c:pt>
                <c:pt idx="1382">
                  <c:v>25</c:v>
                </c:pt>
                <c:pt idx="1383">
                  <c:v>25</c:v>
                </c:pt>
                <c:pt idx="1384">
                  <c:v>25</c:v>
                </c:pt>
                <c:pt idx="1385">
                  <c:v>25</c:v>
                </c:pt>
                <c:pt idx="1386">
                  <c:v>25</c:v>
                </c:pt>
                <c:pt idx="1387">
                  <c:v>25</c:v>
                </c:pt>
                <c:pt idx="1388">
                  <c:v>25</c:v>
                </c:pt>
                <c:pt idx="1389">
                  <c:v>25</c:v>
                </c:pt>
                <c:pt idx="1390">
                  <c:v>25</c:v>
                </c:pt>
                <c:pt idx="1391">
                  <c:v>25</c:v>
                </c:pt>
                <c:pt idx="1392">
                  <c:v>25</c:v>
                </c:pt>
                <c:pt idx="1393">
                  <c:v>25</c:v>
                </c:pt>
                <c:pt idx="1394">
                  <c:v>25</c:v>
                </c:pt>
                <c:pt idx="1395">
                  <c:v>25</c:v>
                </c:pt>
                <c:pt idx="1396">
                  <c:v>25</c:v>
                </c:pt>
                <c:pt idx="1397">
                  <c:v>25</c:v>
                </c:pt>
                <c:pt idx="1398">
                  <c:v>25</c:v>
                </c:pt>
                <c:pt idx="1399">
                  <c:v>25</c:v>
                </c:pt>
                <c:pt idx="1400">
                  <c:v>25</c:v>
                </c:pt>
                <c:pt idx="1401">
                  <c:v>25</c:v>
                </c:pt>
                <c:pt idx="1402">
                  <c:v>25</c:v>
                </c:pt>
                <c:pt idx="1403">
                  <c:v>25</c:v>
                </c:pt>
                <c:pt idx="1404">
                  <c:v>25</c:v>
                </c:pt>
                <c:pt idx="1405">
                  <c:v>25</c:v>
                </c:pt>
                <c:pt idx="1406">
                  <c:v>25</c:v>
                </c:pt>
                <c:pt idx="1407">
                  <c:v>25</c:v>
                </c:pt>
                <c:pt idx="1408">
                  <c:v>25</c:v>
                </c:pt>
                <c:pt idx="1409">
                  <c:v>25</c:v>
                </c:pt>
                <c:pt idx="1410">
                  <c:v>25</c:v>
                </c:pt>
                <c:pt idx="1411">
                  <c:v>25</c:v>
                </c:pt>
                <c:pt idx="1412">
                  <c:v>25</c:v>
                </c:pt>
                <c:pt idx="1413">
                  <c:v>25</c:v>
                </c:pt>
                <c:pt idx="1414">
                  <c:v>25</c:v>
                </c:pt>
                <c:pt idx="1415">
                  <c:v>25</c:v>
                </c:pt>
                <c:pt idx="1416">
                  <c:v>25</c:v>
                </c:pt>
                <c:pt idx="1417">
                  <c:v>25</c:v>
                </c:pt>
                <c:pt idx="1418">
                  <c:v>25</c:v>
                </c:pt>
                <c:pt idx="1419">
                  <c:v>25</c:v>
                </c:pt>
                <c:pt idx="1420">
                  <c:v>25</c:v>
                </c:pt>
                <c:pt idx="1421">
                  <c:v>25</c:v>
                </c:pt>
                <c:pt idx="1422">
                  <c:v>25</c:v>
                </c:pt>
                <c:pt idx="1423">
                  <c:v>25</c:v>
                </c:pt>
                <c:pt idx="1424">
                  <c:v>25</c:v>
                </c:pt>
                <c:pt idx="1425">
                  <c:v>25</c:v>
                </c:pt>
                <c:pt idx="1426">
                  <c:v>25</c:v>
                </c:pt>
                <c:pt idx="1427">
                  <c:v>25</c:v>
                </c:pt>
                <c:pt idx="1428">
                  <c:v>25</c:v>
                </c:pt>
                <c:pt idx="1429">
                  <c:v>25</c:v>
                </c:pt>
                <c:pt idx="1430">
                  <c:v>25</c:v>
                </c:pt>
                <c:pt idx="1431">
                  <c:v>25</c:v>
                </c:pt>
                <c:pt idx="1432">
                  <c:v>25</c:v>
                </c:pt>
                <c:pt idx="1433">
                  <c:v>25</c:v>
                </c:pt>
                <c:pt idx="1434">
                  <c:v>25</c:v>
                </c:pt>
                <c:pt idx="1435">
                  <c:v>25</c:v>
                </c:pt>
                <c:pt idx="1436">
                  <c:v>25</c:v>
                </c:pt>
                <c:pt idx="1437">
                  <c:v>25</c:v>
                </c:pt>
                <c:pt idx="1438">
                  <c:v>25</c:v>
                </c:pt>
                <c:pt idx="1439">
                  <c:v>25</c:v>
                </c:pt>
                <c:pt idx="1440">
                  <c:v>25</c:v>
                </c:pt>
                <c:pt idx="1441">
                  <c:v>25</c:v>
                </c:pt>
                <c:pt idx="1442">
                  <c:v>25</c:v>
                </c:pt>
                <c:pt idx="1443">
                  <c:v>25</c:v>
                </c:pt>
                <c:pt idx="1444">
                  <c:v>25</c:v>
                </c:pt>
                <c:pt idx="1445">
                  <c:v>25</c:v>
                </c:pt>
                <c:pt idx="1446">
                  <c:v>25</c:v>
                </c:pt>
                <c:pt idx="1447">
                  <c:v>25</c:v>
                </c:pt>
                <c:pt idx="1448">
                  <c:v>25</c:v>
                </c:pt>
                <c:pt idx="1449">
                  <c:v>25</c:v>
                </c:pt>
                <c:pt idx="1450">
                  <c:v>25</c:v>
                </c:pt>
                <c:pt idx="1451">
                  <c:v>25</c:v>
                </c:pt>
                <c:pt idx="1452">
                  <c:v>25</c:v>
                </c:pt>
                <c:pt idx="1453">
                  <c:v>25</c:v>
                </c:pt>
                <c:pt idx="1454">
                  <c:v>25</c:v>
                </c:pt>
                <c:pt idx="1455">
                  <c:v>25</c:v>
                </c:pt>
                <c:pt idx="1456">
                  <c:v>25</c:v>
                </c:pt>
                <c:pt idx="1457">
                  <c:v>25</c:v>
                </c:pt>
                <c:pt idx="1458">
                  <c:v>25</c:v>
                </c:pt>
                <c:pt idx="1459">
                  <c:v>25</c:v>
                </c:pt>
                <c:pt idx="1460">
                  <c:v>25</c:v>
                </c:pt>
                <c:pt idx="1461">
                  <c:v>25</c:v>
                </c:pt>
                <c:pt idx="1462">
                  <c:v>25</c:v>
                </c:pt>
                <c:pt idx="1463">
                  <c:v>25</c:v>
                </c:pt>
                <c:pt idx="1464">
                  <c:v>25</c:v>
                </c:pt>
                <c:pt idx="1465">
                  <c:v>25</c:v>
                </c:pt>
                <c:pt idx="1466">
                  <c:v>25</c:v>
                </c:pt>
                <c:pt idx="1467">
                  <c:v>25</c:v>
                </c:pt>
                <c:pt idx="1468">
                  <c:v>25</c:v>
                </c:pt>
                <c:pt idx="1469">
                  <c:v>25</c:v>
                </c:pt>
                <c:pt idx="1470">
                  <c:v>25</c:v>
                </c:pt>
                <c:pt idx="1471">
                  <c:v>25</c:v>
                </c:pt>
                <c:pt idx="1472">
                  <c:v>25</c:v>
                </c:pt>
                <c:pt idx="1473">
                  <c:v>25</c:v>
                </c:pt>
                <c:pt idx="1474">
                  <c:v>25</c:v>
                </c:pt>
                <c:pt idx="1475">
                  <c:v>25</c:v>
                </c:pt>
                <c:pt idx="1476">
                  <c:v>25</c:v>
                </c:pt>
                <c:pt idx="1477">
                  <c:v>25</c:v>
                </c:pt>
                <c:pt idx="1478">
                  <c:v>25</c:v>
                </c:pt>
                <c:pt idx="1479">
                  <c:v>25</c:v>
                </c:pt>
                <c:pt idx="1480">
                  <c:v>25</c:v>
                </c:pt>
                <c:pt idx="1481">
                  <c:v>25</c:v>
                </c:pt>
                <c:pt idx="1482">
                  <c:v>25</c:v>
                </c:pt>
                <c:pt idx="1483">
                  <c:v>25</c:v>
                </c:pt>
                <c:pt idx="1484">
                  <c:v>25</c:v>
                </c:pt>
                <c:pt idx="1485">
                  <c:v>24.08</c:v>
                </c:pt>
                <c:pt idx="1486">
                  <c:v>20</c:v>
                </c:pt>
                <c:pt idx="1487">
                  <c:v>20</c:v>
                </c:pt>
                <c:pt idx="1488">
                  <c:v>20</c:v>
                </c:pt>
                <c:pt idx="1489">
                  <c:v>20</c:v>
                </c:pt>
                <c:pt idx="1490">
                  <c:v>20</c:v>
                </c:pt>
                <c:pt idx="1491">
                  <c:v>20</c:v>
                </c:pt>
                <c:pt idx="1492">
                  <c:v>20</c:v>
                </c:pt>
                <c:pt idx="1493">
                  <c:v>20</c:v>
                </c:pt>
                <c:pt idx="1494">
                  <c:v>20</c:v>
                </c:pt>
                <c:pt idx="1495">
                  <c:v>20</c:v>
                </c:pt>
                <c:pt idx="1496">
                  <c:v>20</c:v>
                </c:pt>
                <c:pt idx="1497">
                  <c:v>20</c:v>
                </c:pt>
                <c:pt idx="1498">
                  <c:v>20</c:v>
                </c:pt>
                <c:pt idx="1499">
                  <c:v>20</c:v>
                </c:pt>
                <c:pt idx="1500">
                  <c:v>20</c:v>
                </c:pt>
                <c:pt idx="1501">
                  <c:v>20</c:v>
                </c:pt>
                <c:pt idx="1502">
                  <c:v>20</c:v>
                </c:pt>
                <c:pt idx="1503">
                  <c:v>20</c:v>
                </c:pt>
                <c:pt idx="1504">
                  <c:v>20</c:v>
                </c:pt>
                <c:pt idx="1505">
                  <c:v>20</c:v>
                </c:pt>
                <c:pt idx="1506">
                  <c:v>20</c:v>
                </c:pt>
                <c:pt idx="1507">
                  <c:v>20</c:v>
                </c:pt>
                <c:pt idx="1508">
                  <c:v>20</c:v>
                </c:pt>
                <c:pt idx="1509">
                  <c:v>20</c:v>
                </c:pt>
                <c:pt idx="1510">
                  <c:v>20</c:v>
                </c:pt>
                <c:pt idx="1511">
                  <c:v>20</c:v>
                </c:pt>
                <c:pt idx="1512">
                  <c:v>20</c:v>
                </c:pt>
                <c:pt idx="1513">
                  <c:v>20</c:v>
                </c:pt>
                <c:pt idx="1514">
                  <c:v>20</c:v>
                </c:pt>
                <c:pt idx="1515">
                  <c:v>20</c:v>
                </c:pt>
                <c:pt idx="1516">
                  <c:v>20</c:v>
                </c:pt>
                <c:pt idx="1517">
                  <c:v>20</c:v>
                </c:pt>
                <c:pt idx="1518">
                  <c:v>20</c:v>
                </c:pt>
                <c:pt idx="1519">
                  <c:v>20</c:v>
                </c:pt>
                <c:pt idx="1520">
                  <c:v>20</c:v>
                </c:pt>
                <c:pt idx="1521">
                  <c:v>20</c:v>
                </c:pt>
                <c:pt idx="1522">
                  <c:v>20</c:v>
                </c:pt>
                <c:pt idx="1523">
                  <c:v>20</c:v>
                </c:pt>
                <c:pt idx="1524">
                  <c:v>20</c:v>
                </c:pt>
                <c:pt idx="1525">
                  <c:v>20</c:v>
                </c:pt>
                <c:pt idx="1526">
                  <c:v>20</c:v>
                </c:pt>
                <c:pt idx="1527">
                  <c:v>20</c:v>
                </c:pt>
                <c:pt idx="1528">
                  <c:v>20</c:v>
                </c:pt>
                <c:pt idx="1529">
                  <c:v>20</c:v>
                </c:pt>
                <c:pt idx="1530">
                  <c:v>20</c:v>
                </c:pt>
                <c:pt idx="1531">
                  <c:v>20</c:v>
                </c:pt>
                <c:pt idx="1532">
                  <c:v>20</c:v>
                </c:pt>
                <c:pt idx="1533">
                  <c:v>20</c:v>
                </c:pt>
                <c:pt idx="1534">
                  <c:v>20</c:v>
                </c:pt>
                <c:pt idx="1535">
                  <c:v>20</c:v>
                </c:pt>
                <c:pt idx="1536">
                  <c:v>20</c:v>
                </c:pt>
                <c:pt idx="1537">
                  <c:v>20</c:v>
                </c:pt>
                <c:pt idx="1538">
                  <c:v>20</c:v>
                </c:pt>
                <c:pt idx="1539">
                  <c:v>20</c:v>
                </c:pt>
                <c:pt idx="1540">
                  <c:v>20</c:v>
                </c:pt>
                <c:pt idx="1541">
                  <c:v>20</c:v>
                </c:pt>
                <c:pt idx="1542">
                  <c:v>20</c:v>
                </c:pt>
                <c:pt idx="1543">
                  <c:v>20</c:v>
                </c:pt>
                <c:pt idx="1544">
                  <c:v>20</c:v>
                </c:pt>
                <c:pt idx="1545">
                  <c:v>20</c:v>
                </c:pt>
                <c:pt idx="1546">
                  <c:v>20</c:v>
                </c:pt>
                <c:pt idx="1547">
                  <c:v>20</c:v>
                </c:pt>
                <c:pt idx="1548">
                  <c:v>20</c:v>
                </c:pt>
                <c:pt idx="1549">
                  <c:v>20</c:v>
                </c:pt>
                <c:pt idx="1550">
                  <c:v>20</c:v>
                </c:pt>
                <c:pt idx="1551">
                  <c:v>20</c:v>
                </c:pt>
                <c:pt idx="1552">
                  <c:v>20</c:v>
                </c:pt>
                <c:pt idx="1553">
                  <c:v>20</c:v>
                </c:pt>
                <c:pt idx="1554">
                  <c:v>20</c:v>
                </c:pt>
                <c:pt idx="1555">
                  <c:v>20</c:v>
                </c:pt>
                <c:pt idx="1556">
                  <c:v>20</c:v>
                </c:pt>
                <c:pt idx="1557">
                  <c:v>20</c:v>
                </c:pt>
                <c:pt idx="1558">
                  <c:v>20</c:v>
                </c:pt>
                <c:pt idx="1559">
                  <c:v>20</c:v>
                </c:pt>
                <c:pt idx="1560">
                  <c:v>20</c:v>
                </c:pt>
                <c:pt idx="1561">
                  <c:v>20</c:v>
                </c:pt>
                <c:pt idx="1562">
                  <c:v>20</c:v>
                </c:pt>
                <c:pt idx="1563">
                  <c:v>20</c:v>
                </c:pt>
                <c:pt idx="1564">
                  <c:v>20</c:v>
                </c:pt>
                <c:pt idx="1565">
                  <c:v>20</c:v>
                </c:pt>
                <c:pt idx="1566">
                  <c:v>20</c:v>
                </c:pt>
                <c:pt idx="1567">
                  <c:v>20</c:v>
                </c:pt>
                <c:pt idx="1568">
                  <c:v>20</c:v>
                </c:pt>
                <c:pt idx="1569">
                  <c:v>20</c:v>
                </c:pt>
                <c:pt idx="1570">
                  <c:v>20</c:v>
                </c:pt>
                <c:pt idx="1571">
                  <c:v>20</c:v>
                </c:pt>
                <c:pt idx="1572">
                  <c:v>20</c:v>
                </c:pt>
                <c:pt idx="1573">
                  <c:v>20</c:v>
                </c:pt>
                <c:pt idx="1574">
                  <c:v>20</c:v>
                </c:pt>
                <c:pt idx="1575">
                  <c:v>20</c:v>
                </c:pt>
                <c:pt idx="1576">
                  <c:v>20</c:v>
                </c:pt>
                <c:pt idx="1577">
                  <c:v>20</c:v>
                </c:pt>
                <c:pt idx="1578">
                  <c:v>20</c:v>
                </c:pt>
                <c:pt idx="1579">
                  <c:v>20</c:v>
                </c:pt>
                <c:pt idx="1580">
                  <c:v>20</c:v>
                </c:pt>
                <c:pt idx="1581">
                  <c:v>20</c:v>
                </c:pt>
                <c:pt idx="1582">
                  <c:v>20</c:v>
                </c:pt>
                <c:pt idx="1583">
                  <c:v>20</c:v>
                </c:pt>
                <c:pt idx="1584">
                  <c:v>20</c:v>
                </c:pt>
                <c:pt idx="1585">
                  <c:v>20</c:v>
                </c:pt>
                <c:pt idx="1586">
                  <c:v>20</c:v>
                </c:pt>
                <c:pt idx="1587">
                  <c:v>20</c:v>
                </c:pt>
                <c:pt idx="1588">
                  <c:v>20</c:v>
                </c:pt>
                <c:pt idx="1589">
                  <c:v>18.97</c:v>
                </c:pt>
                <c:pt idx="1590">
                  <c:v>13.42</c:v>
                </c:pt>
                <c:pt idx="1591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6151-42BD-AEA7-B1DDF2BA2FFA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axId val="2093660167"/>
        <c:axId val="2106115079"/>
      </c:scatterChart>
      <c:valAx>
        <c:axId val="209366016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6115079"/>
        <c:crosses val="autoZero"/>
        <c:crossBetween val="midCat"/>
      </c:valAx>
      <c:valAx>
        <c:axId val="21061150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366016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666750</xdr:colOff>
      <xdr:row>15</xdr:row>
      <xdr:rowOff>0</xdr:rowOff>
    </xdr:from>
    <xdr:to>
      <xdr:col>20</xdr:col>
      <xdr:colOff>428625</xdr:colOff>
      <xdr:row>40</xdr:row>
      <xdr:rowOff>38100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DAFE9A-4C13-CDA3-824F-7B9A5EB84A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Dwell%20Plans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Users/laide/Desktop/Macon%20Revenue%20Service%20Stringline/gc-planner/docs/drive-cycle-range.xlsx" TargetMode="External"/><Relationship Id="rId1" Type="http://schemas.openxmlformats.org/officeDocument/2006/relationships/externalLinkPath" Target="/Users/laide/Desktop/Macon%20Revenue%20Service%20Stringline/gc-planner/docs/drive-cycle-rang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well Plans"/>
    </sheetNames>
    <sheetDataSet>
      <sheetData sheetId="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Parameters"/>
      <sheetName val="Dwell Plans"/>
    </sheetNames>
    <sheetDataSet>
      <sheetData sheetId="0"/>
      <sheetData sheetId="1"/>
    </sheetDataSet>
  </externalBook>
</externalLink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2">
  <rv s="0">
    <v>10</v>
    <v>2</v>
  </rv>
  <rv s="1">
    <v>10</v>
    <v>1</v>
  </rv>
</rvData>
</file>

<file path=xl/richData/rdrichvaluestructure.xml><?xml version="1.0" encoding="utf-8"?>
<rvStructures xmlns="http://schemas.microsoft.com/office/spreadsheetml/2017/richdata" count="2">
  <s t="_error">
    <k n="errorType" t="i"/>
    <k n="subType" t="i"/>
  </s>
  <s t="_error">
    <k n="errorType" t="i"/>
    <k n="propagated" t="b"/>
  </s>
</rvStructur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41"/>
  <sheetViews>
    <sheetView topLeftCell="A2" workbookViewId="0">
      <selection activeCell="A33" sqref="A33"/>
    </sheetView>
  </sheetViews>
  <sheetFormatPr defaultRowHeight="15"/>
  <cols>
    <col min="1" max="1" width="23.140625" customWidth="1"/>
    <col min="2" max="2" width="60.85546875" customWidth="1"/>
    <col min="3" max="3" width="36.28515625" customWidth="1"/>
    <col min="4" max="4" width="15.7109375" customWidth="1"/>
    <col min="5" max="5" width="28.140625" customWidth="1"/>
    <col min="6" max="7" width="21.85546875" customWidth="1"/>
    <col min="8" max="8" width="41.28515625" customWidth="1"/>
  </cols>
  <sheetData>
    <row r="2" spans="1:8">
      <c r="A2" s="1" t="s">
        <v>0</v>
      </c>
    </row>
    <row r="3" spans="1:8">
      <c r="B3" t="s">
        <v>1</v>
      </c>
      <c r="C3" t="s">
        <v>2</v>
      </c>
      <c r="D3">
        <f>159.1*2</f>
        <v>318.2</v>
      </c>
    </row>
    <row r="5" spans="1:8">
      <c r="A5" s="1" t="s">
        <v>3</v>
      </c>
    </row>
    <row r="6" spans="1:8">
      <c r="B6" t="s">
        <v>4</v>
      </c>
    </row>
    <row r="7" spans="1:8">
      <c r="B7" s="1" t="s">
        <v>5</v>
      </c>
      <c r="C7" s="1" t="s">
        <v>6</v>
      </c>
      <c r="D7" s="1" t="s">
        <v>7</v>
      </c>
      <c r="E7" s="1" t="s">
        <v>8</v>
      </c>
      <c r="F7" s="1" t="s">
        <v>9</v>
      </c>
      <c r="G7" s="1" t="s">
        <v>10</v>
      </c>
      <c r="H7" s="1" t="s">
        <v>11</v>
      </c>
    </row>
    <row r="8" spans="1:8">
      <c r="B8" s="3" t="s">
        <v>12</v>
      </c>
      <c r="C8" s="3" t="s">
        <v>13</v>
      </c>
      <c r="D8" s="3">
        <v>10</v>
      </c>
      <c r="E8" s="3" t="s">
        <v>14</v>
      </c>
      <c r="F8" s="3">
        <v>2</v>
      </c>
      <c r="G8" s="3">
        <f>(F8/D8)*60</f>
        <v>12</v>
      </c>
    </row>
    <row r="9" spans="1:8">
      <c r="B9" s="3" t="s">
        <v>12</v>
      </c>
      <c r="C9" s="3" t="s">
        <v>15</v>
      </c>
      <c r="D9" s="3">
        <v>20</v>
      </c>
      <c r="E9" s="3" t="s">
        <v>16</v>
      </c>
      <c r="F9" s="3">
        <v>4</v>
      </c>
      <c r="G9" s="3">
        <f t="shared" ref="G9:G19" si="0">(F9/D9)*60</f>
        <v>12</v>
      </c>
    </row>
    <row r="10" spans="1:8">
      <c r="B10" s="3" t="s">
        <v>12</v>
      </c>
      <c r="C10" s="3" t="s">
        <v>17</v>
      </c>
      <c r="D10" s="3">
        <v>25</v>
      </c>
      <c r="E10" s="3" t="s">
        <v>18</v>
      </c>
      <c r="F10" s="3">
        <v>43</v>
      </c>
      <c r="G10" s="3">
        <f t="shared" si="0"/>
        <v>103.2</v>
      </c>
    </row>
    <row r="11" spans="1:8">
      <c r="B11" s="3" t="s">
        <v>12</v>
      </c>
      <c r="C11" s="3" t="s">
        <v>19</v>
      </c>
      <c r="D11" s="3">
        <v>10</v>
      </c>
      <c r="E11" s="3" t="s">
        <v>20</v>
      </c>
      <c r="F11" s="3">
        <v>9.6</v>
      </c>
      <c r="G11" s="3">
        <f t="shared" si="0"/>
        <v>57.599999999999994</v>
      </c>
    </row>
    <row r="12" spans="1:8">
      <c r="B12" s="3" t="s">
        <v>12</v>
      </c>
      <c r="C12" s="3" t="s">
        <v>21</v>
      </c>
      <c r="D12" s="3">
        <v>25</v>
      </c>
      <c r="E12" s="3" t="s">
        <v>21</v>
      </c>
      <c r="F12" s="3">
        <v>32.700000000000003</v>
      </c>
      <c r="G12" s="3">
        <f t="shared" si="0"/>
        <v>78.48</v>
      </c>
    </row>
    <row r="13" spans="1:8">
      <c r="B13" s="3" t="s">
        <v>12</v>
      </c>
      <c r="C13" s="3" t="s">
        <v>22</v>
      </c>
      <c r="D13" s="3">
        <v>10</v>
      </c>
      <c r="E13" s="3" t="s">
        <v>22</v>
      </c>
      <c r="F13" s="3">
        <v>1</v>
      </c>
      <c r="G13" s="3">
        <f t="shared" si="0"/>
        <v>6</v>
      </c>
    </row>
    <row r="14" spans="1:8">
      <c r="B14" s="3" t="s">
        <v>23</v>
      </c>
      <c r="C14" s="3" t="s">
        <v>24</v>
      </c>
      <c r="D14" s="3">
        <v>10</v>
      </c>
      <c r="E14" s="3" t="s">
        <v>25</v>
      </c>
      <c r="F14" s="3">
        <v>2.2000000000000002</v>
      </c>
      <c r="G14" s="3">
        <f t="shared" si="0"/>
        <v>13.200000000000001</v>
      </c>
    </row>
    <row r="15" spans="1:8">
      <c r="B15" s="3" t="s">
        <v>23</v>
      </c>
      <c r="C15" s="3" t="s">
        <v>26</v>
      </c>
      <c r="D15" s="3">
        <v>25</v>
      </c>
      <c r="E15" s="3" t="s">
        <v>27</v>
      </c>
      <c r="F15" s="3">
        <v>17.600000000000001</v>
      </c>
      <c r="G15" s="3">
        <f t="shared" si="0"/>
        <v>42.24</v>
      </c>
    </row>
    <row r="16" spans="1:8">
      <c r="B16" s="3" t="s">
        <v>23</v>
      </c>
      <c r="C16" s="3" t="s">
        <v>28</v>
      </c>
      <c r="D16" s="3">
        <v>10</v>
      </c>
      <c r="E16" s="3" t="s">
        <v>29</v>
      </c>
      <c r="F16" s="3">
        <v>2</v>
      </c>
      <c r="G16" s="3">
        <f t="shared" si="0"/>
        <v>12</v>
      </c>
    </row>
    <row r="17" spans="1:8">
      <c r="B17" s="3" t="s">
        <v>23</v>
      </c>
      <c r="C17" s="3" t="s">
        <v>30</v>
      </c>
      <c r="D17" s="3">
        <v>25</v>
      </c>
      <c r="E17" s="3" t="s">
        <v>31</v>
      </c>
      <c r="F17" s="3">
        <v>34.5</v>
      </c>
      <c r="G17" s="3">
        <f t="shared" si="0"/>
        <v>82.8</v>
      </c>
    </row>
    <row r="18" spans="1:8">
      <c r="B18" s="3" t="s">
        <v>23</v>
      </c>
      <c r="C18" s="3" t="s">
        <v>32</v>
      </c>
      <c r="D18" s="3">
        <v>20</v>
      </c>
      <c r="E18" s="3" t="s">
        <v>33</v>
      </c>
      <c r="F18" s="3">
        <v>10.5</v>
      </c>
      <c r="G18" s="3">
        <f t="shared" si="0"/>
        <v>31.5</v>
      </c>
      <c r="H18" t="s">
        <v>34</v>
      </c>
    </row>
    <row r="19" spans="1:8">
      <c r="B19" s="3" t="s">
        <v>23</v>
      </c>
      <c r="C19" s="3" t="s">
        <v>35</v>
      </c>
      <c r="D19" s="3">
        <v>10</v>
      </c>
      <c r="E19" s="3" t="s">
        <v>36</v>
      </c>
      <c r="F19" s="3">
        <v>0</v>
      </c>
      <c r="G19" s="3">
        <f t="shared" si="0"/>
        <v>0</v>
      </c>
      <c r="H19" t="s">
        <v>37</v>
      </c>
    </row>
    <row r="20" spans="1:8">
      <c r="A20" s="2"/>
      <c r="B20" s="4" t="s">
        <v>38</v>
      </c>
      <c r="C20" s="5"/>
      <c r="D20" s="5"/>
      <c r="E20" s="5"/>
      <c r="F20" s="5">
        <v>159.1</v>
      </c>
      <c r="G20" s="5">
        <f>SUM(G8:G19)</f>
        <v>451.02000000000004</v>
      </c>
      <c r="H20" s="2" t="s">
        <v>39</v>
      </c>
    </row>
    <row r="22" spans="1:8">
      <c r="B22" s="1" t="s">
        <v>40</v>
      </c>
    </row>
    <row r="23" spans="1:8">
      <c r="B23" t="s">
        <v>41</v>
      </c>
      <c r="C23" s="3">
        <f>SUM(F8,F11,F13,F14,F16,F19)</f>
        <v>16.8</v>
      </c>
      <c r="D23" s="3">
        <v>16.8</v>
      </c>
      <c r="E23" s="3">
        <f>(D23/10)*60</f>
        <v>100.80000000000001</v>
      </c>
      <c r="F23" s="3" t="s">
        <v>42</v>
      </c>
      <c r="G23" s="3">
        <f>(D23/10)*60</f>
        <v>100.80000000000001</v>
      </c>
    </row>
    <row r="24" spans="1:8">
      <c r="B24" t="s">
        <v>43</v>
      </c>
      <c r="C24" s="3">
        <f>SUM(F9,F18)</f>
        <v>14.5</v>
      </c>
      <c r="D24" s="3">
        <v>14.5</v>
      </c>
      <c r="E24" s="3">
        <f>(C24/20)*60</f>
        <v>43.5</v>
      </c>
      <c r="F24" s="3" t="s">
        <v>44</v>
      </c>
      <c r="G24" s="3"/>
    </row>
    <row r="25" spans="1:8">
      <c r="B25" t="s">
        <v>45</v>
      </c>
      <c r="C25" s="3">
        <f>SUM(F10,F12,F15,F17)</f>
        <v>127.80000000000001</v>
      </c>
      <c r="D25" s="3">
        <v>127.8</v>
      </c>
      <c r="E25" s="3">
        <f>(D25/25)*60</f>
        <v>306.72000000000003</v>
      </c>
      <c r="F25" s="3" t="s">
        <v>46</v>
      </c>
      <c r="G25" s="3"/>
    </row>
    <row r="26" spans="1:8">
      <c r="C26" s="3"/>
      <c r="D26" s="3"/>
      <c r="E26" s="3"/>
      <c r="F26" s="3"/>
      <c r="G26" s="3"/>
    </row>
    <row r="28" spans="1:8">
      <c r="A28" s="1" t="s">
        <v>47</v>
      </c>
    </row>
    <row r="29" spans="1:8">
      <c r="A29" t="s">
        <v>48</v>
      </c>
    </row>
    <row r="32" spans="1:8">
      <c r="A32" s="7" t="s">
        <v>49</v>
      </c>
    </row>
    <row r="33" spans="1:3">
      <c r="A33" t="s">
        <v>50</v>
      </c>
    </row>
    <row r="34" spans="1:3" ht="15.75">
      <c r="A34" s="6" t="s">
        <v>51</v>
      </c>
    </row>
    <row r="35" spans="1:3" ht="15.75">
      <c r="A35" s="6" t="s">
        <v>52</v>
      </c>
    </row>
    <row r="36" spans="1:3" ht="15.75">
      <c r="A36" s="6" t="s">
        <v>53</v>
      </c>
    </row>
    <row r="38" spans="1:3">
      <c r="A38" t="s">
        <v>54</v>
      </c>
      <c r="B38">
        <v>25</v>
      </c>
      <c r="C38" t="s">
        <v>7</v>
      </c>
    </row>
    <row r="39" spans="1:3">
      <c r="A39" t="s">
        <v>55</v>
      </c>
      <c r="B39">
        <v>0.25</v>
      </c>
      <c r="C39" t="s">
        <v>56</v>
      </c>
    </row>
    <row r="40" spans="1:3">
      <c r="A40" t="s">
        <v>57</v>
      </c>
      <c r="B40">
        <f>2*3600*B39</f>
        <v>1800</v>
      </c>
      <c r="C40" t="s">
        <v>58</v>
      </c>
    </row>
    <row r="41" spans="1:3">
      <c r="A41" t="s">
        <v>59</v>
      </c>
      <c r="B41">
        <v>0.1</v>
      </c>
      <c r="C41" t="s">
        <v>60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17EF2-2FE1-4DD7-98E7-C94FA699421F}">
  <dimension ref="A1:C26"/>
  <sheetViews>
    <sheetView workbookViewId="0">
      <selection activeCell="C9" sqref="C9"/>
    </sheetView>
  </sheetViews>
  <sheetFormatPr defaultColWidth="10.140625" defaultRowHeight="15"/>
  <cols>
    <col min="1" max="1" width="48" customWidth="1"/>
    <col min="2" max="2" width="13.7109375" customWidth="1"/>
    <col min="3" max="3" width="59.42578125" customWidth="1"/>
  </cols>
  <sheetData>
    <row r="1" spans="1:3">
      <c r="A1" s="1" t="s">
        <v>61</v>
      </c>
      <c r="B1" s="1" t="s">
        <v>62</v>
      </c>
      <c r="C1" s="1" t="s">
        <v>11</v>
      </c>
    </row>
    <row r="2" spans="1:3">
      <c r="A2" t="s">
        <v>63</v>
      </c>
      <c r="B2">
        <v>25</v>
      </c>
      <c r="C2" t="s">
        <v>64</v>
      </c>
    </row>
    <row r="3" spans="1:3">
      <c r="A3" t="s">
        <v>65</v>
      </c>
      <c r="B3">
        <v>0.25</v>
      </c>
      <c r="C3" t="s">
        <v>66</v>
      </c>
    </row>
    <row r="4" spans="1:3">
      <c r="A4" t="s">
        <v>67</v>
      </c>
      <c r="B4">
        <v>2</v>
      </c>
    </row>
    <row r="5" spans="1:3">
      <c r="A5" t="s">
        <v>68</v>
      </c>
      <c r="B5">
        <v>1</v>
      </c>
    </row>
    <row r="6" spans="1:3">
      <c r="A6" t="s">
        <v>69</v>
      </c>
      <c r="B6">
        <v>265</v>
      </c>
      <c r="C6" t="s">
        <v>70</v>
      </c>
    </row>
    <row r="7" spans="1:3">
      <c r="A7" t="s">
        <v>71</v>
      </c>
      <c r="B7">
        <v>0.1</v>
      </c>
      <c r="C7" t="s">
        <v>72</v>
      </c>
    </row>
    <row r="8" spans="1:3">
      <c r="A8" t="s">
        <v>73</v>
      </c>
      <c r="B8">
        <v>40</v>
      </c>
      <c r="C8" t="s">
        <v>74</v>
      </c>
    </row>
    <row r="9" spans="1:3">
      <c r="A9" s="1" t="s">
        <v>75</v>
      </c>
    </row>
    <row r="10" spans="1:3">
      <c r="A10" t="s">
        <v>76</v>
      </c>
      <c r="B10">
        <v>30</v>
      </c>
    </row>
    <row r="11" spans="1:3">
      <c r="A11" t="s">
        <v>77</v>
      </c>
      <c r="B11">
        <v>10</v>
      </c>
    </row>
    <row r="12" spans="1:3">
      <c r="A12" t="s">
        <v>78</v>
      </c>
      <c r="B12">
        <v>15</v>
      </c>
    </row>
    <row r="13" spans="1:3">
      <c r="A13" t="s">
        <v>79</v>
      </c>
      <c r="B13">
        <v>15</v>
      </c>
    </row>
    <row r="14" spans="1:3">
      <c r="A14" t="s">
        <v>80</v>
      </c>
      <c r="B14">
        <v>15</v>
      </c>
    </row>
    <row r="15" spans="1:3">
      <c r="A15" t="s">
        <v>81</v>
      </c>
      <c r="B15">
        <v>360</v>
      </c>
    </row>
    <row r="16" spans="1:3">
      <c r="A16" t="s">
        <v>82</v>
      </c>
      <c r="B16">
        <v>24</v>
      </c>
    </row>
    <row r="17" spans="1:3">
      <c r="A17" t="s">
        <v>83</v>
      </c>
      <c r="B17">
        <v>48</v>
      </c>
    </row>
    <row r="18" spans="1:3">
      <c r="A18" s="1"/>
    </row>
    <row r="19" spans="1:3">
      <c r="A19" t="s">
        <v>84</v>
      </c>
      <c r="B19">
        <v>0</v>
      </c>
      <c r="C19" t="s">
        <v>85</v>
      </c>
    </row>
    <row r="20" spans="1:3">
      <c r="A20" t="s">
        <v>86</v>
      </c>
      <c r="B20">
        <v>1</v>
      </c>
      <c r="C20" t="s">
        <v>87</v>
      </c>
    </row>
    <row r="22" spans="1:3">
      <c r="A22" t="s">
        <v>88</v>
      </c>
      <c r="B22">
        <f>2*3600*B3</f>
        <v>1800</v>
      </c>
    </row>
    <row r="23" spans="1:3">
      <c r="A23" t="s">
        <v>89</v>
      </c>
      <c r="B23">
        <v>0.1</v>
      </c>
    </row>
    <row r="24" spans="1:3">
      <c r="A24" t="s">
        <v>90</v>
      </c>
      <c r="B24">
        <f>B22*B23</f>
        <v>180</v>
      </c>
    </row>
    <row r="25" spans="1:3">
      <c r="A25" t="s">
        <v>91</v>
      </c>
      <c r="B25">
        <f>B6*B7</f>
        <v>26.5</v>
      </c>
    </row>
    <row r="26" spans="1:3">
      <c r="A26" t="s">
        <v>92</v>
      </c>
      <c r="B26">
        <v>25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551CF4-EC0F-47A5-BD4E-6CB382E365D6}">
  <dimension ref="A1:H1593"/>
  <sheetViews>
    <sheetView workbookViewId="0">
      <selection activeCell="H15" sqref="H15"/>
    </sheetView>
  </sheetViews>
  <sheetFormatPr defaultColWidth="10.140625" defaultRowHeight="15"/>
  <cols>
    <col min="1" max="1" width="11.42578125" style="3" customWidth="1"/>
    <col min="2" max="2" width="16.140625" style="3" customWidth="1"/>
    <col min="3" max="3" width="18.140625" style="3" customWidth="1"/>
    <col min="4" max="5" width="14.85546875" style="3" hidden="1" customWidth="1"/>
    <col min="6" max="6" width="9.140625" style="3"/>
    <col min="7" max="7" width="21.5703125" style="3" customWidth="1"/>
    <col min="8" max="16384" width="10.140625" style="3"/>
  </cols>
  <sheetData>
    <row r="1" spans="1:8">
      <c r="A1" s="8" t="s">
        <v>93</v>
      </c>
      <c r="B1" s="8" t="s">
        <v>94</v>
      </c>
      <c r="C1" s="8" t="s">
        <v>7</v>
      </c>
      <c r="D1" s="8" t="s">
        <v>95</v>
      </c>
      <c r="E1" s="8" t="s">
        <v>96</v>
      </c>
      <c r="G1" s="8" t="s">
        <v>97</v>
      </c>
      <c r="H1" s="3">
        <v>0.25</v>
      </c>
    </row>
    <row r="2" spans="1:8">
      <c r="A2" s="3">
        <v>0</v>
      </c>
      <c r="B2" s="3">
        <v>0</v>
      </c>
      <c r="C2" s="3">
        <f t="shared" ref="C2:C65" si="0">ROUND(SQRT(E2),2)</f>
        <v>0</v>
      </c>
      <c r="D2" s="3">
        <f>B2^2</f>
        <v>0</v>
      </c>
      <c r="E2" s="3">
        <f t="shared" ref="E2:E65" si="1">MIN(D2, E3+$H$4)</f>
        <v>0</v>
      </c>
      <c r="G2" s="8" t="s">
        <v>98</v>
      </c>
      <c r="H2" s="3">
        <f>2*3600*H1</f>
        <v>1800</v>
      </c>
    </row>
    <row r="3" spans="1:8">
      <c r="A3" s="3">
        <v>0.1</v>
      </c>
      <c r="B3" s="3">
        <v>10</v>
      </c>
      <c r="C3" s="3">
        <f t="shared" si="0"/>
        <v>10</v>
      </c>
      <c r="D3" s="3">
        <f t="shared" ref="D3:D66" si="2">MIN(B3^2, D2+$H$4)</f>
        <v>100</v>
      </c>
      <c r="E3" s="3">
        <f t="shared" si="1"/>
        <v>100</v>
      </c>
      <c r="G3" s="8" t="s">
        <v>99</v>
      </c>
      <c r="H3" s="3">
        <v>0.1</v>
      </c>
    </row>
    <row r="4" spans="1:8">
      <c r="A4" s="3">
        <v>0.2</v>
      </c>
      <c r="B4" s="3">
        <v>10</v>
      </c>
      <c r="C4" s="3">
        <f t="shared" si="0"/>
        <v>10</v>
      </c>
      <c r="D4" s="3">
        <f t="shared" si="2"/>
        <v>100</v>
      </c>
      <c r="E4" s="3">
        <f t="shared" si="1"/>
        <v>100</v>
      </c>
      <c r="G4" s="8" t="s">
        <v>100</v>
      </c>
      <c r="H4" s="3">
        <f>H2*H3</f>
        <v>180</v>
      </c>
    </row>
    <row r="5" spans="1:8">
      <c r="A5" s="3">
        <v>0.3</v>
      </c>
      <c r="B5" s="3">
        <v>10</v>
      </c>
      <c r="C5" s="3">
        <f t="shared" si="0"/>
        <v>10</v>
      </c>
      <c r="D5" s="3">
        <f t="shared" si="2"/>
        <v>100</v>
      </c>
      <c r="E5" s="3">
        <f t="shared" si="1"/>
        <v>100</v>
      </c>
    </row>
    <row r="6" spans="1:8">
      <c r="A6" s="3">
        <v>0.4</v>
      </c>
      <c r="B6" s="3">
        <v>10</v>
      </c>
      <c r="C6" s="3">
        <f t="shared" si="0"/>
        <v>10</v>
      </c>
      <c r="D6" s="3">
        <f t="shared" si="2"/>
        <v>100</v>
      </c>
      <c r="E6" s="3">
        <f t="shared" si="1"/>
        <v>100</v>
      </c>
      <c r="G6" s="3" t="s">
        <v>101</v>
      </c>
    </row>
    <row r="7" spans="1:8">
      <c r="A7" s="3">
        <v>0.5</v>
      </c>
      <c r="B7" s="3">
        <v>10</v>
      </c>
      <c r="C7" s="3">
        <f t="shared" si="0"/>
        <v>10</v>
      </c>
      <c r="D7" s="3">
        <f t="shared" si="2"/>
        <v>100</v>
      </c>
      <c r="E7" s="3">
        <f t="shared" si="1"/>
        <v>100</v>
      </c>
      <c r="G7" s="3" t="s">
        <v>102</v>
      </c>
    </row>
    <row r="8" spans="1:8">
      <c r="A8" s="3">
        <v>0.6</v>
      </c>
      <c r="B8" s="3">
        <v>10</v>
      </c>
      <c r="C8" s="3">
        <f t="shared" si="0"/>
        <v>10</v>
      </c>
      <c r="D8" s="3">
        <f t="shared" si="2"/>
        <v>100</v>
      </c>
      <c r="E8" s="3">
        <f t="shared" si="1"/>
        <v>100</v>
      </c>
    </row>
    <row r="9" spans="1:8">
      <c r="A9" s="3">
        <v>0.7</v>
      </c>
      <c r="B9" s="3">
        <v>10</v>
      </c>
      <c r="C9" s="3">
        <f t="shared" si="0"/>
        <v>10</v>
      </c>
      <c r="D9" s="3">
        <f t="shared" si="2"/>
        <v>100</v>
      </c>
      <c r="E9" s="3">
        <f t="shared" si="1"/>
        <v>100</v>
      </c>
    </row>
    <row r="10" spans="1:8">
      <c r="A10" s="3">
        <v>0.8</v>
      </c>
      <c r="B10" s="3">
        <v>10</v>
      </c>
      <c r="C10" s="3">
        <f t="shared" si="0"/>
        <v>10</v>
      </c>
      <c r="D10" s="3">
        <f t="shared" si="2"/>
        <v>100</v>
      </c>
      <c r="E10" s="3">
        <f t="shared" si="1"/>
        <v>100</v>
      </c>
    </row>
    <row r="11" spans="1:8">
      <c r="A11" s="3">
        <v>0.9</v>
      </c>
      <c r="B11" s="3">
        <v>10</v>
      </c>
      <c r="C11" s="3">
        <f t="shared" si="0"/>
        <v>10</v>
      </c>
      <c r="D11" s="3">
        <f t="shared" si="2"/>
        <v>100</v>
      </c>
      <c r="E11" s="3">
        <f t="shared" si="1"/>
        <v>100</v>
      </c>
    </row>
    <row r="12" spans="1:8">
      <c r="A12" s="3">
        <v>1</v>
      </c>
      <c r="B12" s="3">
        <v>10</v>
      </c>
      <c r="C12" s="3">
        <f t="shared" si="0"/>
        <v>10</v>
      </c>
      <c r="D12" s="3">
        <f t="shared" si="2"/>
        <v>100</v>
      </c>
      <c r="E12" s="3">
        <f t="shared" si="1"/>
        <v>100</v>
      </c>
    </row>
    <row r="13" spans="1:8">
      <c r="A13" s="3">
        <v>1.1000000000000001</v>
      </c>
      <c r="B13" s="3">
        <v>10</v>
      </c>
      <c r="C13" s="3">
        <f t="shared" si="0"/>
        <v>10</v>
      </c>
      <c r="D13" s="3">
        <f t="shared" si="2"/>
        <v>100</v>
      </c>
      <c r="E13" s="3">
        <f t="shared" si="1"/>
        <v>100</v>
      </c>
    </row>
    <row r="14" spans="1:8">
      <c r="A14" s="3">
        <v>1.2</v>
      </c>
      <c r="B14" s="3">
        <v>10</v>
      </c>
      <c r="C14" s="3">
        <f t="shared" si="0"/>
        <v>10</v>
      </c>
      <c r="D14" s="3">
        <f t="shared" si="2"/>
        <v>100</v>
      </c>
      <c r="E14" s="3">
        <f t="shared" si="1"/>
        <v>100</v>
      </c>
    </row>
    <row r="15" spans="1:8">
      <c r="A15" s="3">
        <v>1.3</v>
      </c>
      <c r="B15" s="3">
        <v>10</v>
      </c>
      <c r="C15" s="3">
        <f t="shared" si="0"/>
        <v>10</v>
      </c>
      <c r="D15" s="3">
        <f t="shared" si="2"/>
        <v>100</v>
      </c>
      <c r="E15" s="3">
        <f t="shared" si="1"/>
        <v>100</v>
      </c>
    </row>
    <row r="16" spans="1:8">
      <c r="A16" s="3">
        <v>1.4</v>
      </c>
      <c r="B16" s="3">
        <v>10</v>
      </c>
      <c r="C16" s="3">
        <f t="shared" si="0"/>
        <v>10</v>
      </c>
      <c r="D16" s="3">
        <f t="shared" si="2"/>
        <v>100</v>
      </c>
      <c r="E16" s="3">
        <f t="shared" si="1"/>
        <v>100</v>
      </c>
    </row>
    <row r="17" spans="1:5">
      <c r="A17" s="3">
        <v>1.5</v>
      </c>
      <c r="B17" s="3">
        <v>10</v>
      </c>
      <c r="C17" s="3">
        <f t="shared" si="0"/>
        <v>10</v>
      </c>
      <c r="D17" s="3">
        <f t="shared" si="2"/>
        <v>100</v>
      </c>
      <c r="E17" s="3">
        <f t="shared" si="1"/>
        <v>100</v>
      </c>
    </row>
    <row r="18" spans="1:5">
      <c r="A18" s="3">
        <v>1.6</v>
      </c>
      <c r="B18" s="3">
        <v>10</v>
      </c>
      <c r="C18" s="3">
        <f t="shared" si="0"/>
        <v>10</v>
      </c>
      <c r="D18" s="3">
        <f t="shared" si="2"/>
        <v>100</v>
      </c>
      <c r="E18" s="3">
        <f t="shared" si="1"/>
        <v>100</v>
      </c>
    </row>
    <row r="19" spans="1:5">
      <c r="A19" s="3">
        <v>1.7</v>
      </c>
      <c r="B19" s="3">
        <v>10</v>
      </c>
      <c r="C19" s="3">
        <f t="shared" si="0"/>
        <v>10</v>
      </c>
      <c r="D19" s="3">
        <f t="shared" si="2"/>
        <v>100</v>
      </c>
      <c r="E19" s="3">
        <f t="shared" si="1"/>
        <v>100</v>
      </c>
    </row>
    <row r="20" spans="1:5">
      <c r="A20" s="3">
        <v>1.8</v>
      </c>
      <c r="B20" s="3">
        <v>10</v>
      </c>
      <c r="C20" s="3">
        <f t="shared" si="0"/>
        <v>10</v>
      </c>
      <c r="D20" s="3">
        <f t="shared" si="2"/>
        <v>100</v>
      </c>
      <c r="E20" s="3">
        <f t="shared" si="1"/>
        <v>100</v>
      </c>
    </row>
    <row r="21" spans="1:5">
      <c r="A21" s="3">
        <v>1.9</v>
      </c>
      <c r="B21" s="3">
        <v>10</v>
      </c>
      <c r="C21" s="3">
        <f t="shared" si="0"/>
        <v>10</v>
      </c>
      <c r="D21" s="3">
        <f t="shared" si="2"/>
        <v>100</v>
      </c>
      <c r="E21" s="3">
        <f t="shared" si="1"/>
        <v>100</v>
      </c>
    </row>
    <row r="22" spans="1:5">
      <c r="A22" s="3">
        <v>2</v>
      </c>
      <c r="B22" s="3">
        <v>10</v>
      </c>
      <c r="C22" s="3">
        <f t="shared" si="0"/>
        <v>10</v>
      </c>
      <c r="D22" s="3">
        <f t="shared" si="2"/>
        <v>100</v>
      </c>
      <c r="E22" s="3">
        <f t="shared" si="1"/>
        <v>100</v>
      </c>
    </row>
    <row r="23" spans="1:5">
      <c r="A23" s="3">
        <v>2.1</v>
      </c>
      <c r="B23" s="3">
        <v>20</v>
      </c>
      <c r="C23" s="3">
        <f>ROUND(SQRT(E23),2)</f>
        <v>16.73</v>
      </c>
      <c r="D23" s="3">
        <f t="shared" si="2"/>
        <v>280</v>
      </c>
      <c r="E23" s="3">
        <f t="shared" si="1"/>
        <v>280</v>
      </c>
    </row>
    <row r="24" spans="1:5">
      <c r="A24" s="3">
        <v>2.2000000000000002</v>
      </c>
      <c r="B24" s="3">
        <v>20</v>
      </c>
      <c r="C24" s="3">
        <f t="shared" si="0"/>
        <v>20</v>
      </c>
      <c r="D24" s="3">
        <f t="shared" si="2"/>
        <v>400</v>
      </c>
      <c r="E24" s="3">
        <f t="shared" si="1"/>
        <v>400</v>
      </c>
    </row>
    <row r="25" spans="1:5">
      <c r="A25" s="3">
        <v>2.2999999999999998</v>
      </c>
      <c r="B25" s="3">
        <v>20</v>
      </c>
      <c r="C25" s="3">
        <f t="shared" si="0"/>
        <v>20</v>
      </c>
      <c r="D25" s="3">
        <f t="shared" si="2"/>
        <v>400</v>
      </c>
      <c r="E25" s="3">
        <f t="shared" si="1"/>
        <v>400</v>
      </c>
    </row>
    <row r="26" spans="1:5">
      <c r="A26" s="3">
        <v>2.4</v>
      </c>
      <c r="B26" s="3">
        <v>20</v>
      </c>
      <c r="C26" s="3">
        <f t="shared" si="0"/>
        <v>20</v>
      </c>
      <c r="D26" s="3">
        <f t="shared" si="2"/>
        <v>400</v>
      </c>
      <c r="E26" s="3">
        <f t="shared" si="1"/>
        <v>400</v>
      </c>
    </row>
    <row r="27" spans="1:5">
      <c r="A27" s="3">
        <v>2.5</v>
      </c>
      <c r="B27" s="3">
        <v>20</v>
      </c>
      <c r="C27" s="3">
        <f t="shared" si="0"/>
        <v>20</v>
      </c>
      <c r="D27" s="3">
        <f t="shared" si="2"/>
        <v>400</v>
      </c>
      <c r="E27" s="3">
        <f t="shared" si="1"/>
        <v>400</v>
      </c>
    </row>
    <row r="28" spans="1:5">
      <c r="A28" s="3">
        <v>2.6</v>
      </c>
      <c r="B28" s="3">
        <v>20</v>
      </c>
      <c r="C28" s="3">
        <f t="shared" si="0"/>
        <v>20</v>
      </c>
      <c r="D28" s="3">
        <f t="shared" si="2"/>
        <v>400</v>
      </c>
      <c r="E28" s="3">
        <f t="shared" si="1"/>
        <v>400</v>
      </c>
    </row>
    <row r="29" spans="1:5">
      <c r="A29" s="3">
        <v>2.7</v>
      </c>
      <c r="B29" s="3">
        <v>20</v>
      </c>
      <c r="C29" s="3">
        <f t="shared" si="0"/>
        <v>20</v>
      </c>
      <c r="D29" s="3">
        <f t="shared" si="2"/>
        <v>400</v>
      </c>
      <c r="E29" s="3">
        <f t="shared" si="1"/>
        <v>400</v>
      </c>
    </row>
    <row r="30" spans="1:5">
      <c r="A30" s="3">
        <v>2.8</v>
      </c>
      <c r="B30" s="3">
        <v>20</v>
      </c>
      <c r="C30" s="3">
        <f t="shared" si="0"/>
        <v>20</v>
      </c>
      <c r="D30" s="3">
        <f t="shared" si="2"/>
        <v>400</v>
      </c>
      <c r="E30" s="3">
        <f t="shared" si="1"/>
        <v>400</v>
      </c>
    </row>
    <row r="31" spans="1:5">
      <c r="A31" s="3">
        <v>2.9</v>
      </c>
      <c r="B31" s="3">
        <v>20</v>
      </c>
      <c r="C31" s="3">
        <f t="shared" si="0"/>
        <v>20</v>
      </c>
      <c r="D31" s="3">
        <f t="shared" si="2"/>
        <v>400</v>
      </c>
      <c r="E31" s="3">
        <f t="shared" si="1"/>
        <v>400</v>
      </c>
    </row>
    <row r="32" spans="1:5">
      <c r="A32" s="3">
        <v>3</v>
      </c>
      <c r="B32" s="3">
        <v>20</v>
      </c>
      <c r="C32" s="3">
        <f t="shared" si="0"/>
        <v>20</v>
      </c>
      <c r="D32" s="3">
        <f t="shared" si="2"/>
        <v>400</v>
      </c>
      <c r="E32" s="3">
        <f t="shared" si="1"/>
        <v>400</v>
      </c>
    </row>
    <row r="33" spans="1:5">
      <c r="A33" s="3">
        <v>3.1</v>
      </c>
      <c r="B33" s="3">
        <v>20</v>
      </c>
      <c r="C33" s="3">
        <f t="shared" si="0"/>
        <v>20</v>
      </c>
      <c r="D33" s="3">
        <f t="shared" si="2"/>
        <v>400</v>
      </c>
      <c r="E33" s="3">
        <f t="shared" si="1"/>
        <v>400</v>
      </c>
    </row>
    <row r="34" spans="1:5">
      <c r="A34" s="3">
        <v>3.2</v>
      </c>
      <c r="B34" s="3">
        <v>20</v>
      </c>
      <c r="C34" s="3">
        <f t="shared" si="0"/>
        <v>20</v>
      </c>
      <c r="D34" s="3">
        <f t="shared" si="2"/>
        <v>400</v>
      </c>
      <c r="E34" s="3">
        <f t="shared" si="1"/>
        <v>400</v>
      </c>
    </row>
    <row r="35" spans="1:5">
      <c r="A35" s="3">
        <v>3.3</v>
      </c>
      <c r="B35" s="3">
        <v>20</v>
      </c>
      <c r="C35" s="3">
        <f t="shared" si="0"/>
        <v>20</v>
      </c>
      <c r="D35" s="3">
        <f t="shared" si="2"/>
        <v>400</v>
      </c>
      <c r="E35" s="3">
        <f t="shared" si="1"/>
        <v>400</v>
      </c>
    </row>
    <row r="36" spans="1:5">
      <c r="A36" s="3">
        <v>3.4</v>
      </c>
      <c r="B36" s="3">
        <v>20</v>
      </c>
      <c r="C36" s="3">
        <f t="shared" si="0"/>
        <v>20</v>
      </c>
      <c r="D36" s="3">
        <f t="shared" si="2"/>
        <v>400</v>
      </c>
      <c r="E36" s="3">
        <f t="shared" si="1"/>
        <v>400</v>
      </c>
    </row>
    <row r="37" spans="1:5">
      <c r="A37" s="3">
        <v>3.5</v>
      </c>
      <c r="B37" s="3">
        <v>20</v>
      </c>
      <c r="C37" s="3">
        <f t="shared" si="0"/>
        <v>20</v>
      </c>
      <c r="D37" s="3">
        <f t="shared" si="2"/>
        <v>400</v>
      </c>
      <c r="E37" s="3">
        <f t="shared" si="1"/>
        <v>400</v>
      </c>
    </row>
    <row r="38" spans="1:5">
      <c r="A38" s="3">
        <v>3.6</v>
      </c>
      <c r="B38" s="3">
        <v>20</v>
      </c>
      <c r="C38" s="3">
        <f t="shared" si="0"/>
        <v>20</v>
      </c>
      <c r="D38" s="3">
        <f t="shared" si="2"/>
        <v>400</v>
      </c>
      <c r="E38" s="3">
        <f t="shared" si="1"/>
        <v>400</v>
      </c>
    </row>
    <row r="39" spans="1:5">
      <c r="A39" s="3">
        <v>3.7</v>
      </c>
      <c r="B39" s="3">
        <v>20</v>
      </c>
      <c r="C39" s="3">
        <f t="shared" si="0"/>
        <v>20</v>
      </c>
      <c r="D39" s="3">
        <f t="shared" si="2"/>
        <v>400</v>
      </c>
      <c r="E39" s="3">
        <f t="shared" si="1"/>
        <v>400</v>
      </c>
    </row>
    <row r="40" spans="1:5">
      <c r="A40" s="3">
        <v>3.8</v>
      </c>
      <c r="B40" s="3">
        <v>20</v>
      </c>
      <c r="C40" s="3">
        <f t="shared" si="0"/>
        <v>20</v>
      </c>
      <c r="D40" s="3">
        <f t="shared" si="2"/>
        <v>400</v>
      </c>
      <c r="E40" s="3">
        <f t="shared" si="1"/>
        <v>400</v>
      </c>
    </row>
    <row r="41" spans="1:5">
      <c r="A41" s="3">
        <v>3.9</v>
      </c>
      <c r="B41" s="3">
        <v>20</v>
      </c>
      <c r="C41" s="3">
        <f t="shared" si="0"/>
        <v>20</v>
      </c>
      <c r="D41" s="3">
        <f t="shared" si="2"/>
        <v>400</v>
      </c>
      <c r="E41" s="3">
        <f t="shared" si="1"/>
        <v>400</v>
      </c>
    </row>
    <row r="42" spans="1:5">
      <c r="A42" s="3">
        <v>4</v>
      </c>
      <c r="B42" s="3">
        <v>20</v>
      </c>
      <c r="C42" s="3">
        <f t="shared" si="0"/>
        <v>20</v>
      </c>
      <c r="D42" s="3">
        <f t="shared" si="2"/>
        <v>400</v>
      </c>
      <c r="E42" s="3">
        <f t="shared" si="1"/>
        <v>400</v>
      </c>
    </row>
    <row r="43" spans="1:5">
      <c r="A43" s="3">
        <v>4.0999999999999996</v>
      </c>
      <c r="B43" s="3">
        <v>20</v>
      </c>
      <c r="C43" s="3">
        <f t="shared" si="0"/>
        <v>20</v>
      </c>
      <c r="D43" s="3">
        <f t="shared" si="2"/>
        <v>400</v>
      </c>
      <c r="E43" s="3">
        <f t="shared" si="1"/>
        <v>400</v>
      </c>
    </row>
    <row r="44" spans="1:5">
      <c r="A44" s="3">
        <v>4.2</v>
      </c>
      <c r="B44" s="3">
        <v>20</v>
      </c>
      <c r="C44" s="3">
        <f t="shared" si="0"/>
        <v>20</v>
      </c>
      <c r="D44" s="3">
        <f t="shared" si="2"/>
        <v>400</v>
      </c>
      <c r="E44" s="3">
        <f t="shared" si="1"/>
        <v>400</v>
      </c>
    </row>
    <row r="45" spans="1:5">
      <c r="A45" s="3">
        <v>4.3</v>
      </c>
      <c r="B45" s="3">
        <v>20</v>
      </c>
      <c r="C45" s="3">
        <f t="shared" si="0"/>
        <v>20</v>
      </c>
      <c r="D45" s="3">
        <f t="shared" si="2"/>
        <v>400</v>
      </c>
      <c r="E45" s="3">
        <f t="shared" si="1"/>
        <v>400</v>
      </c>
    </row>
    <row r="46" spans="1:5">
      <c r="A46" s="3">
        <v>4.4000000000000004</v>
      </c>
      <c r="B46" s="3">
        <v>20</v>
      </c>
      <c r="C46" s="3">
        <f t="shared" si="0"/>
        <v>20</v>
      </c>
      <c r="D46" s="3">
        <f t="shared" si="2"/>
        <v>400</v>
      </c>
      <c r="E46" s="3">
        <f t="shared" si="1"/>
        <v>400</v>
      </c>
    </row>
    <row r="47" spans="1:5">
      <c r="A47" s="3">
        <v>4.5</v>
      </c>
      <c r="B47" s="3">
        <v>20</v>
      </c>
      <c r="C47" s="3">
        <f t="shared" si="0"/>
        <v>20</v>
      </c>
      <c r="D47" s="3">
        <f t="shared" si="2"/>
        <v>400</v>
      </c>
      <c r="E47" s="3">
        <f t="shared" si="1"/>
        <v>400</v>
      </c>
    </row>
    <row r="48" spans="1:5">
      <c r="A48" s="3">
        <v>4.5999999999999996</v>
      </c>
      <c r="B48" s="3">
        <v>20</v>
      </c>
      <c r="C48" s="3">
        <f t="shared" si="0"/>
        <v>20</v>
      </c>
      <c r="D48" s="3">
        <f t="shared" si="2"/>
        <v>400</v>
      </c>
      <c r="E48" s="3">
        <f t="shared" si="1"/>
        <v>400</v>
      </c>
    </row>
    <row r="49" spans="1:5">
      <c r="A49" s="3">
        <v>4.7</v>
      </c>
      <c r="B49" s="3">
        <v>20</v>
      </c>
      <c r="C49" s="3">
        <f t="shared" si="0"/>
        <v>20</v>
      </c>
      <c r="D49" s="3">
        <f t="shared" si="2"/>
        <v>400</v>
      </c>
      <c r="E49" s="3">
        <f t="shared" si="1"/>
        <v>400</v>
      </c>
    </row>
    <row r="50" spans="1:5">
      <c r="A50" s="3">
        <v>4.8</v>
      </c>
      <c r="B50" s="3">
        <v>20</v>
      </c>
      <c r="C50" s="3">
        <f t="shared" si="0"/>
        <v>20</v>
      </c>
      <c r="D50" s="3">
        <f t="shared" si="2"/>
        <v>400</v>
      </c>
      <c r="E50" s="3">
        <f t="shared" si="1"/>
        <v>400</v>
      </c>
    </row>
    <row r="51" spans="1:5">
      <c r="A51" s="3">
        <v>4.9000000000000004</v>
      </c>
      <c r="B51" s="3">
        <v>20</v>
      </c>
      <c r="C51" s="3">
        <f t="shared" si="0"/>
        <v>20</v>
      </c>
      <c r="D51" s="3">
        <f t="shared" si="2"/>
        <v>400</v>
      </c>
      <c r="E51" s="3">
        <f t="shared" si="1"/>
        <v>400</v>
      </c>
    </row>
    <row r="52" spans="1:5">
      <c r="A52" s="3">
        <v>5</v>
      </c>
      <c r="B52" s="3">
        <v>20</v>
      </c>
      <c r="C52" s="3">
        <f t="shared" si="0"/>
        <v>20</v>
      </c>
      <c r="D52" s="3">
        <f t="shared" si="2"/>
        <v>400</v>
      </c>
      <c r="E52" s="3">
        <f t="shared" si="1"/>
        <v>400</v>
      </c>
    </row>
    <row r="53" spans="1:5">
      <c r="A53" s="3">
        <v>5.0999999999999996</v>
      </c>
      <c r="B53" s="3">
        <v>20</v>
      </c>
      <c r="C53" s="3">
        <f t="shared" si="0"/>
        <v>20</v>
      </c>
      <c r="D53" s="3">
        <f t="shared" si="2"/>
        <v>400</v>
      </c>
      <c r="E53" s="3">
        <f t="shared" si="1"/>
        <v>400</v>
      </c>
    </row>
    <row r="54" spans="1:5">
      <c r="A54" s="3">
        <v>5.2</v>
      </c>
      <c r="B54" s="3">
        <v>20</v>
      </c>
      <c r="C54" s="3">
        <f t="shared" si="0"/>
        <v>20</v>
      </c>
      <c r="D54" s="3">
        <f t="shared" si="2"/>
        <v>400</v>
      </c>
      <c r="E54" s="3">
        <f t="shared" si="1"/>
        <v>400</v>
      </c>
    </row>
    <row r="55" spans="1:5">
      <c r="A55" s="3">
        <v>5.3</v>
      </c>
      <c r="B55" s="3">
        <v>20</v>
      </c>
      <c r="C55" s="3">
        <f t="shared" si="0"/>
        <v>20</v>
      </c>
      <c r="D55" s="3">
        <f t="shared" si="2"/>
        <v>400</v>
      </c>
      <c r="E55" s="3">
        <f t="shared" si="1"/>
        <v>400</v>
      </c>
    </row>
    <row r="56" spans="1:5">
      <c r="A56" s="3">
        <v>5.4</v>
      </c>
      <c r="B56" s="3">
        <v>20</v>
      </c>
      <c r="C56" s="3">
        <f t="shared" si="0"/>
        <v>20</v>
      </c>
      <c r="D56" s="3">
        <f t="shared" si="2"/>
        <v>400</v>
      </c>
      <c r="E56" s="3">
        <f t="shared" si="1"/>
        <v>400</v>
      </c>
    </row>
    <row r="57" spans="1:5">
      <c r="A57" s="3">
        <v>5.5</v>
      </c>
      <c r="B57" s="3">
        <v>20</v>
      </c>
      <c r="C57" s="3">
        <f t="shared" si="0"/>
        <v>20</v>
      </c>
      <c r="D57" s="3">
        <f t="shared" si="2"/>
        <v>400</v>
      </c>
      <c r="E57" s="3">
        <f t="shared" si="1"/>
        <v>400</v>
      </c>
    </row>
    <row r="58" spans="1:5">
      <c r="A58" s="3">
        <v>5.6</v>
      </c>
      <c r="B58" s="3">
        <v>20</v>
      </c>
      <c r="C58" s="3">
        <f t="shared" si="0"/>
        <v>20</v>
      </c>
      <c r="D58" s="3">
        <f t="shared" si="2"/>
        <v>400</v>
      </c>
      <c r="E58" s="3">
        <f t="shared" si="1"/>
        <v>400</v>
      </c>
    </row>
    <row r="59" spans="1:5">
      <c r="A59" s="3">
        <v>5.7</v>
      </c>
      <c r="B59" s="3">
        <v>20</v>
      </c>
      <c r="C59" s="3">
        <f t="shared" si="0"/>
        <v>20</v>
      </c>
      <c r="D59" s="3">
        <f t="shared" si="2"/>
        <v>400</v>
      </c>
      <c r="E59" s="3">
        <f t="shared" si="1"/>
        <v>400</v>
      </c>
    </row>
    <row r="60" spans="1:5">
      <c r="A60" s="3">
        <v>5.8</v>
      </c>
      <c r="B60" s="3">
        <v>20</v>
      </c>
      <c r="C60" s="3">
        <f t="shared" si="0"/>
        <v>20</v>
      </c>
      <c r="D60" s="3">
        <f t="shared" si="2"/>
        <v>400</v>
      </c>
      <c r="E60" s="3">
        <f t="shared" si="1"/>
        <v>400</v>
      </c>
    </row>
    <row r="61" spans="1:5">
      <c r="A61" s="3">
        <v>5.9</v>
      </c>
      <c r="B61" s="3">
        <v>20</v>
      </c>
      <c r="C61" s="3">
        <f t="shared" si="0"/>
        <v>20</v>
      </c>
      <c r="D61" s="3">
        <f t="shared" si="2"/>
        <v>400</v>
      </c>
      <c r="E61" s="3">
        <f t="shared" si="1"/>
        <v>400</v>
      </c>
    </row>
    <row r="62" spans="1:5">
      <c r="A62" s="3">
        <v>6</v>
      </c>
      <c r="B62" s="3">
        <v>20</v>
      </c>
      <c r="C62" s="3">
        <f t="shared" si="0"/>
        <v>20</v>
      </c>
      <c r="D62" s="3">
        <f t="shared" si="2"/>
        <v>400</v>
      </c>
      <c r="E62" s="3">
        <f t="shared" si="1"/>
        <v>400</v>
      </c>
    </row>
    <row r="63" spans="1:5">
      <c r="A63" s="3">
        <v>6.1</v>
      </c>
      <c r="B63" s="3">
        <v>25</v>
      </c>
      <c r="C63" s="3">
        <f t="shared" si="0"/>
        <v>24.08</v>
      </c>
      <c r="D63" s="3">
        <f t="shared" si="2"/>
        <v>580</v>
      </c>
      <c r="E63" s="3">
        <f t="shared" si="1"/>
        <v>580</v>
      </c>
    </row>
    <row r="64" spans="1:5">
      <c r="A64" s="3">
        <v>6.2</v>
      </c>
      <c r="B64" s="3">
        <v>25</v>
      </c>
      <c r="C64" s="3">
        <f t="shared" si="0"/>
        <v>25</v>
      </c>
      <c r="D64" s="3">
        <f t="shared" si="2"/>
        <v>625</v>
      </c>
      <c r="E64" s="3">
        <f t="shared" si="1"/>
        <v>625</v>
      </c>
    </row>
    <row r="65" spans="1:5">
      <c r="A65" s="3">
        <v>6.3</v>
      </c>
      <c r="B65" s="3">
        <v>25</v>
      </c>
      <c r="C65" s="3">
        <f t="shared" si="0"/>
        <v>25</v>
      </c>
      <c r="D65" s="3">
        <f t="shared" si="2"/>
        <v>625</v>
      </c>
      <c r="E65" s="3">
        <f t="shared" si="1"/>
        <v>625</v>
      </c>
    </row>
    <row r="66" spans="1:5">
      <c r="A66" s="3">
        <v>6.4</v>
      </c>
      <c r="B66" s="3">
        <v>25</v>
      </c>
      <c r="C66" s="3">
        <f t="shared" ref="C66:C129" si="3">ROUND(SQRT(E66),2)</f>
        <v>25</v>
      </c>
      <c r="D66" s="3">
        <f t="shared" si="2"/>
        <v>625</v>
      </c>
      <c r="E66" s="3">
        <f t="shared" ref="E66:E129" si="4">MIN(D66, E67+$H$4)</f>
        <v>625</v>
      </c>
    </row>
    <row r="67" spans="1:5">
      <c r="A67" s="3">
        <v>6.5</v>
      </c>
      <c r="B67" s="3">
        <v>25</v>
      </c>
      <c r="C67" s="3">
        <f t="shared" si="3"/>
        <v>25</v>
      </c>
      <c r="D67" s="3">
        <f t="shared" ref="D67:D130" si="5">MIN(B67^2, D66+$H$4)</f>
        <v>625</v>
      </c>
      <c r="E67" s="3">
        <f t="shared" si="4"/>
        <v>625</v>
      </c>
    </row>
    <row r="68" spans="1:5">
      <c r="A68" s="3">
        <v>6.6</v>
      </c>
      <c r="B68" s="3">
        <v>25</v>
      </c>
      <c r="C68" s="3">
        <f t="shared" si="3"/>
        <v>25</v>
      </c>
      <c r="D68" s="3">
        <f t="shared" si="5"/>
        <v>625</v>
      </c>
      <c r="E68" s="3">
        <f t="shared" si="4"/>
        <v>625</v>
      </c>
    </row>
    <row r="69" spans="1:5">
      <c r="A69" s="3">
        <v>6.7</v>
      </c>
      <c r="B69" s="3">
        <v>25</v>
      </c>
      <c r="C69" s="3">
        <f t="shared" si="3"/>
        <v>25</v>
      </c>
      <c r="D69" s="3">
        <f t="shared" si="5"/>
        <v>625</v>
      </c>
      <c r="E69" s="3">
        <f t="shared" si="4"/>
        <v>625</v>
      </c>
    </row>
    <row r="70" spans="1:5">
      <c r="A70" s="3">
        <v>6.8</v>
      </c>
      <c r="B70" s="3">
        <v>25</v>
      </c>
      <c r="C70" s="3">
        <f t="shared" si="3"/>
        <v>25</v>
      </c>
      <c r="D70" s="3">
        <f t="shared" si="5"/>
        <v>625</v>
      </c>
      <c r="E70" s="3">
        <f t="shared" si="4"/>
        <v>625</v>
      </c>
    </row>
    <row r="71" spans="1:5">
      <c r="A71" s="3">
        <v>6.9</v>
      </c>
      <c r="B71" s="3">
        <v>25</v>
      </c>
      <c r="C71" s="3">
        <f t="shared" si="3"/>
        <v>25</v>
      </c>
      <c r="D71" s="3">
        <f t="shared" si="5"/>
        <v>625</v>
      </c>
      <c r="E71" s="3">
        <f t="shared" si="4"/>
        <v>625</v>
      </c>
    </row>
    <row r="72" spans="1:5">
      <c r="A72" s="3">
        <v>7</v>
      </c>
      <c r="B72" s="3">
        <v>25</v>
      </c>
      <c r="C72" s="3">
        <f t="shared" si="3"/>
        <v>25</v>
      </c>
      <c r="D72" s="3">
        <f t="shared" si="5"/>
        <v>625</v>
      </c>
      <c r="E72" s="3">
        <f t="shared" si="4"/>
        <v>625</v>
      </c>
    </row>
    <row r="73" spans="1:5">
      <c r="A73" s="3">
        <v>7.1</v>
      </c>
      <c r="B73" s="3">
        <v>25</v>
      </c>
      <c r="C73" s="3">
        <f t="shared" si="3"/>
        <v>25</v>
      </c>
      <c r="D73" s="3">
        <f t="shared" si="5"/>
        <v>625</v>
      </c>
      <c r="E73" s="3">
        <f t="shared" si="4"/>
        <v>625</v>
      </c>
    </row>
    <row r="74" spans="1:5">
      <c r="A74" s="3">
        <v>7.2</v>
      </c>
      <c r="B74" s="3">
        <v>25</v>
      </c>
      <c r="C74" s="3">
        <f t="shared" si="3"/>
        <v>25</v>
      </c>
      <c r="D74" s="3">
        <f t="shared" si="5"/>
        <v>625</v>
      </c>
      <c r="E74" s="3">
        <f t="shared" si="4"/>
        <v>625</v>
      </c>
    </row>
    <row r="75" spans="1:5">
      <c r="A75" s="3">
        <v>7.3</v>
      </c>
      <c r="B75" s="3">
        <v>25</v>
      </c>
      <c r="C75" s="3">
        <f t="shared" si="3"/>
        <v>25</v>
      </c>
      <c r="D75" s="3">
        <f t="shared" si="5"/>
        <v>625</v>
      </c>
      <c r="E75" s="3">
        <f t="shared" si="4"/>
        <v>625</v>
      </c>
    </row>
    <row r="76" spans="1:5">
      <c r="A76" s="3">
        <v>7.4</v>
      </c>
      <c r="B76" s="3">
        <v>25</v>
      </c>
      <c r="C76" s="3">
        <f t="shared" si="3"/>
        <v>25</v>
      </c>
      <c r="D76" s="3">
        <f t="shared" si="5"/>
        <v>625</v>
      </c>
      <c r="E76" s="3">
        <f t="shared" si="4"/>
        <v>625</v>
      </c>
    </row>
    <row r="77" spans="1:5">
      <c r="A77" s="3">
        <v>7.5</v>
      </c>
      <c r="B77" s="3">
        <v>25</v>
      </c>
      <c r="C77" s="3">
        <f t="shared" si="3"/>
        <v>25</v>
      </c>
      <c r="D77" s="3">
        <f t="shared" si="5"/>
        <v>625</v>
      </c>
      <c r="E77" s="3">
        <f t="shared" si="4"/>
        <v>625</v>
      </c>
    </row>
    <row r="78" spans="1:5">
      <c r="A78" s="3">
        <v>7.6</v>
      </c>
      <c r="B78" s="3">
        <v>25</v>
      </c>
      <c r="C78" s="3">
        <f t="shared" si="3"/>
        <v>25</v>
      </c>
      <c r="D78" s="3">
        <f t="shared" si="5"/>
        <v>625</v>
      </c>
      <c r="E78" s="3">
        <f t="shared" si="4"/>
        <v>625</v>
      </c>
    </row>
    <row r="79" spans="1:5">
      <c r="A79" s="3">
        <v>7.7</v>
      </c>
      <c r="B79" s="3">
        <v>25</v>
      </c>
      <c r="C79" s="3">
        <f t="shared" si="3"/>
        <v>25</v>
      </c>
      <c r="D79" s="3">
        <f t="shared" si="5"/>
        <v>625</v>
      </c>
      <c r="E79" s="3">
        <f t="shared" si="4"/>
        <v>625</v>
      </c>
    </row>
    <row r="80" spans="1:5">
      <c r="A80" s="3">
        <v>7.8</v>
      </c>
      <c r="B80" s="3">
        <v>25</v>
      </c>
      <c r="C80" s="3">
        <f t="shared" si="3"/>
        <v>25</v>
      </c>
      <c r="D80" s="3">
        <f t="shared" si="5"/>
        <v>625</v>
      </c>
      <c r="E80" s="3">
        <f t="shared" si="4"/>
        <v>625</v>
      </c>
    </row>
    <row r="81" spans="1:5">
      <c r="A81" s="3">
        <v>7.9</v>
      </c>
      <c r="B81" s="3">
        <v>25</v>
      </c>
      <c r="C81" s="3">
        <f t="shared" si="3"/>
        <v>25</v>
      </c>
      <c r="D81" s="3">
        <f t="shared" si="5"/>
        <v>625</v>
      </c>
      <c r="E81" s="3">
        <f t="shared" si="4"/>
        <v>625</v>
      </c>
    </row>
    <row r="82" spans="1:5">
      <c r="A82" s="3">
        <v>8</v>
      </c>
      <c r="B82" s="3">
        <v>25</v>
      </c>
      <c r="C82" s="3">
        <f t="shared" si="3"/>
        <v>25</v>
      </c>
      <c r="D82" s="3">
        <f t="shared" si="5"/>
        <v>625</v>
      </c>
      <c r="E82" s="3">
        <f t="shared" si="4"/>
        <v>625</v>
      </c>
    </row>
    <row r="83" spans="1:5">
      <c r="A83" s="3">
        <v>8.1</v>
      </c>
      <c r="B83" s="3">
        <v>25</v>
      </c>
      <c r="C83" s="3">
        <f t="shared" si="3"/>
        <v>25</v>
      </c>
      <c r="D83" s="3">
        <f t="shared" si="5"/>
        <v>625</v>
      </c>
      <c r="E83" s="3">
        <f t="shared" si="4"/>
        <v>625</v>
      </c>
    </row>
    <row r="84" spans="1:5">
      <c r="A84" s="3">
        <v>8.1999999999999993</v>
      </c>
      <c r="B84" s="3">
        <v>25</v>
      </c>
      <c r="C84" s="3">
        <f t="shared" si="3"/>
        <v>25</v>
      </c>
      <c r="D84" s="3">
        <f t="shared" si="5"/>
        <v>625</v>
      </c>
      <c r="E84" s="3">
        <f t="shared" si="4"/>
        <v>625</v>
      </c>
    </row>
    <row r="85" spans="1:5">
      <c r="A85" s="3">
        <v>8.3000000000000007</v>
      </c>
      <c r="B85" s="3">
        <v>25</v>
      </c>
      <c r="C85" s="3">
        <f t="shared" si="3"/>
        <v>25</v>
      </c>
      <c r="D85" s="3">
        <f t="shared" si="5"/>
        <v>625</v>
      </c>
      <c r="E85" s="3">
        <f t="shared" si="4"/>
        <v>625</v>
      </c>
    </row>
    <row r="86" spans="1:5">
      <c r="A86" s="3">
        <v>8.4</v>
      </c>
      <c r="B86" s="3">
        <v>25</v>
      </c>
      <c r="C86" s="3">
        <f t="shared" si="3"/>
        <v>25</v>
      </c>
      <c r="D86" s="3">
        <f t="shared" si="5"/>
        <v>625</v>
      </c>
      <c r="E86" s="3">
        <f t="shared" si="4"/>
        <v>625</v>
      </c>
    </row>
    <row r="87" spans="1:5">
      <c r="A87" s="3">
        <v>8.5</v>
      </c>
      <c r="B87" s="3">
        <v>25</v>
      </c>
      <c r="C87" s="3">
        <f t="shared" si="3"/>
        <v>25</v>
      </c>
      <c r="D87" s="3">
        <f t="shared" si="5"/>
        <v>625</v>
      </c>
      <c r="E87" s="3">
        <f t="shared" si="4"/>
        <v>625</v>
      </c>
    </row>
    <row r="88" spans="1:5">
      <c r="A88" s="3">
        <v>8.6</v>
      </c>
      <c r="B88" s="3">
        <v>25</v>
      </c>
      <c r="C88" s="3">
        <f t="shared" si="3"/>
        <v>25</v>
      </c>
      <c r="D88" s="3">
        <f t="shared" si="5"/>
        <v>625</v>
      </c>
      <c r="E88" s="3">
        <f t="shared" si="4"/>
        <v>625</v>
      </c>
    </row>
    <row r="89" spans="1:5">
      <c r="A89" s="3">
        <v>8.6999999999999993</v>
      </c>
      <c r="B89" s="3">
        <v>25</v>
      </c>
      <c r="C89" s="3">
        <f t="shared" si="3"/>
        <v>25</v>
      </c>
      <c r="D89" s="3">
        <f t="shared" si="5"/>
        <v>625</v>
      </c>
      <c r="E89" s="3">
        <f t="shared" si="4"/>
        <v>625</v>
      </c>
    </row>
    <row r="90" spans="1:5">
      <c r="A90" s="3">
        <v>8.8000000000000007</v>
      </c>
      <c r="B90" s="3">
        <v>25</v>
      </c>
      <c r="C90" s="3">
        <f t="shared" si="3"/>
        <v>25</v>
      </c>
      <c r="D90" s="3">
        <f t="shared" si="5"/>
        <v>625</v>
      </c>
      <c r="E90" s="3">
        <f t="shared" si="4"/>
        <v>625</v>
      </c>
    </row>
    <row r="91" spans="1:5">
      <c r="A91" s="3">
        <v>8.9</v>
      </c>
      <c r="B91" s="3">
        <v>25</v>
      </c>
      <c r="C91" s="3">
        <f t="shared" si="3"/>
        <v>25</v>
      </c>
      <c r="D91" s="3">
        <f t="shared" si="5"/>
        <v>625</v>
      </c>
      <c r="E91" s="3">
        <f t="shared" si="4"/>
        <v>625</v>
      </c>
    </row>
    <row r="92" spans="1:5">
      <c r="A92" s="3">
        <v>9</v>
      </c>
      <c r="B92" s="3">
        <v>25</v>
      </c>
      <c r="C92" s="3">
        <f t="shared" si="3"/>
        <v>25</v>
      </c>
      <c r="D92" s="3">
        <f t="shared" si="5"/>
        <v>625</v>
      </c>
      <c r="E92" s="3">
        <f t="shared" si="4"/>
        <v>625</v>
      </c>
    </row>
    <row r="93" spans="1:5">
      <c r="A93" s="3">
        <v>9.1</v>
      </c>
      <c r="B93" s="3">
        <v>25</v>
      </c>
      <c r="C93" s="3">
        <f t="shared" si="3"/>
        <v>25</v>
      </c>
      <c r="D93" s="3">
        <f t="shared" si="5"/>
        <v>625</v>
      </c>
      <c r="E93" s="3">
        <f t="shared" si="4"/>
        <v>625</v>
      </c>
    </row>
    <row r="94" spans="1:5">
      <c r="A94" s="3">
        <v>9.1999999999999993</v>
      </c>
      <c r="B94" s="3">
        <v>25</v>
      </c>
      <c r="C94" s="3">
        <f t="shared" si="3"/>
        <v>25</v>
      </c>
      <c r="D94" s="3">
        <f t="shared" si="5"/>
        <v>625</v>
      </c>
      <c r="E94" s="3">
        <f t="shared" si="4"/>
        <v>625</v>
      </c>
    </row>
    <row r="95" spans="1:5">
      <c r="A95" s="3">
        <v>9.3000000000000007</v>
      </c>
      <c r="B95" s="3">
        <v>25</v>
      </c>
      <c r="C95" s="3">
        <f t="shared" si="3"/>
        <v>25</v>
      </c>
      <c r="D95" s="3">
        <f t="shared" si="5"/>
        <v>625</v>
      </c>
      <c r="E95" s="3">
        <f t="shared" si="4"/>
        <v>625</v>
      </c>
    </row>
    <row r="96" spans="1:5">
      <c r="A96" s="3">
        <v>9.4</v>
      </c>
      <c r="B96" s="3">
        <v>25</v>
      </c>
      <c r="C96" s="3">
        <f t="shared" si="3"/>
        <v>25</v>
      </c>
      <c r="D96" s="3">
        <f t="shared" si="5"/>
        <v>625</v>
      </c>
      <c r="E96" s="3">
        <f t="shared" si="4"/>
        <v>625</v>
      </c>
    </row>
    <row r="97" spans="1:5">
      <c r="A97" s="3">
        <v>9.5</v>
      </c>
      <c r="B97" s="3">
        <v>25</v>
      </c>
      <c r="C97" s="3">
        <f t="shared" si="3"/>
        <v>25</v>
      </c>
      <c r="D97" s="3">
        <f t="shared" si="5"/>
        <v>625</v>
      </c>
      <c r="E97" s="3">
        <f t="shared" si="4"/>
        <v>625</v>
      </c>
    </row>
    <row r="98" spans="1:5">
      <c r="A98" s="3">
        <v>9.6</v>
      </c>
      <c r="B98" s="3">
        <v>25</v>
      </c>
      <c r="C98" s="3">
        <f t="shared" si="3"/>
        <v>25</v>
      </c>
      <c r="D98" s="3">
        <f t="shared" si="5"/>
        <v>625</v>
      </c>
      <c r="E98" s="3">
        <f t="shared" si="4"/>
        <v>625</v>
      </c>
    </row>
    <row r="99" spans="1:5">
      <c r="A99" s="3">
        <v>9.6999999999999993</v>
      </c>
      <c r="B99" s="3">
        <v>25</v>
      </c>
      <c r="C99" s="3">
        <f t="shared" si="3"/>
        <v>25</v>
      </c>
      <c r="D99" s="3">
        <f t="shared" si="5"/>
        <v>625</v>
      </c>
      <c r="E99" s="3">
        <f t="shared" si="4"/>
        <v>625</v>
      </c>
    </row>
    <row r="100" spans="1:5">
      <c r="A100" s="3">
        <v>9.8000000000000007</v>
      </c>
      <c r="B100" s="3">
        <v>25</v>
      </c>
      <c r="C100" s="3">
        <f t="shared" si="3"/>
        <v>25</v>
      </c>
      <c r="D100" s="3">
        <f t="shared" si="5"/>
        <v>625</v>
      </c>
      <c r="E100" s="3">
        <f t="shared" si="4"/>
        <v>625</v>
      </c>
    </row>
    <row r="101" spans="1:5">
      <c r="A101" s="3">
        <v>9.9</v>
      </c>
      <c r="B101" s="3">
        <v>25</v>
      </c>
      <c r="C101" s="3">
        <f t="shared" si="3"/>
        <v>25</v>
      </c>
      <c r="D101" s="3">
        <f t="shared" si="5"/>
        <v>625</v>
      </c>
      <c r="E101" s="3">
        <f t="shared" si="4"/>
        <v>625</v>
      </c>
    </row>
    <row r="102" spans="1:5">
      <c r="A102" s="3">
        <v>10</v>
      </c>
      <c r="B102" s="3">
        <v>25</v>
      </c>
      <c r="C102" s="3">
        <f t="shared" si="3"/>
        <v>25</v>
      </c>
      <c r="D102" s="3">
        <f t="shared" si="5"/>
        <v>625</v>
      </c>
      <c r="E102" s="3">
        <f t="shared" si="4"/>
        <v>625</v>
      </c>
    </row>
    <row r="103" spans="1:5">
      <c r="A103" s="3">
        <v>10.1</v>
      </c>
      <c r="B103" s="3">
        <v>25</v>
      </c>
      <c r="C103" s="3">
        <f t="shared" si="3"/>
        <v>25</v>
      </c>
      <c r="D103" s="3">
        <f t="shared" si="5"/>
        <v>625</v>
      </c>
      <c r="E103" s="3">
        <f t="shared" si="4"/>
        <v>625</v>
      </c>
    </row>
    <row r="104" spans="1:5">
      <c r="A104" s="3">
        <v>10.199999999999999</v>
      </c>
      <c r="B104" s="3">
        <v>25</v>
      </c>
      <c r="C104" s="3">
        <f t="shared" si="3"/>
        <v>25</v>
      </c>
      <c r="D104" s="3">
        <f t="shared" si="5"/>
        <v>625</v>
      </c>
      <c r="E104" s="3">
        <f t="shared" si="4"/>
        <v>625</v>
      </c>
    </row>
    <row r="105" spans="1:5">
      <c r="A105" s="3">
        <v>10.3</v>
      </c>
      <c r="B105" s="3">
        <v>25</v>
      </c>
      <c r="C105" s="3">
        <f t="shared" si="3"/>
        <v>25</v>
      </c>
      <c r="D105" s="3">
        <f t="shared" si="5"/>
        <v>625</v>
      </c>
      <c r="E105" s="3">
        <f t="shared" si="4"/>
        <v>625</v>
      </c>
    </row>
    <row r="106" spans="1:5">
      <c r="A106" s="3">
        <v>10.4</v>
      </c>
      <c r="B106" s="3">
        <v>25</v>
      </c>
      <c r="C106" s="3">
        <f t="shared" si="3"/>
        <v>25</v>
      </c>
      <c r="D106" s="3">
        <f t="shared" si="5"/>
        <v>625</v>
      </c>
      <c r="E106" s="3">
        <f t="shared" si="4"/>
        <v>625</v>
      </c>
    </row>
    <row r="107" spans="1:5">
      <c r="A107" s="3">
        <v>10.5</v>
      </c>
      <c r="B107" s="3">
        <v>25</v>
      </c>
      <c r="C107" s="3">
        <f t="shared" si="3"/>
        <v>25</v>
      </c>
      <c r="D107" s="3">
        <f t="shared" si="5"/>
        <v>625</v>
      </c>
      <c r="E107" s="3">
        <f t="shared" si="4"/>
        <v>625</v>
      </c>
    </row>
    <row r="108" spans="1:5">
      <c r="A108" s="3">
        <v>10.6</v>
      </c>
      <c r="B108" s="3">
        <v>25</v>
      </c>
      <c r="C108" s="3">
        <f t="shared" si="3"/>
        <v>25</v>
      </c>
      <c r="D108" s="3">
        <f t="shared" si="5"/>
        <v>625</v>
      </c>
      <c r="E108" s="3">
        <f t="shared" si="4"/>
        <v>625</v>
      </c>
    </row>
    <row r="109" spans="1:5">
      <c r="A109" s="3">
        <v>10.7</v>
      </c>
      <c r="B109" s="3">
        <v>25</v>
      </c>
      <c r="C109" s="3">
        <f t="shared" si="3"/>
        <v>25</v>
      </c>
      <c r="D109" s="3">
        <f t="shared" si="5"/>
        <v>625</v>
      </c>
      <c r="E109" s="3">
        <f t="shared" si="4"/>
        <v>625</v>
      </c>
    </row>
    <row r="110" spans="1:5">
      <c r="A110" s="3">
        <v>10.8</v>
      </c>
      <c r="B110" s="3">
        <v>25</v>
      </c>
      <c r="C110" s="3">
        <f t="shared" si="3"/>
        <v>25</v>
      </c>
      <c r="D110" s="3">
        <f t="shared" si="5"/>
        <v>625</v>
      </c>
      <c r="E110" s="3">
        <f t="shared" si="4"/>
        <v>625</v>
      </c>
    </row>
    <row r="111" spans="1:5">
      <c r="A111" s="3">
        <v>10.9</v>
      </c>
      <c r="B111" s="3">
        <v>25</v>
      </c>
      <c r="C111" s="3">
        <f t="shared" si="3"/>
        <v>25</v>
      </c>
      <c r="D111" s="3">
        <f t="shared" si="5"/>
        <v>625</v>
      </c>
      <c r="E111" s="3">
        <f t="shared" si="4"/>
        <v>625</v>
      </c>
    </row>
    <row r="112" spans="1:5">
      <c r="A112" s="3">
        <v>11</v>
      </c>
      <c r="B112" s="3">
        <v>25</v>
      </c>
      <c r="C112" s="3">
        <f t="shared" si="3"/>
        <v>25</v>
      </c>
      <c r="D112" s="3">
        <f t="shared" si="5"/>
        <v>625</v>
      </c>
      <c r="E112" s="3">
        <f t="shared" si="4"/>
        <v>625</v>
      </c>
    </row>
    <row r="113" spans="1:5">
      <c r="A113" s="3">
        <v>11.1</v>
      </c>
      <c r="B113" s="3">
        <v>25</v>
      </c>
      <c r="C113" s="3">
        <f t="shared" si="3"/>
        <v>25</v>
      </c>
      <c r="D113" s="3">
        <f t="shared" si="5"/>
        <v>625</v>
      </c>
      <c r="E113" s="3">
        <f t="shared" si="4"/>
        <v>625</v>
      </c>
    </row>
    <row r="114" spans="1:5">
      <c r="A114" s="3">
        <v>11.2</v>
      </c>
      <c r="B114" s="3">
        <v>25</v>
      </c>
      <c r="C114" s="3">
        <f t="shared" si="3"/>
        <v>25</v>
      </c>
      <c r="D114" s="3">
        <f t="shared" si="5"/>
        <v>625</v>
      </c>
      <c r="E114" s="3">
        <f t="shared" si="4"/>
        <v>625</v>
      </c>
    </row>
    <row r="115" spans="1:5">
      <c r="A115" s="3">
        <v>11.3</v>
      </c>
      <c r="B115" s="3">
        <v>25</v>
      </c>
      <c r="C115" s="3">
        <f t="shared" si="3"/>
        <v>25</v>
      </c>
      <c r="D115" s="3">
        <f t="shared" si="5"/>
        <v>625</v>
      </c>
      <c r="E115" s="3">
        <f t="shared" si="4"/>
        <v>625</v>
      </c>
    </row>
    <row r="116" spans="1:5">
      <c r="A116" s="3">
        <v>11.4</v>
      </c>
      <c r="B116" s="3">
        <v>25</v>
      </c>
      <c r="C116" s="3">
        <f t="shared" si="3"/>
        <v>25</v>
      </c>
      <c r="D116" s="3">
        <f t="shared" si="5"/>
        <v>625</v>
      </c>
      <c r="E116" s="3">
        <f t="shared" si="4"/>
        <v>625</v>
      </c>
    </row>
    <row r="117" spans="1:5">
      <c r="A117" s="3">
        <v>11.5</v>
      </c>
      <c r="B117" s="3">
        <v>25</v>
      </c>
      <c r="C117" s="3">
        <f t="shared" si="3"/>
        <v>25</v>
      </c>
      <c r="D117" s="3">
        <f t="shared" si="5"/>
        <v>625</v>
      </c>
      <c r="E117" s="3">
        <f t="shared" si="4"/>
        <v>625</v>
      </c>
    </row>
    <row r="118" spans="1:5">
      <c r="A118" s="3">
        <v>11.6</v>
      </c>
      <c r="B118" s="3">
        <v>25</v>
      </c>
      <c r="C118" s="3">
        <f t="shared" si="3"/>
        <v>25</v>
      </c>
      <c r="D118" s="3">
        <f t="shared" si="5"/>
        <v>625</v>
      </c>
      <c r="E118" s="3">
        <f t="shared" si="4"/>
        <v>625</v>
      </c>
    </row>
    <row r="119" spans="1:5">
      <c r="A119" s="3">
        <v>11.7</v>
      </c>
      <c r="B119" s="3">
        <v>25</v>
      </c>
      <c r="C119" s="3">
        <f t="shared" si="3"/>
        <v>25</v>
      </c>
      <c r="D119" s="3">
        <f t="shared" si="5"/>
        <v>625</v>
      </c>
      <c r="E119" s="3">
        <f t="shared" si="4"/>
        <v>625</v>
      </c>
    </row>
    <row r="120" spans="1:5">
      <c r="A120" s="3">
        <v>11.8</v>
      </c>
      <c r="B120" s="3">
        <v>25</v>
      </c>
      <c r="C120" s="3">
        <f t="shared" si="3"/>
        <v>25</v>
      </c>
      <c r="D120" s="3">
        <f t="shared" si="5"/>
        <v>625</v>
      </c>
      <c r="E120" s="3">
        <f t="shared" si="4"/>
        <v>625</v>
      </c>
    </row>
    <row r="121" spans="1:5">
      <c r="A121" s="3">
        <v>11.9</v>
      </c>
      <c r="B121" s="3">
        <v>25</v>
      </c>
      <c r="C121" s="3">
        <f t="shared" si="3"/>
        <v>25</v>
      </c>
      <c r="D121" s="3">
        <f t="shared" si="5"/>
        <v>625</v>
      </c>
      <c r="E121" s="3">
        <f t="shared" si="4"/>
        <v>625</v>
      </c>
    </row>
    <row r="122" spans="1:5">
      <c r="A122" s="3">
        <v>12</v>
      </c>
      <c r="B122" s="3">
        <v>25</v>
      </c>
      <c r="C122" s="3">
        <f t="shared" si="3"/>
        <v>25</v>
      </c>
      <c r="D122" s="3">
        <f t="shared" si="5"/>
        <v>625</v>
      </c>
      <c r="E122" s="3">
        <f t="shared" si="4"/>
        <v>625</v>
      </c>
    </row>
    <row r="123" spans="1:5">
      <c r="A123" s="3">
        <v>12.1</v>
      </c>
      <c r="B123" s="3">
        <v>25</v>
      </c>
      <c r="C123" s="3">
        <f t="shared" si="3"/>
        <v>25</v>
      </c>
      <c r="D123" s="3">
        <f t="shared" si="5"/>
        <v>625</v>
      </c>
      <c r="E123" s="3">
        <f t="shared" si="4"/>
        <v>625</v>
      </c>
    </row>
    <row r="124" spans="1:5">
      <c r="A124" s="3">
        <v>12.2</v>
      </c>
      <c r="B124" s="3">
        <v>25</v>
      </c>
      <c r="C124" s="3">
        <f t="shared" si="3"/>
        <v>25</v>
      </c>
      <c r="D124" s="3">
        <f t="shared" si="5"/>
        <v>625</v>
      </c>
      <c r="E124" s="3">
        <f t="shared" si="4"/>
        <v>625</v>
      </c>
    </row>
    <row r="125" spans="1:5">
      <c r="A125" s="3">
        <v>12.3</v>
      </c>
      <c r="B125" s="3">
        <v>25</v>
      </c>
      <c r="C125" s="3">
        <f t="shared" si="3"/>
        <v>25</v>
      </c>
      <c r="D125" s="3">
        <f t="shared" si="5"/>
        <v>625</v>
      </c>
      <c r="E125" s="3">
        <f t="shared" si="4"/>
        <v>625</v>
      </c>
    </row>
    <row r="126" spans="1:5">
      <c r="A126" s="3">
        <v>12.4</v>
      </c>
      <c r="B126" s="3">
        <v>25</v>
      </c>
      <c r="C126" s="3">
        <f t="shared" si="3"/>
        <v>25</v>
      </c>
      <c r="D126" s="3">
        <f t="shared" si="5"/>
        <v>625</v>
      </c>
      <c r="E126" s="3">
        <f t="shared" si="4"/>
        <v>625</v>
      </c>
    </row>
    <row r="127" spans="1:5">
      <c r="A127" s="3">
        <v>12.5</v>
      </c>
      <c r="B127" s="3">
        <v>25</v>
      </c>
      <c r="C127" s="3">
        <f t="shared" si="3"/>
        <v>25</v>
      </c>
      <c r="D127" s="3">
        <f t="shared" si="5"/>
        <v>625</v>
      </c>
      <c r="E127" s="3">
        <f t="shared" si="4"/>
        <v>625</v>
      </c>
    </row>
    <row r="128" spans="1:5">
      <c r="A128" s="3">
        <v>12.6</v>
      </c>
      <c r="B128" s="3">
        <v>25</v>
      </c>
      <c r="C128" s="3">
        <f t="shared" si="3"/>
        <v>25</v>
      </c>
      <c r="D128" s="3">
        <f t="shared" si="5"/>
        <v>625</v>
      </c>
      <c r="E128" s="3">
        <f t="shared" si="4"/>
        <v>625</v>
      </c>
    </row>
    <row r="129" spans="1:5">
      <c r="A129" s="3">
        <v>12.7</v>
      </c>
      <c r="B129" s="3">
        <v>25</v>
      </c>
      <c r="C129" s="3">
        <f t="shared" si="3"/>
        <v>25</v>
      </c>
      <c r="D129" s="3">
        <f t="shared" si="5"/>
        <v>625</v>
      </c>
      <c r="E129" s="3">
        <f t="shared" si="4"/>
        <v>625</v>
      </c>
    </row>
    <row r="130" spans="1:5">
      <c r="A130" s="3">
        <v>12.8</v>
      </c>
      <c r="B130" s="3">
        <v>25</v>
      </c>
      <c r="C130" s="3">
        <f t="shared" ref="C130:C193" si="6">ROUND(SQRT(E130),2)</f>
        <v>25</v>
      </c>
      <c r="D130" s="3">
        <f t="shared" si="5"/>
        <v>625</v>
      </c>
      <c r="E130" s="3">
        <f t="shared" ref="E130:E193" si="7">MIN(D130, E131+$H$4)</f>
        <v>625</v>
      </c>
    </row>
    <row r="131" spans="1:5">
      <c r="A131" s="3">
        <v>12.9</v>
      </c>
      <c r="B131" s="3">
        <v>25</v>
      </c>
      <c r="C131" s="3">
        <f t="shared" si="6"/>
        <v>25</v>
      </c>
      <c r="D131" s="3">
        <f t="shared" ref="D131:D194" si="8">MIN(B131^2, D130+$H$4)</f>
        <v>625</v>
      </c>
      <c r="E131" s="3">
        <f t="shared" si="7"/>
        <v>625</v>
      </c>
    </row>
    <row r="132" spans="1:5">
      <c r="A132" s="3">
        <v>13</v>
      </c>
      <c r="B132" s="3">
        <v>25</v>
      </c>
      <c r="C132" s="3">
        <f t="shared" si="6"/>
        <v>25</v>
      </c>
      <c r="D132" s="3">
        <f t="shared" si="8"/>
        <v>625</v>
      </c>
      <c r="E132" s="3">
        <f t="shared" si="7"/>
        <v>625</v>
      </c>
    </row>
    <row r="133" spans="1:5">
      <c r="A133" s="3">
        <v>13.1</v>
      </c>
      <c r="B133" s="3">
        <v>25</v>
      </c>
      <c r="C133" s="3">
        <f t="shared" si="6"/>
        <v>25</v>
      </c>
      <c r="D133" s="3">
        <f t="shared" si="8"/>
        <v>625</v>
      </c>
      <c r="E133" s="3">
        <f t="shared" si="7"/>
        <v>625</v>
      </c>
    </row>
    <row r="134" spans="1:5">
      <c r="A134" s="3">
        <v>13.2</v>
      </c>
      <c r="B134" s="3">
        <v>25</v>
      </c>
      <c r="C134" s="3">
        <f t="shared" si="6"/>
        <v>25</v>
      </c>
      <c r="D134" s="3">
        <f t="shared" si="8"/>
        <v>625</v>
      </c>
      <c r="E134" s="3">
        <f t="shared" si="7"/>
        <v>625</v>
      </c>
    </row>
    <row r="135" spans="1:5">
      <c r="A135" s="3">
        <v>13.3</v>
      </c>
      <c r="B135" s="3">
        <v>25</v>
      </c>
      <c r="C135" s="3">
        <f t="shared" si="6"/>
        <v>25</v>
      </c>
      <c r="D135" s="3">
        <f t="shared" si="8"/>
        <v>625</v>
      </c>
      <c r="E135" s="3">
        <f t="shared" si="7"/>
        <v>625</v>
      </c>
    </row>
    <row r="136" spans="1:5">
      <c r="A136" s="3">
        <v>13.4</v>
      </c>
      <c r="B136" s="3">
        <v>25</v>
      </c>
      <c r="C136" s="3">
        <f t="shared" si="6"/>
        <v>25</v>
      </c>
      <c r="D136" s="3">
        <f t="shared" si="8"/>
        <v>625</v>
      </c>
      <c r="E136" s="3">
        <f t="shared" si="7"/>
        <v>625</v>
      </c>
    </row>
    <row r="137" spans="1:5">
      <c r="A137" s="3">
        <v>13.5</v>
      </c>
      <c r="B137" s="3">
        <v>25</v>
      </c>
      <c r="C137" s="3">
        <f t="shared" si="6"/>
        <v>25</v>
      </c>
      <c r="D137" s="3">
        <f t="shared" si="8"/>
        <v>625</v>
      </c>
      <c r="E137" s="3">
        <f t="shared" si="7"/>
        <v>625</v>
      </c>
    </row>
    <row r="138" spans="1:5">
      <c r="A138" s="3">
        <v>13.6</v>
      </c>
      <c r="B138" s="3">
        <v>25</v>
      </c>
      <c r="C138" s="3">
        <f t="shared" si="6"/>
        <v>25</v>
      </c>
      <c r="D138" s="3">
        <f t="shared" si="8"/>
        <v>625</v>
      </c>
      <c r="E138" s="3">
        <f t="shared" si="7"/>
        <v>625</v>
      </c>
    </row>
    <row r="139" spans="1:5">
      <c r="A139" s="3">
        <v>13.7</v>
      </c>
      <c r="B139" s="3">
        <v>25</v>
      </c>
      <c r="C139" s="3">
        <f t="shared" si="6"/>
        <v>25</v>
      </c>
      <c r="D139" s="3">
        <f t="shared" si="8"/>
        <v>625</v>
      </c>
      <c r="E139" s="3">
        <f t="shared" si="7"/>
        <v>625</v>
      </c>
    </row>
    <row r="140" spans="1:5">
      <c r="A140" s="3">
        <v>13.8</v>
      </c>
      <c r="B140" s="3">
        <v>25</v>
      </c>
      <c r="C140" s="3">
        <f t="shared" si="6"/>
        <v>25</v>
      </c>
      <c r="D140" s="3">
        <f t="shared" si="8"/>
        <v>625</v>
      </c>
      <c r="E140" s="3">
        <f t="shared" si="7"/>
        <v>625</v>
      </c>
    </row>
    <row r="141" spans="1:5">
      <c r="A141" s="3">
        <v>13.9</v>
      </c>
      <c r="B141" s="3">
        <v>25</v>
      </c>
      <c r="C141" s="3">
        <f t="shared" si="6"/>
        <v>25</v>
      </c>
      <c r="D141" s="3">
        <f t="shared" si="8"/>
        <v>625</v>
      </c>
      <c r="E141" s="3">
        <f t="shared" si="7"/>
        <v>625</v>
      </c>
    </row>
    <row r="142" spans="1:5">
      <c r="A142" s="3">
        <v>14</v>
      </c>
      <c r="B142" s="3">
        <v>25</v>
      </c>
      <c r="C142" s="3">
        <f t="shared" si="6"/>
        <v>25</v>
      </c>
      <c r="D142" s="3">
        <f t="shared" si="8"/>
        <v>625</v>
      </c>
      <c r="E142" s="3">
        <f t="shared" si="7"/>
        <v>625</v>
      </c>
    </row>
    <row r="143" spans="1:5">
      <c r="A143" s="3">
        <v>14.1</v>
      </c>
      <c r="B143" s="3">
        <v>25</v>
      </c>
      <c r="C143" s="3">
        <f t="shared" si="6"/>
        <v>25</v>
      </c>
      <c r="D143" s="3">
        <f t="shared" si="8"/>
        <v>625</v>
      </c>
      <c r="E143" s="3">
        <f t="shared" si="7"/>
        <v>625</v>
      </c>
    </row>
    <row r="144" spans="1:5">
      <c r="A144" s="3">
        <v>14.2</v>
      </c>
      <c r="B144" s="3">
        <v>25</v>
      </c>
      <c r="C144" s="3">
        <f t="shared" si="6"/>
        <v>25</v>
      </c>
      <c r="D144" s="3">
        <f t="shared" si="8"/>
        <v>625</v>
      </c>
      <c r="E144" s="3">
        <f t="shared" si="7"/>
        <v>625</v>
      </c>
    </row>
    <row r="145" spans="1:5">
      <c r="A145" s="3">
        <v>14.3</v>
      </c>
      <c r="B145" s="3">
        <v>25</v>
      </c>
      <c r="C145" s="3">
        <f t="shared" si="6"/>
        <v>25</v>
      </c>
      <c r="D145" s="3">
        <f t="shared" si="8"/>
        <v>625</v>
      </c>
      <c r="E145" s="3">
        <f t="shared" si="7"/>
        <v>625</v>
      </c>
    </row>
    <row r="146" spans="1:5">
      <c r="A146" s="3">
        <v>14.4</v>
      </c>
      <c r="B146" s="3">
        <v>25</v>
      </c>
      <c r="C146" s="3">
        <f t="shared" si="6"/>
        <v>25</v>
      </c>
      <c r="D146" s="3">
        <f t="shared" si="8"/>
        <v>625</v>
      </c>
      <c r="E146" s="3">
        <f t="shared" si="7"/>
        <v>625</v>
      </c>
    </row>
    <row r="147" spans="1:5">
      <c r="A147" s="3">
        <v>14.5</v>
      </c>
      <c r="B147" s="3">
        <v>25</v>
      </c>
      <c r="C147" s="3">
        <f t="shared" si="6"/>
        <v>25</v>
      </c>
      <c r="D147" s="3">
        <f t="shared" si="8"/>
        <v>625</v>
      </c>
      <c r="E147" s="3">
        <f t="shared" si="7"/>
        <v>625</v>
      </c>
    </row>
    <row r="148" spans="1:5">
      <c r="A148" s="3">
        <v>14.6</v>
      </c>
      <c r="B148" s="3">
        <v>25</v>
      </c>
      <c r="C148" s="3">
        <f t="shared" si="6"/>
        <v>25</v>
      </c>
      <c r="D148" s="3">
        <f t="shared" si="8"/>
        <v>625</v>
      </c>
      <c r="E148" s="3">
        <f t="shared" si="7"/>
        <v>625</v>
      </c>
    </row>
    <row r="149" spans="1:5">
      <c r="A149" s="3">
        <v>14.7</v>
      </c>
      <c r="B149" s="3">
        <v>25</v>
      </c>
      <c r="C149" s="3">
        <f t="shared" si="6"/>
        <v>25</v>
      </c>
      <c r="D149" s="3">
        <f t="shared" si="8"/>
        <v>625</v>
      </c>
      <c r="E149" s="3">
        <f t="shared" si="7"/>
        <v>625</v>
      </c>
    </row>
    <row r="150" spans="1:5">
      <c r="A150" s="3">
        <v>14.8</v>
      </c>
      <c r="B150" s="3">
        <v>25</v>
      </c>
      <c r="C150" s="3">
        <f t="shared" si="6"/>
        <v>25</v>
      </c>
      <c r="D150" s="3">
        <f t="shared" si="8"/>
        <v>625</v>
      </c>
      <c r="E150" s="3">
        <f t="shared" si="7"/>
        <v>625</v>
      </c>
    </row>
    <row r="151" spans="1:5">
      <c r="A151" s="3">
        <v>14.9</v>
      </c>
      <c r="B151" s="3">
        <v>25</v>
      </c>
      <c r="C151" s="3">
        <f t="shared" si="6"/>
        <v>25</v>
      </c>
      <c r="D151" s="3">
        <f t="shared" si="8"/>
        <v>625</v>
      </c>
      <c r="E151" s="3">
        <f t="shared" si="7"/>
        <v>625</v>
      </c>
    </row>
    <row r="152" spans="1:5">
      <c r="A152" s="3">
        <v>15</v>
      </c>
      <c r="B152" s="3">
        <v>25</v>
      </c>
      <c r="C152" s="3">
        <f t="shared" si="6"/>
        <v>25</v>
      </c>
      <c r="D152" s="3">
        <f t="shared" si="8"/>
        <v>625</v>
      </c>
      <c r="E152" s="3">
        <f t="shared" si="7"/>
        <v>625</v>
      </c>
    </row>
    <row r="153" spans="1:5">
      <c r="A153" s="3">
        <v>15.1</v>
      </c>
      <c r="B153" s="3">
        <v>25</v>
      </c>
      <c r="C153" s="3">
        <f t="shared" si="6"/>
        <v>25</v>
      </c>
      <c r="D153" s="3">
        <f t="shared" si="8"/>
        <v>625</v>
      </c>
      <c r="E153" s="3">
        <f t="shared" si="7"/>
        <v>625</v>
      </c>
    </row>
    <row r="154" spans="1:5">
      <c r="A154" s="3">
        <v>15.2</v>
      </c>
      <c r="B154" s="3">
        <v>25</v>
      </c>
      <c r="C154" s="3">
        <f t="shared" si="6"/>
        <v>25</v>
      </c>
      <c r="D154" s="3">
        <f t="shared" si="8"/>
        <v>625</v>
      </c>
      <c r="E154" s="3">
        <f t="shared" si="7"/>
        <v>625</v>
      </c>
    </row>
    <row r="155" spans="1:5">
      <c r="A155" s="3">
        <v>15.3</v>
      </c>
      <c r="B155" s="3">
        <v>25</v>
      </c>
      <c r="C155" s="3">
        <f t="shared" si="6"/>
        <v>25</v>
      </c>
      <c r="D155" s="3">
        <f t="shared" si="8"/>
        <v>625</v>
      </c>
      <c r="E155" s="3">
        <f t="shared" si="7"/>
        <v>625</v>
      </c>
    </row>
    <row r="156" spans="1:5">
      <c r="A156" s="3">
        <v>15.4</v>
      </c>
      <c r="B156" s="3">
        <v>25</v>
      </c>
      <c r="C156" s="3">
        <f t="shared" si="6"/>
        <v>25</v>
      </c>
      <c r="D156" s="3">
        <f t="shared" si="8"/>
        <v>625</v>
      </c>
      <c r="E156" s="3">
        <f t="shared" si="7"/>
        <v>625</v>
      </c>
    </row>
    <row r="157" spans="1:5">
      <c r="A157" s="3">
        <v>15.5</v>
      </c>
      <c r="B157" s="3">
        <v>25</v>
      </c>
      <c r="C157" s="3">
        <f t="shared" si="6"/>
        <v>25</v>
      </c>
      <c r="D157" s="3">
        <f t="shared" si="8"/>
        <v>625</v>
      </c>
      <c r="E157" s="3">
        <f t="shared" si="7"/>
        <v>625</v>
      </c>
    </row>
    <row r="158" spans="1:5">
      <c r="A158" s="3">
        <v>15.6</v>
      </c>
      <c r="B158" s="3">
        <v>25</v>
      </c>
      <c r="C158" s="3">
        <f t="shared" si="6"/>
        <v>25</v>
      </c>
      <c r="D158" s="3">
        <f t="shared" si="8"/>
        <v>625</v>
      </c>
      <c r="E158" s="3">
        <f t="shared" si="7"/>
        <v>625</v>
      </c>
    </row>
    <row r="159" spans="1:5">
      <c r="A159" s="3">
        <v>15.7</v>
      </c>
      <c r="B159" s="3">
        <v>25</v>
      </c>
      <c r="C159" s="3">
        <f t="shared" si="6"/>
        <v>25</v>
      </c>
      <c r="D159" s="3">
        <f t="shared" si="8"/>
        <v>625</v>
      </c>
      <c r="E159" s="3">
        <f t="shared" si="7"/>
        <v>625</v>
      </c>
    </row>
    <row r="160" spans="1:5">
      <c r="A160" s="3">
        <v>15.8</v>
      </c>
      <c r="B160" s="3">
        <v>25</v>
      </c>
      <c r="C160" s="3">
        <f t="shared" si="6"/>
        <v>25</v>
      </c>
      <c r="D160" s="3">
        <f t="shared" si="8"/>
        <v>625</v>
      </c>
      <c r="E160" s="3">
        <f t="shared" si="7"/>
        <v>625</v>
      </c>
    </row>
    <row r="161" spans="1:5">
      <c r="A161" s="3">
        <v>15.9</v>
      </c>
      <c r="B161" s="3">
        <v>25</v>
      </c>
      <c r="C161" s="3">
        <f t="shared" si="6"/>
        <v>25</v>
      </c>
      <c r="D161" s="3">
        <f t="shared" si="8"/>
        <v>625</v>
      </c>
      <c r="E161" s="3">
        <f t="shared" si="7"/>
        <v>625</v>
      </c>
    </row>
    <row r="162" spans="1:5">
      <c r="A162" s="3">
        <v>16</v>
      </c>
      <c r="B162" s="3">
        <v>25</v>
      </c>
      <c r="C162" s="3">
        <f t="shared" si="6"/>
        <v>25</v>
      </c>
      <c r="D162" s="3">
        <f t="shared" si="8"/>
        <v>625</v>
      </c>
      <c r="E162" s="3">
        <f t="shared" si="7"/>
        <v>625</v>
      </c>
    </row>
    <row r="163" spans="1:5">
      <c r="A163" s="3">
        <v>16.100000000000001</v>
      </c>
      <c r="B163" s="3">
        <v>25</v>
      </c>
      <c r="C163" s="3">
        <f t="shared" si="6"/>
        <v>25</v>
      </c>
      <c r="D163" s="3">
        <f t="shared" si="8"/>
        <v>625</v>
      </c>
      <c r="E163" s="3">
        <f t="shared" si="7"/>
        <v>625</v>
      </c>
    </row>
    <row r="164" spans="1:5">
      <c r="A164" s="3">
        <v>16.2</v>
      </c>
      <c r="B164" s="3">
        <v>25</v>
      </c>
      <c r="C164" s="3">
        <f t="shared" si="6"/>
        <v>25</v>
      </c>
      <c r="D164" s="3">
        <f t="shared" si="8"/>
        <v>625</v>
      </c>
      <c r="E164" s="3">
        <f t="shared" si="7"/>
        <v>625</v>
      </c>
    </row>
    <row r="165" spans="1:5">
      <c r="A165" s="3">
        <v>16.3</v>
      </c>
      <c r="B165" s="3">
        <v>25</v>
      </c>
      <c r="C165" s="3">
        <f t="shared" si="6"/>
        <v>25</v>
      </c>
      <c r="D165" s="3">
        <f t="shared" si="8"/>
        <v>625</v>
      </c>
      <c r="E165" s="3">
        <f t="shared" si="7"/>
        <v>625</v>
      </c>
    </row>
    <row r="166" spans="1:5">
      <c r="A166" s="3">
        <v>16.399999999999999</v>
      </c>
      <c r="B166" s="3">
        <v>25</v>
      </c>
      <c r="C166" s="3">
        <f t="shared" si="6"/>
        <v>25</v>
      </c>
      <c r="D166" s="3">
        <f t="shared" si="8"/>
        <v>625</v>
      </c>
      <c r="E166" s="3">
        <f t="shared" si="7"/>
        <v>625</v>
      </c>
    </row>
    <row r="167" spans="1:5">
      <c r="A167" s="3">
        <v>16.5</v>
      </c>
      <c r="B167" s="3">
        <v>25</v>
      </c>
      <c r="C167" s="3">
        <f t="shared" si="6"/>
        <v>25</v>
      </c>
      <c r="D167" s="3">
        <f t="shared" si="8"/>
        <v>625</v>
      </c>
      <c r="E167" s="3">
        <f t="shared" si="7"/>
        <v>625</v>
      </c>
    </row>
    <row r="168" spans="1:5">
      <c r="A168" s="3">
        <v>16.600000000000001</v>
      </c>
      <c r="B168" s="3">
        <v>25</v>
      </c>
      <c r="C168" s="3">
        <f t="shared" si="6"/>
        <v>25</v>
      </c>
      <c r="D168" s="3">
        <f t="shared" si="8"/>
        <v>625</v>
      </c>
      <c r="E168" s="3">
        <f t="shared" si="7"/>
        <v>625</v>
      </c>
    </row>
    <row r="169" spans="1:5">
      <c r="A169" s="3">
        <v>16.7</v>
      </c>
      <c r="B169" s="3">
        <v>25</v>
      </c>
      <c r="C169" s="3">
        <f t="shared" si="6"/>
        <v>25</v>
      </c>
      <c r="D169" s="3">
        <f t="shared" si="8"/>
        <v>625</v>
      </c>
      <c r="E169" s="3">
        <f t="shared" si="7"/>
        <v>625</v>
      </c>
    </row>
    <row r="170" spans="1:5">
      <c r="A170" s="3">
        <v>16.8</v>
      </c>
      <c r="B170" s="3">
        <v>25</v>
      </c>
      <c r="C170" s="3">
        <f t="shared" si="6"/>
        <v>25</v>
      </c>
      <c r="D170" s="3">
        <f t="shared" si="8"/>
        <v>625</v>
      </c>
      <c r="E170" s="3">
        <f t="shared" si="7"/>
        <v>625</v>
      </c>
    </row>
    <row r="171" spans="1:5">
      <c r="A171" s="3">
        <v>16.899999999999999</v>
      </c>
      <c r="B171" s="3">
        <v>25</v>
      </c>
      <c r="C171" s="3">
        <f t="shared" si="6"/>
        <v>25</v>
      </c>
      <c r="D171" s="3">
        <f t="shared" si="8"/>
        <v>625</v>
      </c>
      <c r="E171" s="3">
        <f t="shared" si="7"/>
        <v>625</v>
      </c>
    </row>
    <row r="172" spans="1:5">
      <c r="A172" s="3">
        <v>17</v>
      </c>
      <c r="B172" s="3">
        <v>25</v>
      </c>
      <c r="C172" s="3">
        <f t="shared" si="6"/>
        <v>25</v>
      </c>
      <c r="D172" s="3">
        <f t="shared" si="8"/>
        <v>625</v>
      </c>
      <c r="E172" s="3">
        <f t="shared" si="7"/>
        <v>625</v>
      </c>
    </row>
    <row r="173" spans="1:5">
      <c r="A173" s="3">
        <v>17.100000000000001</v>
      </c>
      <c r="B173" s="3">
        <v>25</v>
      </c>
      <c r="C173" s="3">
        <f t="shared" si="6"/>
        <v>25</v>
      </c>
      <c r="D173" s="3">
        <f t="shared" si="8"/>
        <v>625</v>
      </c>
      <c r="E173" s="3">
        <f t="shared" si="7"/>
        <v>625</v>
      </c>
    </row>
    <row r="174" spans="1:5">
      <c r="A174" s="3">
        <v>17.2</v>
      </c>
      <c r="B174" s="3">
        <v>25</v>
      </c>
      <c r="C174" s="3">
        <f t="shared" si="6"/>
        <v>25</v>
      </c>
      <c r="D174" s="3">
        <f t="shared" si="8"/>
        <v>625</v>
      </c>
      <c r="E174" s="3">
        <f t="shared" si="7"/>
        <v>625</v>
      </c>
    </row>
    <row r="175" spans="1:5">
      <c r="A175" s="3">
        <v>17.3</v>
      </c>
      <c r="B175" s="3">
        <v>25</v>
      </c>
      <c r="C175" s="3">
        <f t="shared" si="6"/>
        <v>25</v>
      </c>
      <c r="D175" s="3">
        <f t="shared" si="8"/>
        <v>625</v>
      </c>
      <c r="E175" s="3">
        <f t="shared" si="7"/>
        <v>625</v>
      </c>
    </row>
    <row r="176" spans="1:5">
      <c r="A176" s="3">
        <v>17.399999999999999</v>
      </c>
      <c r="B176" s="3">
        <v>25</v>
      </c>
      <c r="C176" s="3">
        <f t="shared" si="6"/>
        <v>25</v>
      </c>
      <c r="D176" s="3">
        <f t="shared" si="8"/>
        <v>625</v>
      </c>
      <c r="E176" s="3">
        <f t="shared" si="7"/>
        <v>625</v>
      </c>
    </row>
    <row r="177" spans="1:5">
      <c r="A177" s="3">
        <v>17.5</v>
      </c>
      <c r="B177" s="3">
        <v>25</v>
      </c>
      <c r="C177" s="3">
        <f t="shared" si="6"/>
        <v>25</v>
      </c>
      <c r="D177" s="3">
        <f t="shared" si="8"/>
        <v>625</v>
      </c>
      <c r="E177" s="3">
        <f t="shared" si="7"/>
        <v>625</v>
      </c>
    </row>
    <row r="178" spans="1:5">
      <c r="A178" s="3">
        <v>17.600000000000001</v>
      </c>
      <c r="B178" s="3">
        <v>25</v>
      </c>
      <c r="C178" s="3">
        <f t="shared" si="6"/>
        <v>25</v>
      </c>
      <c r="D178" s="3">
        <f t="shared" si="8"/>
        <v>625</v>
      </c>
      <c r="E178" s="3">
        <f t="shared" si="7"/>
        <v>625</v>
      </c>
    </row>
    <row r="179" spans="1:5">
      <c r="A179" s="3">
        <v>17.7</v>
      </c>
      <c r="B179" s="3">
        <v>25</v>
      </c>
      <c r="C179" s="3">
        <f t="shared" si="6"/>
        <v>25</v>
      </c>
      <c r="D179" s="3">
        <f t="shared" si="8"/>
        <v>625</v>
      </c>
      <c r="E179" s="3">
        <f t="shared" si="7"/>
        <v>625</v>
      </c>
    </row>
    <row r="180" spans="1:5">
      <c r="A180" s="3">
        <v>17.8</v>
      </c>
      <c r="B180" s="3">
        <v>25</v>
      </c>
      <c r="C180" s="3">
        <f t="shared" si="6"/>
        <v>25</v>
      </c>
      <c r="D180" s="3">
        <f t="shared" si="8"/>
        <v>625</v>
      </c>
      <c r="E180" s="3">
        <f t="shared" si="7"/>
        <v>625</v>
      </c>
    </row>
    <row r="181" spans="1:5">
      <c r="A181" s="3">
        <v>17.899999999999999</v>
      </c>
      <c r="B181" s="3">
        <v>25</v>
      </c>
      <c r="C181" s="3">
        <f t="shared" si="6"/>
        <v>25</v>
      </c>
      <c r="D181" s="3">
        <f t="shared" si="8"/>
        <v>625</v>
      </c>
      <c r="E181" s="3">
        <f t="shared" si="7"/>
        <v>625</v>
      </c>
    </row>
    <row r="182" spans="1:5">
      <c r="A182" s="3">
        <v>18</v>
      </c>
      <c r="B182" s="3">
        <v>25</v>
      </c>
      <c r="C182" s="3">
        <f t="shared" si="6"/>
        <v>25</v>
      </c>
      <c r="D182" s="3">
        <f t="shared" si="8"/>
        <v>625</v>
      </c>
      <c r="E182" s="3">
        <f t="shared" si="7"/>
        <v>625</v>
      </c>
    </row>
    <row r="183" spans="1:5">
      <c r="A183" s="3">
        <v>18.100000000000001</v>
      </c>
      <c r="B183" s="3">
        <v>25</v>
      </c>
      <c r="C183" s="3">
        <f t="shared" si="6"/>
        <v>25</v>
      </c>
      <c r="D183" s="3">
        <f t="shared" si="8"/>
        <v>625</v>
      </c>
      <c r="E183" s="3">
        <f t="shared" si="7"/>
        <v>625</v>
      </c>
    </row>
    <row r="184" spans="1:5">
      <c r="A184" s="3">
        <v>18.2</v>
      </c>
      <c r="B184" s="3">
        <v>25</v>
      </c>
      <c r="C184" s="3">
        <f t="shared" si="6"/>
        <v>25</v>
      </c>
      <c r="D184" s="3">
        <f t="shared" si="8"/>
        <v>625</v>
      </c>
      <c r="E184" s="3">
        <f t="shared" si="7"/>
        <v>625</v>
      </c>
    </row>
    <row r="185" spans="1:5">
      <c r="A185" s="3">
        <v>18.3</v>
      </c>
      <c r="B185" s="3">
        <v>25</v>
      </c>
      <c r="C185" s="3">
        <f t="shared" si="6"/>
        <v>25</v>
      </c>
      <c r="D185" s="3">
        <f t="shared" si="8"/>
        <v>625</v>
      </c>
      <c r="E185" s="3">
        <f t="shared" si="7"/>
        <v>625</v>
      </c>
    </row>
    <row r="186" spans="1:5">
      <c r="A186" s="3">
        <v>18.399999999999999</v>
      </c>
      <c r="B186" s="3">
        <v>25</v>
      </c>
      <c r="C186" s="3">
        <f t="shared" si="6"/>
        <v>25</v>
      </c>
      <c r="D186" s="3">
        <f t="shared" si="8"/>
        <v>625</v>
      </c>
      <c r="E186" s="3">
        <f t="shared" si="7"/>
        <v>625</v>
      </c>
    </row>
    <row r="187" spans="1:5">
      <c r="A187" s="3">
        <v>18.5</v>
      </c>
      <c r="B187" s="3">
        <v>25</v>
      </c>
      <c r="C187" s="3">
        <f t="shared" si="6"/>
        <v>25</v>
      </c>
      <c r="D187" s="3">
        <f t="shared" si="8"/>
        <v>625</v>
      </c>
      <c r="E187" s="3">
        <f t="shared" si="7"/>
        <v>625</v>
      </c>
    </row>
    <row r="188" spans="1:5">
      <c r="A188" s="3">
        <v>18.600000000000001</v>
      </c>
      <c r="B188" s="3">
        <v>25</v>
      </c>
      <c r="C188" s="3">
        <f t="shared" si="6"/>
        <v>25</v>
      </c>
      <c r="D188" s="3">
        <f t="shared" si="8"/>
        <v>625</v>
      </c>
      <c r="E188" s="3">
        <f t="shared" si="7"/>
        <v>625</v>
      </c>
    </row>
    <row r="189" spans="1:5">
      <c r="A189" s="3">
        <v>18.7</v>
      </c>
      <c r="B189" s="3">
        <v>25</v>
      </c>
      <c r="C189" s="3">
        <f t="shared" si="6"/>
        <v>25</v>
      </c>
      <c r="D189" s="3">
        <f t="shared" si="8"/>
        <v>625</v>
      </c>
      <c r="E189" s="3">
        <f t="shared" si="7"/>
        <v>625</v>
      </c>
    </row>
    <row r="190" spans="1:5">
      <c r="A190" s="3">
        <v>18.8</v>
      </c>
      <c r="B190" s="3">
        <v>25</v>
      </c>
      <c r="C190" s="3">
        <f t="shared" si="6"/>
        <v>25</v>
      </c>
      <c r="D190" s="3">
        <f t="shared" si="8"/>
        <v>625</v>
      </c>
      <c r="E190" s="3">
        <f t="shared" si="7"/>
        <v>625</v>
      </c>
    </row>
    <row r="191" spans="1:5">
      <c r="A191" s="3">
        <v>18.899999999999999</v>
      </c>
      <c r="B191" s="3">
        <v>25</v>
      </c>
      <c r="C191" s="3">
        <f t="shared" si="6"/>
        <v>25</v>
      </c>
      <c r="D191" s="3">
        <f t="shared" si="8"/>
        <v>625</v>
      </c>
      <c r="E191" s="3">
        <f t="shared" si="7"/>
        <v>625</v>
      </c>
    </row>
    <row r="192" spans="1:5">
      <c r="A192" s="3">
        <v>19</v>
      </c>
      <c r="B192" s="3">
        <v>25</v>
      </c>
      <c r="C192" s="3">
        <f t="shared" si="6"/>
        <v>25</v>
      </c>
      <c r="D192" s="3">
        <f t="shared" si="8"/>
        <v>625</v>
      </c>
      <c r="E192" s="3">
        <f t="shared" si="7"/>
        <v>625</v>
      </c>
    </row>
    <row r="193" spans="1:5">
      <c r="A193" s="3">
        <v>19.100000000000001</v>
      </c>
      <c r="B193" s="3">
        <v>25</v>
      </c>
      <c r="C193" s="3">
        <f t="shared" si="6"/>
        <v>25</v>
      </c>
      <c r="D193" s="3">
        <f t="shared" si="8"/>
        <v>625</v>
      </c>
      <c r="E193" s="3">
        <f t="shared" si="7"/>
        <v>625</v>
      </c>
    </row>
    <row r="194" spans="1:5">
      <c r="A194" s="3">
        <v>19.2</v>
      </c>
      <c r="B194" s="3">
        <v>25</v>
      </c>
      <c r="C194" s="3">
        <f t="shared" ref="C194:C257" si="9">ROUND(SQRT(E194),2)</f>
        <v>25</v>
      </c>
      <c r="D194" s="3">
        <f t="shared" si="8"/>
        <v>625</v>
      </c>
      <c r="E194" s="3">
        <f t="shared" ref="E194:E257" si="10">MIN(D194, E195+$H$4)</f>
        <v>625</v>
      </c>
    </row>
    <row r="195" spans="1:5">
      <c r="A195" s="3">
        <v>19.3</v>
      </c>
      <c r="B195" s="3">
        <v>25</v>
      </c>
      <c r="C195" s="3">
        <f t="shared" si="9"/>
        <v>25</v>
      </c>
      <c r="D195" s="3">
        <f t="shared" ref="D195:D258" si="11">MIN(B195^2, D194+$H$4)</f>
        <v>625</v>
      </c>
      <c r="E195" s="3">
        <f t="shared" si="10"/>
        <v>625</v>
      </c>
    </row>
    <row r="196" spans="1:5">
      <c r="A196" s="3">
        <v>19.399999999999999</v>
      </c>
      <c r="B196" s="3">
        <v>25</v>
      </c>
      <c r="C196" s="3">
        <f t="shared" si="9"/>
        <v>25</v>
      </c>
      <c r="D196" s="3">
        <f t="shared" si="11"/>
        <v>625</v>
      </c>
      <c r="E196" s="3">
        <f t="shared" si="10"/>
        <v>625</v>
      </c>
    </row>
    <row r="197" spans="1:5">
      <c r="A197" s="3">
        <v>19.5</v>
      </c>
      <c r="B197" s="3">
        <v>25</v>
      </c>
      <c r="C197" s="3">
        <f t="shared" si="9"/>
        <v>25</v>
      </c>
      <c r="D197" s="3">
        <f t="shared" si="11"/>
        <v>625</v>
      </c>
      <c r="E197" s="3">
        <f t="shared" si="10"/>
        <v>625</v>
      </c>
    </row>
    <row r="198" spans="1:5">
      <c r="A198" s="3">
        <v>19.600000000000001</v>
      </c>
      <c r="B198" s="3">
        <v>25</v>
      </c>
      <c r="C198" s="3">
        <f t="shared" si="9"/>
        <v>25</v>
      </c>
      <c r="D198" s="3">
        <f t="shared" si="11"/>
        <v>625</v>
      </c>
      <c r="E198" s="3">
        <f t="shared" si="10"/>
        <v>625</v>
      </c>
    </row>
    <row r="199" spans="1:5">
      <c r="A199" s="3">
        <v>19.7</v>
      </c>
      <c r="B199" s="3">
        <v>25</v>
      </c>
      <c r="C199" s="3">
        <f t="shared" si="9"/>
        <v>25</v>
      </c>
      <c r="D199" s="3">
        <f t="shared" si="11"/>
        <v>625</v>
      </c>
      <c r="E199" s="3">
        <f t="shared" si="10"/>
        <v>625</v>
      </c>
    </row>
    <row r="200" spans="1:5">
      <c r="A200" s="3">
        <v>19.8</v>
      </c>
      <c r="B200" s="3">
        <v>25</v>
      </c>
      <c r="C200" s="3">
        <f t="shared" si="9"/>
        <v>25</v>
      </c>
      <c r="D200" s="3">
        <f t="shared" si="11"/>
        <v>625</v>
      </c>
      <c r="E200" s="3">
        <f t="shared" si="10"/>
        <v>625</v>
      </c>
    </row>
    <row r="201" spans="1:5">
      <c r="A201" s="3">
        <v>19.899999999999999</v>
      </c>
      <c r="B201" s="3">
        <v>25</v>
      </c>
      <c r="C201" s="3">
        <f t="shared" si="9"/>
        <v>25</v>
      </c>
      <c r="D201" s="3">
        <f t="shared" si="11"/>
        <v>625</v>
      </c>
      <c r="E201" s="3">
        <f t="shared" si="10"/>
        <v>625</v>
      </c>
    </row>
    <row r="202" spans="1:5">
      <c r="A202" s="3">
        <v>20</v>
      </c>
      <c r="B202" s="3">
        <v>25</v>
      </c>
      <c r="C202" s="3">
        <f t="shared" si="9"/>
        <v>25</v>
      </c>
      <c r="D202" s="3">
        <f t="shared" si="11"/>
        <v>625</v>
      </c>
      <c r="E202" s="3">
        <f t="shared" si="10"/>
        <v>625</v>
      </c>
    </row>
    <row r="203" spans="1:5">
      <c r="A203" s="3">
        <v>20.100000000000001</v>
      </c>
      <c r="B203" s="3">
        <v>25</v>
      </c>
      <c r="C203" s="3">
        <f t="shared" si="9"/>
        <v>25</v>
      </c>
      <c r="D203" s="3">
        <f t="shared" si="11"/>
        <v>625</v>
      </c>
      <c r="E203" s="3">
        <f t="shared" si="10"/>
        <v>625</v>
      </c>
    </row>
    <row r="204" spans="1:5">
      <c r="A204" s="3">
        <v>20.2</v>
      </c>
      <c r="B204" s="3">
        <v>25</v>
      </c>
      <c r="C204" s="3">
        <f t="shared" si="9"/>
        <v>25</v>
      </c>
      <c r="D204" s="3">
        <f t="shared" si="11"/>
        <v>625</v>
      </c>
      <c r="E204" s="3">
        <f t="shared" si="10"/>
        <v>625</v>
      </c>
    </row>
    <row r="205" spans="1:5">
      <c r="A205" s="3">
        <v>20.3</v>
      </c>
      <c r="B205" s="3">
        <v>25</v>
      </c>
      <c r="C205" s="3">
        <f t="shared" si="9"/>
        <v>25</v>
      </c>
      <c r="D205" s="3">
        <f t="shared" si="11"/>
        <v>625</v>
      </c>
      <c r="E205" s="3">
        <f t="shared" si="10"/>
        <v>625</v>
      </c>
    </row>
    <row r="206" spans="1:5">
      <c r="A206" s="3">
        <v>20.399999999999999</v>
      </c>
      <c r="B206" s="3">
        <v>25</v>
      </c>
      <c r="C206" s="3">
        <f t="shared" si="9"/>
        <v>25</v>
      </c>
      <c r="D206" s="3">
        <f t="shared" si="11"/>
        <v>625</v>
      </c>
      <c r="E206" s="3">
        <f t="shared" si="10"/>
        <v>625</v>
      </c>
    </row>
    <row r="207" spans="1:5">
      <c r="A207" s="3">
        <v>20.5</v>
      </c>
      <c r="B207" s="3">
        <v>25</v>
      </c>
      <c r="C207" s="3">
        <f t="shared" si="9"/>
        <v>25</v>
      </c>
      <c r="D207" s="3">
        <f t="shared" si="11"/>
        <v>625</v>
      </c>
      <c r="E207" s="3">
        <f t="shared" si="10"/>
        <v>625</v>
      </c>
    </row>
    <row r="208" spans="1:5">
      <c r="A208" s="3">
        <v>20.6</v>
      </c>
      <c r="B208" s="3">
        <v>25</v>
      </c>
      <c r="C208" s="3">
        <f t="shared" si="9"/>
        <v>25</v>
      </c>
      <c r="D208" s="3">
        <f t="shared" si="11"/>
        <v>625</v>
      </c>
      <c r="E208" s="3">
        <f t="shared" si="10"/>
        <v>625</v>
      </c>
    </row>
    <row r="209" spans="1:5">
      <c r="A209" s="3">
        <v>20.7</v>
      </c>
      <c r="B209" s="3">
        <v>25</v>
      </c>
      <c r="C209" s="3">
        <f t="shared" si="9"/>
        <v>25</v>
      </c>
      <c r="D209" s="3">
        <f t="shared" si="11"/>
        <v>625</v>
      </c>
      <c r="E209" s="3">
        <f t="shared" si="10"/>
        <v>625</v>
      </c>
    </row>
    <row r="210" spans="1:5">
      <c r="A210" s="3">
        <v>20.8</v>
      </c>
      <c r="B210" s="3">
        <v>25</v>
      </c>
      <c r="C210" s="3">
        <f t="shared" si="9"/>
        <v>25</v>
      </c>
      <c r="D210" s="3">
        <f t="shared" si="11"/>
        <v>625</v>
      </c>
      <c r="E210" s="3">
        <f t="shared" si="10"/>
        <v>625</v>
      </c>
    </row>
    <row r="211" spans="1:5">
      <c r="A211" s="3">
        <v>20.9</v>
      </c>
      <c r="B211" s="3">
        <v>25</v>
      </c>
      <c r="C211" s="3">
        <f t="shared" si="9"/>
        <v>25</v>
      </c>
      <c r="D211" s="3">
        <f t="shared" si="11"/>
        <v>625</v>
      </c>
      <c r="E211" s="3">
        <f t="shared" si="10"/>
        <v>625</v>
      </c>
    </row>
    <row r="212" spans="1:5">
      <c r="A212" s="3">
        <v>21</v>
      </c>
      <c r="B212" s="3">
        <v>25</v>
      </c>
      <c r="C212" s="3">
        <f t="shared" si="9"/>
        <v>25</v>
      </c>
      <c r="D212" s="3">
        <f t="shared" si="11"/>
        <v>625</v>
      </c>
      <c r="E212" s="3">
        <f t="shared" si="10"/>
        <v>625</v>
      </c>
    </row>
    <row r="213" spans="1:5">
      <c r="A213" s="3">
        <v>21.1</v>
      </c>
      <c r="B213" s="3">
        <v>25</v>
      </c>
      <c r="C213" s="3">
        <f t="shared" si="9"/>
        <v>25</v>
      </c>
      <c r="D213" s="3">
        <f t="shared" si="11"/>
        <v>625</v>
      </c>
      <c r="E213" s="3">
        <f t="shared" si="10"/>
        <v>625</v>
      </c>
    </row>
    <row r="214" spans="1:5">
      <c r="A214" s="3">
        <v>21.2</v>
      </c>
      <c r="B214" s="3">
        <v>25</v>
      </c>
      <c r="C214" s="3">
        <f t="shared" si="9"/>
        <v>25</v>
      </c>
      <c r="D214" s="3">
        <f t="shared" si="11"/>
        <v>625</v>
      </c>
      <c r="E214" s="3">
        <f t="shared" si="10"/>
        <v>625</v>
      </c>
    </row>
    <row r="215" spans="1:5">
      <c r="A215" s="3">
        <v>21.3</v>
      </c>
      <c r="B215" s="3">
        <v>25</v>
      </c>
      <c r="C215" s="3">
        <f t="shared" si="9"/>
        <v>25</v>
      </c>
      <c r="D215" s="3">
        <f t="shared" si="11"/>
        <v>625</v>
      </c>
      <c r="E215" s="3">
        <f t="shared" si="10"/>
        <v>625</v>
      </c>
    </row>
    <row r="216" spans="1:5">
      <c r="A216" s="3">
        <v>21.4</v>
      </c>
      <c r="B216" s="3">
        <v>25</v>
      </c>
      <c r="C216" s="3">
        <f t="shared" si="9"/>
        <v>25</v>
      </c>
      <c r="D216" s="3">
        <f t="shared" si="11"/>
        <v>625</v>
      </c>
      <c r="E216" s="3">
        <f t="shared" si="10"/>
        <v>625</v>
      </c>
    </row>
    <row r="217" spans="1:5">
      <c r="A217" s="3">
        <v>21.5</v>
      </c>
      <c r="B217" s="3">
        <v>25</v>
      </c>
      <c r="C217" s="3">
        <f t="shared" si="9"/>
        <v>25</v>
      </c>
      <c r="D217" s="3">
        <f t="shared" si="11"/>
        <v>625</v>
      </c>
      <c r="E217" s="3">
        <f t="shared" si="10"/>
        <v>625</v>
      </c>
    </row>
    <row r="218" spans="1:5">
      <c r="A218" s="3">
        <v>21.6</v>
      </c>
      <c r="B218" s="3">
        <v>25</v>
      </c>
      <c r="C218" s="3">
        <f t="shared" si="9"/>
        <v>25</v>
      </c>
      <c r="D218" s="3">
        <f t="shared" si="11"/>
        <v>625</v>
      </c>
      <c r="E218" s="3">
        <f t="shared" si="10"/>
        <v>625</v>
      </c>
    </row>
    <row r="219" spans="1:5">
      <c r="A219" s="3">
        <v>21.7</v>
      </c>
      <c r="B219" s="3">
        <v>25</v>
      </c>
      <c r="C219" s="3">
        <f t="shared" si="9"/>
        <v>25</v>
      </c>
      <c r="D219" s="3">
        <f t="shared" si="11"/>
        <v>625</v>
      </c>
      <c r="E219" s="3">
        <f t="shared" si="10"/>
        <v>625</v>
      </c>
    </row>
    <row r="220" spans="1:5">
      <c r="A220" s="3">
        <v>21.8</v>
      </c>
      <c r="B220" s="3">
        <v>25</v>
      </c>
      <c r="C220" s="3">
        <f t="shared" si="9"/>
        <v>25</v>
      </c>
      <c r="D220" s="3">
        <f t="shared" si="11"/>
        <v>625</v>
      </c>
      <c r="E220" s="3">
        <f t="shared" si="10"/>
        <v>625</v>
      </c>
    </row>
    <row r="221" spans="1:5">
      <c r="A221" s="3">
        <v>21.9</v>
      </c>
      <c r="B221" s="3">
        <v>25</v>
      </c>
      <c r="C221" s="3">
        <f t="shared" si="9"/>
        <v>25</v>
      </c>
      <c r="D221" s="3">
        <f t="shared" si="11"/>
        <v>625</v>
      </c>
      <c r="E221" s="3">
        <f t="shared" si="10"/>
        <v>625</v>
      </c>
    </row>
    <row r="222" spans="1:5">
      <c r="A222" s="3">
        <v>22</v>
      </c>
      <c r="B222" s="3">
        <v>25</v>
      </c>
      <c r="C222" s="3">
        <f t="shared" si="9"/>
        <v>25</v>
      </c>
      <c r="D222" s="3">
        <f t="shared" si="11"/>
        <v>625</v>
      </c>
      <c r="E222" s="3">
        <f t="shared" si="10"/>
        <v>625</v>
      </c>
    </row>
    <row r="223" spans="1:5">
      <c r="A223" s="3">
        <v>22.1</v>
      </c>
      <c r="B223" s="3">
        <v>25</v>
      </c>
      <c r="C223" s="3">
        <f t="shared" si="9"/>
        <v>25</v>
      </c>
      <c r="D223" s="3">
        <f t="shared" si="11"/>
        <v>625</v>
      </c>
      <c r="E223" s="3">
        <f t="shared" si="10"/>
        <v>625</v>
      </c>
    </row>
    <row r="224" spans="1:5">
      <c r="A224" s="3">
        <v>22.2</v>
      </c>
      <c r="B224" s="3">
        <v>25</v>
      </c>
      <c r="C224" s="3">
        <f t="shared" si="9"/>
        <v>25</v>
      </c>
      <c r="D224" s="3">
        <f t="shared" si="11"/>
        <v>625</v>
      </c>
      <c r="E224" s="3">
        <f t="shared" si="10"/>
        <v>625</v>
      </c>
    </row>
    <row r="225" spans="1:5">
      <c r="A225" s="3">
        <v>22.3</v>
      </c>
      <c r="B225" s="3">
        <v>25</v>
      </c>
      <c r="C225" s="3">
        <f t="shared" si="9"/>
        <v>25</v>
      </c>
      <c r="D225" s="3">
        <f t="shared" si="11"/>
        <v>625</v>
      </c>
      <c r="E225" s="3">
        <f t="shared" si="10"/>
        <v>625</v>
      </c>
    </row>
    <row r="226" spans="1:5">
      <c r="A226" s="3">
        <v>22.4</v>
      </c>
      <c r="B226" s="3">
        <v>25</v>
      </c>
      <c r="C226" s="3">
        <f t="shared" si="9"/>
        <v>25</v>
      </c>
      <c r="D226" s="3">
        <f t="shared" si="11"/>
        <v>625</v>
      </c>
      <c r="E226" s="3">
        <f t="shared" si="10"/>
        <v>625</v>
      </c>
    </row>
    <row r="227" spans="1:5">
      <c r="A227" s="3">
        <v>22.5</v>
      </c>
      <c r="B227" s="3">
        <v>25</v>
      </c>
      <c r="C227" s="3">
        <f t="shared" si="9"/>
        <v>25</v>
      </c>
      <c r="D227" s="3">
        <f t="shared" si="11"/>
        <v>625</v>
      </c>
      <c r="E227" s="3">
        <f t="shared" si="10"/>
        <v>625</v>
      </c>
    </row>
    <row r="228" spans="1:5">
      <c r="A228" s="3">
        <v>22.6</v>
      </c>
      <c r="B228" s="3">
        <v>25</v>
      </c>
      <c r="C228" s="3">
        <f t="shared" si="9"/>
        <v>25</v>
      </c>
      <c r="D228" s="3">
        <f t="shared" si="11"/>
        <v>625</v>
      </c>
      <c r="E228" s="3">
        <f t="shared" si="10"/>
        <v>625</v>
      </c>
    </row>
    <row r="229" spans="1:5">
      <c r="A229" s="3">
        <v>22.7</v>
      </c>
      <c r="B229" s="3">
        <v>25</v>
      </c>
      <c r="C229" s="3">
        <f t="shared" si="9"/>
        <v>25</v>
      </c>
      <c r="D229" s="3">
        <f t="shared" si="11"/>
        <v>625</v>
      </c>
      <c r="E229" s="3">
        <f t="shared" si="10"/>
        <v>625</v>
      </c>
    </row>
    <row r="230" spans="1:5">
      <c r="A230" s="3">
        <v>22.8</v>
      </c>
      <c r="B230" s="3">
        <v>25</v>
      </c>
      <c r="C230" s="3">
        <f t="shared" si="9"/>
        <v>25</v>
      </c>
      <c r="D230" s="3">
        <f t="shared" si="11"/>
        <v>625</v>
      </c>
      <c r="E230" s="3">
        <f t="shared" si="10"/>
        <v>625</v>
      </c>
    </row>
    <row r="231" spans="1:5">
      <c r="A231" s="3">
        <v>22.9</v>
      </c>
      <c r="B231" s="3">
        <v>25</v>
      </c>
      <c r="C231" s="3">
        <f t="shared" si="9"/>
        <v>25</v>
      </c>
      <c r="D231" s="3">
        <f t="shared" si="11"/>
        <v>625</v>
      </c>
      <c r="E231" s="3">
        <f t="shared" si="10"/>
        <v>625</v>
      </c>
    </row>
    <row r="232" spans="1:5">
      <c r="A232" s="3">
        <v>23</v>
      </c>
      <c r="B232" s="3">
        <v>25</v>
      </c>
      <c r="C232" s="3">
        <f t="shared" si="9"/>
        <v>25</v>
      </c>
      <c r="D232" s="3">
        <f t="shared" si="11"/>
        <v>625</v>
      </c>
      <c r="E232" s="3">
        <f t="shared" si="10"/>
        <v>625</v>
      </c>
    </row>
    <row r="233" spans="1:5">
      <c r="A233" s="3">
        <v>23.1</v>
      </c>
      <c r="B233" s="3">
        <v>25</v>
      </c>
      <c r="C233" s="3">
        <f t="shared" si="9"/>
        <v>25</v>
      </c>
      <c r="D233" s="3">
        <f t="shared" si="11"/>
        <v>625</v>
      </c>
      <c r="E233" s="3">
        <f t="shared" si="10"/>
        <v>625</v>
      </c>
    </row>
    <row r="234" spans="1:5">
      <c r="A234" s="3">
        <v>23.2</v>
      </c>
      <c r="B234" s="3">
        <v>25</v>
      </c>
      <c r="C234" s="3">
        <f t="shared" si="9"/>
        <v>25</v>
      </c>
      <c r="D234" s="3">
        <f t="shared" si="11"/>
        <v>625</v>
      </c>
      <c r="E234" s="3">
        <f t="shared" si="10"/>
        <v>625</v>
      </c>
    </row>
    <row r="235" spans="1:5">
      <c r="A235" s="3">
        <v>23.3</v>
      </c>
      <c r="B235" s="3">
        <v>25</v>
      </c>
      <c r="C235" s="3">
        <f t="shared" si="9"/>
        <v>25</v>
      </c>
      <c r="D235" s="3">
        <f t="shared" si="11"/>
        <v>625</v>
      </c>
      <c r="E235" s="3">
        <f t="shared" si="10"/>
        <v>625</v>
      </c>
    </row>
    <row r="236" spans="1:5">
      <c r="A236" s="3">
        <v>23.4</v>
      </c>
      <c r="B236" s="3">
        <v>25</v>
      </c>
      <c r="C236" s="3">
        <f t="shared" si="9"/>
        <v>25</v>
      </c>
      <c r="D236" s="3">
        <f t="shared" si="11"/>
        <v>625</v>
      </c>
      <c r="E236" s="3">
        <f t="shared" si="10"/>
        <v>625</v>
      </c>
    </row>
    <row r="237" spans="1:5">
      <c r="A237" s="3">
        <v>23.5</v>
      </c>
      <c r="B237" s="3">
        <v>25</v>
      </c>
      <c r="C237" s="3">
        <f t="shared" si="9"/>
        <v>25</v>
      </c>
      <c r="D237" s="3">
        <f t="shared" si="11"/>
        <v>625</v>
      </c>
      <c r="E237" s="3">
        <f t="shared" si="10"/>
        <v>625</v>
      </c>
    </row>
    <row r="238" spans="1:5">
      <c r="A238" s="3">
        <v>23.6</v>
      </c>
      <c r="B238" s="3">
        <v>25</v>
      </c>
      <c r="C238" s="3">
        <f t="shared" si="9"/>
        <v>25</v>
      </c>
      <c r="D238" s="3">
        <f t="shared" si="11"/>
        <v>625</v>
      </c>
      <c r="E238" s="3">
        <f t="shared" si="10"/>
        <v>625</v>
      </c>
    </row>
    <row r="239" spans="1:5">
      <c r="A239" s="3">
        <v>23.7</v>
      </c>
      <c r="B239" s="3">
        <v>25</v>
      </c>
      <c r="C239" s="3">
        <f t="shared" si="9"/>
        <v>25</v>
      </c>
      <c r="D239" s="3">
        <f t="shared" si="11"/>
        <v>625</v>
      </c>
      <c r="E239" s="3">
        <f t="shared" si="10"/>
        <v>625</v>
      </c>
    </row>
    <row r="240" spans="1:5">
      <c r="A240" s="3">
        <v>23.8</v>
      </c>
      <c r="B240" s="3">
        <v>25</v>
      </c>
      <c r="C240" s="3">
        <f t="shared" si="9"/>
        <v>25</v>
      </c>
      <c r="D240" s="3">
        <f t="shared" si="11"/>
        <v>625</v>
      </c>
      <c r="E240" s="3">
        <f t="shared" si="10"/>
        <v>625</v>
      </c>
    </row>
    <row r="241" spans="1:5">
      <c r="A241" s="3">
        <v>23.9</v>
      </c>
      <c r="B241" s="3">
        <v>25</v>
      </c>
      <c r="C241" s="3">
        <f t="shared" si="9"/>
        <v>25</v>
      </c>
      <c r="D241" s="3">
        <f t="shared" si="11"/>
        <v>625</v>
      </c>
      <c r="E241" s="3">
        <f t="shared" si="10"/>
        <v>625</v>
      </c>
    </row>
    <row r="242" spans="1:5">
      <c r="A242" s="3">
        <v>24</v>
      </c>
      <c r="B242" s="3">
        <v>25</v>
      </c>
      <c r="C242" s="3">
        <f t="shared" si="9"/>
        <v>25</v>
      </c>
      <c r="D242" s="3">
        <f t="shared" si="11"/>
        <v>625</v>
      </c>
      <c r="E242" s="3">
        <f t="shared" si="10"/>
        <v>625</v>
      </c>
    </row>
    <row r="243" spans="1:5">
      <c r="A243" s="3">
        <v>24.1</v>
      </c>
      <c r="B243" s="3">
        <v>25</v>
      </c>
      <c r="C243" s="3">
        <f t="shared" si="9"/>
        <v>25</v>
      </c>
      <c r="D243" s="3">
        <f t="shared" si="11"/>
        <v>625</v>
      </c>
      <c r="E243" s="3">
        <f t="shared" si="10"/>
        <v>625</v>
      </c>
    </row>
    <row r="244" spans="1:5">
      <c r="A244" s="3">
        <v>24.2</v>
      </c>
      <c r="B244" s="3">
        <v>25</v>
      </c>
      <c r="C244" s="3">
        <f t="shared" si="9"/>
        <v>25</v>
      </c>
      <c r="D244" s="3">
        <f t="shared" si="11"/>
        <v>625</v>
      </c>
      <c r="E244" s="3">
        <f t="shared" si="10"/>
        <v>625</v>
      </c>
    </row>
    <row r="245" spans="1:5">
      <c r="A245" s="3">
        <v>24.3</v>
      </c>
      <c r="B245" s="3">
        <v>25</v>
      </c>
      <c r="C245" s="3">
        <f t="shared" si="9"/>
        <v>25</v>
      </c>
      <c r="D245" s="3">
        <f t="shared" si="11"/>
        <v>625</v>
      </c>
      <c r="E245" s="3">
        <f t="shared" si="10"/>
        <v>625</v>
      </c>
    </row>
    <row r="246" spans="1:5">
      <c r="A246" s="3">
        <v>24.4</v>
      </c>
      <c r="B246" s="3">
        <v>25</v>
      </c>
      <c r="C246" s="3">
        <f t="shared" si="9"/>
        <v>25</v>
      </c>
      <c r="D246" s="3">
        <f t="shared" si="11"/>
        <v>625</v>
      </c>
      <c r="E246" s="3">
        <f t="shared" si="10"/>
        <v>625</v>
      </c>
    </row>
    <row r="247" spans="1:5">
      <c r="A247" s="3">
        <v>24.5</v>
      </c>
      <c r="B247" s="3">
        <v>25</v>
      </c>
      <c r="C247" s="3">
        <f t="shared" si="9"/>
        <v>25</v>
      </c>
      <c r="D247" s="3">
        <f t="shared" si="11"/>
        <v>625</v>
      </c>
      <c r="E247" s="3">
        <f t="shared" si="10"/>
        <v>625</v>
      </c>
    </row>
    <row r="248" spans="1:5">
      <c r="A248" s="3">
        <v>24.6</v>
      </c>
      <c r="B248" s="3">
        <v>25</v>
      </c>
      <c r="C248" s="3">
        <f t="shared" si="9"/>
        <v>25</v>
      </c>
      <c r="D248" s="3">
        <f t="shared" si="11"/>
        <v>625</v>
      </c>
      <c r="E248" s="3">
        <f t="shared" si="10"/>
        <v>625</v>
      </c>
    </row>
    <row r="249" spans="1:5">
      <c r="A249" s="3">
        <v>24.7</v>
      </c>
      <c r="B249" s="3">
        <v>25</v>
      </c>
      <c r="C249" s="3">
        <f t="shared" si="9"/>
        <v>25</v>
      </c>
      <c r="D249" s="3">
        <f t="shared" si="11"/>
        <v>625</v>
      </c>
      <c r="E249" s="3">
        <f t="shared" si="10"/>
        <v>625</v>
      </c>
    </row>
    <row r="250" spans="1:5">
      <c r="A250" s="3">
        <v>24.8</v>
      </c>
      <c r="B250" s="3">
        <v>25</v>
      </c>
      <c r="C250" s="3">
        <f t="shared" si="9"/>
        <v>25</v>
      </c>
      <c r="D250" s="3">
        <f t="shared" si="11"/>
        <v>625</v>
      </c>
      <c r="E250" s="3">
        <f t="shared" si="10"/>
        <v>625</v>
      </c>
    </row>
    <row r="251" spans="1:5">
      <c r="A251" s="3">
        <v>24.9</v>
      </c>
      <c r="B251" s="3">
        <v>25</v>
      </c>
      <c r="C251" s="3">
        <f t="shared" si="9"/>
        <v>25</v>
      </c>
      <c r="D251" s="3">
        <f t="shared" si="11"/>
        <v>625</v>
      </c>
      <c r="E251" s="3">
        <f t="shared" si="10"/>
        <v>625</v>
      </c>
    </row>
    <row r="252" spans="1:5">
      <c r="A252" s="3">
        <v>25</v>
      </c>
      <c r="B252" s="3">
        <v>25</v>
      </c>
      <c r="C252" s="3">
        <f t="shared" si="9"/>
        <v>25</v>
      </c>
      <c r="D252" s="3">
        <f t="shared" si="11"/>
        <v>625</v>
      </c>
      <c r="E252" s="3">
        <f t="shared" si="10"/>
        <v>625</v>
      </c>
    </row>
    <row r="253" spans="1:5">
      <c r="A253" s="3">
        <v>25.1</v>
      </c>
      <c r="B253" s="3">
        <v>25</v>
      </c>
      <c r="C253" s="3">
        <f t="shared" si="9"/>
        <v>25</v>
      </c>
      <c r="D253" s="3">
        <f t="shared" si="11"/>
        <v>625</v>
      </c>
      <c r="E253" s="3">
        <f t="shared" si="10"/>
        <v>625</v>
      </c>
    </row>
    <row r="254" spans="1:5">
      <c r="A254" s="3">
        <v>25.2</v>
      </c>
      <c r="B254" s="3">
        <v>25</v>
      </c>
      <c r="C254" s="3">
        <f t="shared" si="9"/>
        <v>25</v>
      </c>
      <c r="D254" s="3">
        <f t="shared" si="11"/>
        <v>625</v>
      </c>
      <c r="E254" s="3">
        <f t="shared" si="10"/>
        <v>625</v>
      </c>
    </row>
    <row r="255" spans="1:5">
      <c r="A255" s="3">
        <v>25.3</v>
      </c>
      <c r="B255" s="3">
        <v>25</v>
      </c>
      <c r="C255" s="3">
        <f t="shared" si="9"/>
        <v>25</v>
      </c>
      <c r="D255" s="3">
        <f t="shared" si="11"/>
        <v>625</v>
      </c>
      <c r="E255" s="3">
        <f t="shared" si="10"/>
        <v>625</v>
      </c>
    </row>
    <row r="256" spans="1:5">
      <c r="A256" s="3">
        <v>25.4</v>
      </c>
      <c r="B256" s="3">
        <v>25</v>
      </c>
      <c r="C256" s="3">
        <f t="shared" si="9"/>
        <v>25</v>
      </c>
      <c r="D256" s="3">
        <f t="shared" si="11"/>
        <v>625</v>
      </c>
      <c r="E256" s="3">
        <f t="shared" si="10"/>
        <v>625</v>
      </c>
    </row>
    <row r="257" spans="1:5">
      <c r="A257" s="3">
        <v>25.5</v>
      </c>
      <c r="B257" s="3">
        <v>25</v>
      </c>
      <c r="C257" s="3">
        <f t="shared" si="9"/>
        <v>25</v>
      </c>
      <c r="D257" s="3">
        <f t="shared" si="11"/>
        <v>625</v>
      </c>
      <c r="E257" s="3">
        <f t="shared" si="10"/>
        <v>625</v>
      </c>
    </row>
    <row r="258" spans="1:5">
      <c r="A258" s="3">
        <v>25.6</v>
      </c>
      <c r="B258" s="3">
        <v>25</v>
      </c>
      <c r="C258" s="3">
        <f t="shared" ref="C258:C321" si="12">ROUND(SQRT(E258),2)</f>
        <v>25</v>
      </c>
      <c r="D258" s="3">
        <f t="shared" si="11"/>
        <v>625</v>
      </c>
      <c r="E258" s="3">
        <f t="shared" ref="E258:E321" si="13">MIN(D258, E259+$H$4)</f>
        <v>625</v>
      </c>
    </row>
    <row r="259" spans="1:5">
      <c r="A259" s="3">
        <v>25.7</v>
      </c>
      <c r="B259" s="3">
        <v>25</v>
      </c>
      <c r="C259" s="3">
        <f t="shared" si="12"/>
        <v>25</v>
      </c>
      <c r="D259" s="3">
        <f t="shared" ref="D259:D322" si="14">MIN(B259^2, D258+$H$4)</f>
        <v>625</v>
      </c>
      <c r="E259" s="3">
        <f t="shared" si="13"/>
        <v>625</v>
      </c>
    </row>
    <row r="260" spans="1:5">
      <c r="A260" s="3">
        <v>25.8</v>
      </c>
      <c r="B260" s="3">
        <v>25</v>
      </c>
      <c r="C260" s="3">
        <f t="shared" si="12"/>
        <v>25</v>
      </c>
      <c r="D260" s="3">
        <f t="shared" si="14"/>
        <v>625</v>
      </c>
      <c r="E260" s="3">
        <f t="shared" si="13"/>
        <v>625</v>
      </c>
    </row>
    <row r="261" spans="1:5">
      <c r="A261" s="3">
        <v>25.9</v>
      </c>
      <c r="B261" s="3">
        <v>25</v>
      </c>
      <c r="C261" s="3">
        <f t="shared" si="12"/>
        <v>25</v>
      </c>
      <c r="D261" s="3">
        <f t="shared" si="14"/>
        <v>625</v>
      </c>
      <c r="E261" s="3">
        <f t="shared" si="13"/>
        <v>625</v>
      </c>
    </row>
    <row r="262" spans="1:5">
      <c r="A262" s="3">
        <v>26</v>
      </c>
      <c r="B262" s="3">
        <v>25</v>
      </c>
      <c r="C262" s="3">
        <f t="shared" si="12"/>
        <v>25</v>
      </c>
      <c r="D262" s="3">
        <f t="shared" si="14"/>
        <v>625</v>
      </c>
      <c r="E262" s="3">
        <f t="shared" si="13"/>
        <v>625</v>
      </c>
    </row>
    <row r="263" spans="1:5">
      <c r="A263" s="3">
        <v>26.1</v>
      </c>
      <c r="B263" s="3">
        <v>25</v>
      </c>
      <c r="C263" s="3">
        <f t="shared" si="12"/>
        <v>25</v>
      </c>
      <c r="D263" s="3">
        <f t="shared" si="14"/>
        <v>625</v>
      </c>
      <c r="E263" s="3">
        <f t="shared" si="13"/>
        <v>625</v>
      </c>
    </row>
    <row r="264" spans="1:5">
      <c r="A264" s="3">
        <v>26.2</v>
      </c>
      <c r="B264" s="3">
        <v>25</v>
      </c>
      <c r="C264" s="3">
        <f t="shared" si="12"/>
        <v>25</v>
      </c>
      <c r="D264" s="3">
        <f t="shared" si="14"/>
        <v>625</v>
      </c>
      <c r="E264" s="3">
        <f t="shared" si="13"/>
        <v>625</v>
      </c>
    </row>
    <row r="265" spans="1:5">
      <c r="A265" s="3">
        <v>26.3</v>
      </c>
      <c r="B265" s="3">
        <v>25</v>
      </c>
      <c r="C265" s="3">
        <f t="shared" si="12"/>
        <v>25</v>
      </c>
      <c r="D265" s="3">
        <f t="shared" si="14"/>
        <v>625</v>
      </c>
      <c r="E265" s="3">
        <f t="shared" si="13"/>
        <v>625</v>
      </c>
    </row>
    <row r="266" spans="1:5">
      <c r="A266" s="3">
        <v>26.4</v>
      </c>
      <c r="B266" s="3">
        <v>25</v>
      </c>
      <c r="C266" s="3">
        <f t="shared" si="12"/>
        <v>25</v>
      </c>
      <c r="D266" s="3">
        <f t="shared" si="14"/>
        <v>625</v>
      </c>
      <c r="E266" s="3">
        <f t="shared" si="13"/>
        <v>625</v>
      </c>
    </row>
    <row r="267" spans="1:5">
      <c r="A267" s="3">
        <v>26.5</v>
      </c>
      <c r="B267" s="3">
        <v>25</v>
      </c>
      <c r="C267" s="3">
        <f t="shared" si="12"/>
        <v>25</v>
      </c>
      <c r="D267" s="3">
        <f t="shared" si="14"/>
        <v>625</v>
      </c>
      <c r="E267" s="3">
        <f t="shared" si="13"/>
        <v>625</v>
      </c>
    </row>
    <row r="268" spans="1:5">
      <c r="A268" s="3">
        <v>26.6</v>
      </c>
      <c r="B268" s="3">
        <v>25</v>
      </c>
      <c r="C268" s="3">
        <f t="shared" si="12"/>
        <v>25</v>
      </c>
      <c r="D268" s="3">
        <f t="shared" si="14"/>
        <v>625</v>
      </c>
      <c r="E268" s="3">
        <f t="shared" si="13"/>
        <v>625</v>
      </c>
    </row>
    <row r="269" spans="1:5">
      <c r="A269" s="3">
        <v>26.7</v>
      </c>
      <c r="B269" s="3">
        <v>25</v>
      </c>
      <c r="C269" s="3">
        <f t="shared" si="12"/>
        <v>25</v>
      </c>
      <c r="D269" s="3">
        <f t="shared" si="14"/>
        <v>625</v>
      </c>
      <c r="E269" s="3">
        <f t="shared" si="13"/>
        <v>625</v>
      </c>
    </row>
    <row r="270" spans="1:5">
      <c r="A270" s="3">
        <v>26.8</v>
      </c>
      <c r="B270" s="3">
        <v>25</v>
      </c>
      <c r="C270" s="3">
        <f t="shared" si="12"/>
        <v>25</v>
      </c>
      <c r="D270" s="3">
        <f t="shared" si="14"/>
        <v>625</v>
      </c>
      <c r="E270" s="3">
        <f t="shared" si="13"/>
        <v>625</v>
      </c>
    </row>
    <row r="271" spans="1:5">
      <c r="A271" s="3">
        <v>26.9</v>
      </c>
      <c r="B271" s="3">
        <v>25</v>
      </c>
      <c r="C271" s="3">
        <f t="shared" si="12"/>
        <v>25</v>
      </c>
      <c r="D271" s="3">
        <f t="shared" si="14"/>
        <v>625</v>
      </c>
      <c r="E271" s="3">
        <f t="shared" si="13"/>
        <v>625</v>
      </c>
    </row>
    <row r="272" spans="1:5">
      <c r="A272" s="3">
        <v>27</v>
      </c>
      <c r="B272" s="3">
        <v>25</v>
      </c>
      <c r="C272" s="3">
        <f t="shared" si="12"/>
        <v>25</v>
      </c>
      <c r="D272" s="3">
        <f t="shared" si="14"/>
        <v>625</v>
      </c>
      <c r="E272" s="3">
        <f t="shared" si="13"/>
        <v>625</v>
      </c>
    </row>
    <row r="273" spans="1:5">
      <c r="A273" s="3">
        <v>27.1</v>
      </c>
      <c r="B273" s="3">
        <v>25</v>
      </c>
      <c r="C273" s="3">
        <f t="shared" si="12"/>
        <v>25</v>
      </c>
      <c r="D273" s="3">
        <f t="shared" si="14"/>
        <v>625</v>
      </c>
      <c r="E273" s="3">
        <f t="shared" si="13"/>
        <v>625</v>
      </c>
    </row>
    <row r="274" spans="1:5">
      <c r="A274" s="3">
        <v>27.2</v>
      </c>
      <c r="B274" s="3">
        <v>25</v>
      </c>
      <c r="C274" s="3">
        <f t="shared" si="12"/>
        <v>25</v>
      </c>
      <c r="D274" s="3">
        <f t="shared" si="14"/>
        <v>625</v>
      </c>
      <c r="E274" s="3">
        <f t="shared" si="13"/>
        <v>625</v>
      </c>
    </row>
    <row r="275" spans="1:5">
      <c r="A275" s="3">
        <v>27.3</v>
      </c>
      <c r="B275" s="3">
        <v>25</v>
      </c>
      <c r="C275" s="3">
        <f t="shared" si="12"/>
        <v>25</v>
      </c>
      <c r="D275" s="3">
        <f t="shared" si="14"/>
        <v>625</v>
      </c>
      <c r="E275" s="3">
        <f t="shared" si="13"/>
        <v>625</v>
      </c>
    </row>
    <row r="276" spans="1:5">
      <c r="A276" s="3">
        <v>27.4</v>
      </c>
      <c r="B276" s="3">
        <v>25</v>
      </c>
      <c r="C276" s="3">
        <f t="shared" si="12"/>
        <v>25</v>
      </c>
      <c r="D276" s="3">
        <f t="shared" si="14"/>
        <v>625</v>
      </c>
      <c r="E276" s="3">
        <f t="shared" si="13"/>
        <v>625</v>
      </c>
    </row>
    <row r="277" spans="1:5">
      <c r="A277" s="3">
        <v>27.5</v>
      </c>
      <c r="B277" s="3">
        <v>25</v>
      </c>
      <c r="C277" s="3">
        <f t="shared" si="12"/>
        <v>25</v>
      </c>
      <c r="D277" s="3">
        <f t="shared" si="14"/>
        <v>625</v>
      </c>
      <c r="E277" s="3">
        <f t="shared" si="13"/>
        <v>625</v>
      </c>
    </row>
    <row r="278" spans="1:5">
      <c r="A278" s="3">
        <v>27.6</v>
      </c>
      <c r="B278" s="3">
        <v>25</v>
      </c>
      <c r="C278" s="3">
        <f t="shared" si="12"/>
        <v>25</v>
      </c>
      <c r="D278" s="3">
        <f t="shared" si="14"/>
        <v>625</v>
      </c>
      <c r="E278" s="3">
        <f t="shared" si="13"/>
        <v>625</v>
      </c>
    </row>
    <row r="279" spans="1:5">
      <c r="A279" s="3">
        <v>27.7</v>
      </c>
      <c r="B279" s="3">
        <v>25</v>
      </c>
      <c r="C279" s="3">
        <f t="shared" si="12"/>
        <v>25</v>
      </c>
      <c r="D279" s="3">
        <f t="shared" si="14"/>
        <v>625</v>
      </c>
      <c r="E279" s="3">
        <f t="shared" si="13"/>
        <v>625</v>
      </c>
    </row>
    <row r="280" spans="1:5">
      <c r="A280" s="3">
        <v>27.8</v>
      </c>
      <c r="B280" s="3">
        <v>25</v>
      </c>
      <c r="C280" s="3">
        <f t="shared" si="12"/>
        <v>25</v>
      </c>
      <c r="D280" s="3">
        <f t="shared" si="14"/>
        <v>625</v>
      </c>
      <c r="E280" s="3">
        <f t="shared" si="13"/>
        <v>625</v>
      </c>
    </row>
    <row r="281" spans="1:5">
      <c r="A281" s="3">
        <v>27.9</v>
      </c>
      <c r="B281" s="3">
        <v>25</v>
      </c>
      <c r="C281" s="3">
        <f t="shared" si="12"/>
        <v>25</v>
      </c>
      <c r="D281" s="3">
        <f t="shared" si="14"/>
        <v>625</v>
      </c>
      <c r="E281" s="3">
        <f t="shared" si="13"/>
        <v>625</v>
      </c>
    </row>
    <row r="282" spans="1:5">
      <c r="A282" s="3">
        <v>28</v>
      </c>
      <c r="B282" s="3">
        <v>25</v>
      </c>
      <c r="C282" s="3">
        <f t="shared" si="12"/>
        <v>25</v>
      </c>
      <c r="D282" s="3">
        <f t="shared" si="14"/>
        <v>625</v>
      </c>
      <c r="E282" s="3">
        <f t="shared" si="13"/>
        <v>625</v>
      </c>
    </row>
    <row r="283" spans="1:5">
      <c r="A283" s="3">
        <v>28.1</v>
      </c>
      <c r="B283" s="3">
        <v>25</v>
      </c>
      <c r="C283" s="3">
        <f t="shared" si="12"/>
        <v>25</v>
      </c>
      <c r="D283" s="3">
        <f t="shared" si="14"/>
        <v>625</v>
      </c>
      <c r="E283" s="3">
        <f t="shared" si="13"/>
        <v>625</v>
      </c>
    </row>
    <row r="284" spans="1:5">
      <c r="A284" s="3">
        <v>28.2</v>
      </c>
      <c r="B284" s="3">
        <v>25</v>
      </c>
      <c r="C284" s="3">
        <f t="shared" si="12"/>
        <v>25</v>
      </c>
      <c r="D284" s="3">
        <f t="shared" si="14"/>
        <v>625</v>
      </c>
      <c r="E284" s="3">
        <f t="shared" si="13"/>
        <v>625</v>
      </c>
    </row>
    <row r="285" spans="1:5">
      <c r="A285" s="3">
        <v>28.3</v>
      </c>
      <c r="B285" s="3">
        <v>25</v>
      </c>
      <c r="C285" s="3">
        <f t="shared" si="12"/>
        <v>25</v>
      </c>
      <c r="D285" s="3">
        <f t="shared" si="14"/>
        <v>625</v>
      </c>
      <c r="E285" s="3">
        <f t="shared" si="13"/>
        <v>625</v>
      </c>
    </row>
    <row r="286" spans="1:5">
      <c r="A286" s="3">
        <v>28.4</v>
      </c>
      <c r="B286" s="3">
        <v>25</v>
      </c>
      <c r="C286" s="3">
        <f t="shared" si="12"/>
        <v>25</v>
      </c>
      <c r="D286" s="3">
        <f t="shared" si="14"/>
        <v>625</v>
      </c>
      <c r="E286" s="3">
        <f t="shared" si="13"/>
        <v>625</v>
      </c>
    </row>
    <row r="287" spans="1:5">
      <c r="A287" s="3">
        <v>28.5</v>
      </c>
      <c r="B287" s="3">
        <v>25</v>
      </c>
      <c r="C287" s="3">
        <f t="shared" si="12"/>
        <v>25</v>
      </c>
      <c r="D287" s="3">
        <f t="shared" si="14"/>
        <v>625</v>
      </c>
      <c r="E287" s="3">
        <f t="shared" si="13"/>
        <v>625</v>
      </c>
    </row>
    <row r="288" spans="1:5">
      <c r="A288" s="3">
        <v>28.6</v>
      </c>
      <c r="B288" s="3">
        <v>25</v>
      </c>
      <c r="C288" s="3">
        <f t="shared" si="12"/>
        <v>25</v>
      </c>
      <c r="D288" s="3">
        <f t="shared" si="14"/>
        <v>625</v>
      </c>
      <c r="E288" s="3">
        <f t="shared" si="13"/>
        <v>625</v>
      </c>
    </row>
    <row r="289" spans="1:5">
      <c r="A289" s="3">
        <v>28.7</v>
      </c>
      <c r="B289" s="3">
        <v>25</v>
      </c>
      <c r="C289" s="3">
        <f t="shared" si="12"/>
        <v>25</v>
      </c>
      <c r="D289" s="3">
        <f t="shared" si="14"/>
        <v>625</v>
      </c>
      <c r="E289" s="3">
        <f t="shared" si="13"/>
        <v>625</v>
      </c>
    </row>
    <row r="290" spans="1:5">
      <c r="A290" s="3">
        <v>28.8</v>
      </c>
      <c r="B290" s="3">
        <v>25</v>
      </c>
      <c r="C290" s="3">
        <f t="shared" si="12"/>
        <v>25</v>
      </c>
      <c r="D290" s="3">
        <f t="shared" si="14"/>
        <v>625</v>
      </c>
      <c r="E290" s="3">
        <f t="shared" si="13"/>
        <v>625</v>
      </c>
    </row>
    <row r="291" spans="1:5">
      <c r="A291" s="3">
        <v>28.9</v>
      </c>
      <c r="B291" s="3">
        <v>25</v>
      </c>
      <c r="C291" s="3">
        <f t="shared" si="12"/>
        <v>25</v>
      </c>
      <c r="D291" s="3">
        <f t="shared" si="14"/>
        <v>625</v>
      </c>
      <c r="E291" s="3">
        <f t="shared" si="13"/>
        <v>625</v>
      </c>
    </row>
    <row r="292" spans="1:5">
      <c r="A292" s="3">
        <v>29</v>
      </c>
      <c r="B292" s="3">
        <v>25</v>
      </c>
      <c r="C292" s="3">
        <f t="shared" si="12"/>
        <v>25</v>
      </c>
      <c r="D292" s="3">
        <f t="shared" si="14"/>
        <v>625</v>
      </c>
      <c r="E292" s="3">
        <f t="shared" si="13"/>
        <v>625</v>
      </c>
    </row>
    <row r="293" spans="1:5">
      <c r="A293" s="3">
        <v>29.1</v>
      </c>
      <c r="B293" s="3">
        <v>25</v>
      </c>
      <c r="C293" s="3">
        <f t="shared" si="12"/>
        <v>25</v>
      </c>
      <c r="D293" s="3">
        <f t="shared" si="14"/>
        <v>625</v>
      </c>
      <c r="E293" s="3">
        <f t="shared" si="13"/>
        <v>625</v>
      </c>
    </row>
    <row r="294" spans="1:5">
      <c r="A294" s="3">
        <v>29.2</v>
      </c>
      <c r="B294" s="3">
        <v>25</v>
      </c>
      <c r="C294" s="3">
        <f t="shared" si="12"/>
        <v>25</v>
      </c>
      <c r="D294" s="3">
        <f t="shared" si="14"/>
        <v>625</v>
      </c>
      <c r="E294" s="3">
        <f t="shared" si="13"/>
        <v>625</v>
      </c>
    </row>
    <row r="295" spans="1:5">
      <c r="A295" s="3">
        <v>29.3</v>
      </c>
      <c r="B295" s="3">
        <v>25</v>
      </c>
      <c r="C295" s="3">
        <f t="shared" si="12"/>
        <v>25</v>
      </c>
      <c r="D295" s="3">
        <f t="shared" si="14"/>
        <v>625</v>
      </c>
      <c r="E295" s="3">
        <f t="shared" si="13"/>
        <v>625</v>
      </c>
    </row>
    <row r="296" spans="1:5">
      <c r="A296" s="3">
        <v>29.4</v>
      </c>
      <c r="B296" s="3">
        <v>25</v>
      </c>
      <c r="C296" s="3">
        <f t="shared" si="12"/>
        <v>25</v>
      </c>
      <c r="D296" s="3">
        <f t="shared" si="14"/>
        <v>625</v>
      </c>
      <c r="E296" s="3">
        <f t="shared" si="13"/>
        <v>625</v>
      </c>
    </row>
    <row r="297" spans="1:5">
      <c r="A297" s="3">
        <v>29.5</v>
      </c>
      <c r="B297" s="3">
        <v>25</v>
      </c>
      <c r="C297" s="3">
        <f t="shared" si="12"/>
        <v>25</v>
      </c>
      <c r="D297" s="3">
        <f t="shared" si="14"/>
        <v>625</v>
      </c>
      <c r="E297" s="3">
        <f t="shared" si="13"/>
        <v>625</v>
      </c>
    </row>
    <row r="298" spans="1:5">
      <c r="A298" s="3">
        <v>29.6</v>
      </c>
      <c r="B298" s="3">
        <v>25</v>
      </c>
      <c r="C298" s="3">
        <f t="shared" si="12"/>
        <v>25</v>
      </c>
      <c r="D298" s="3">
        <f t="shared" si="14"/>
        <v>625</v>
      </c>
      <c r="E298" s="3">
        <f t="shared" si="13"/>
        <v>625</v>
      </c>
    </row>
    <row r="299" spans="1:5">
      <c r="A299" s="3">
        <v>29.7</v>
      </c>
      <c r="B299" s="3">
        <v>25</v>
      </c>
      <c r="C299" s="3">
        <f t="shared" si="12"/>
        <v>25</v>
      </c>
      <c r="D299" s="3">
        <f t="shared" si="14"/>
        <v>625</v>
      </c>
      <c r="E299" s="3">
        <f t="shared" si="13"/>
        <v>625</v>
      </c>
    </row>
    <row r="300" spans="1:5">
      <c r="A300" s="3">
        <v>29.8</v>
      </c>
      <c r="B300" s="3">
        <v>25</v>
      </c>
      <c r="C300" s="3">
        <f t="shared" si="12"/>
        <v>25</v>
      </c>
      <c r="D300" s="3">
        <f t="shared" si="14"/>
        <v>625</v>
      </c>
      <c r="E300" s="3">
        <f t="shared" si="13"/>
        <v>625</v>
      </c>
    </row>
    <row r="301" spans="1:5">
      <c r="A301" s="3">
        <v>29.9</v>
      </c>
      <c r="B301" s="3">
        <v>25</v>
      </c>
      <c r="C301" s="3">
        <f t="shared" si="12"/>
        <v>25</v>
      </c>
      <c r="D301" s="3">
        <f t="shared" si="14"/>
        <v>625</v>
      </c>
      <c r="E301" s="3">
        <f t="shared" si="13"/>
        <v>625</v>
      </c>
    </row>
    <row r="302" spans="1:5">
      <c r="A302" s="3">
        <v>30</v>
      </c>
      <c r="B302" s="3">
        <v>25</v>
      </c>
      <c r="C302" s="3">
        <f t="shared" si="12"/>
        <v>25</v>
      </c>
      <c r="D302" s="3">
        <f t="shared" si="14"/>
        <v>625</v>
      </c>
      <c r="E302" s="3">
        <f t="shared" si="13"/>
        <v>625</v>
      </c>
    </row>
    <row r="303" spans="1:5">
      <c r="A303" s="3">
        <v>30.1</v>
      </c>
      <c r="B303" s="3">
        <v>25</v>
      </c>
      <c r="C303" s="3">
        <f t="shared" si="12"/>
        <v>25</v>
      </c>
      <c r="D303" s="3">
        <f t="shared" si="14"/>
        <v>625</v>
      </c>
      <c r="E303" s="3">
        <f t="shared" si="13"/>
        <v>625</v>
      </c>
    </row>
    <row r="304" spans="1:5">
      <c r="A304" s="3">
        <v>30.2</v>
      </c>
      <c r="B304" s="3">
        <v>25</v>
      </c>
      <c r="C304" s="3">
        <f t="shared" si="12"/>
        <v>25</v>
      </c>
      <c r="D304" s="3">
        <f t="shared" si="14"/>
        <v>625</v>
      </c>
      <c r="E304" s="3">
        <f t="shared" si="13"/>
        <v>625</v>
      </c>
    </row>
    <row r="305" spans="1:5">
      <c r="A305" s="3">
        <v>30.3</v>
      </c>
      <c r="B305" s="3">
        <v>25</v>
      </c>
      <c r="C305" s="3">
        <f t="shared" si="12"/>
        <v>25</v>
      </c>
      <c r="D305" s="3">
        <f t="shared" si="14"/>
        <v>625</v>
      </c>
      <c r="E305" s="3">
        <f t="shared" si="13"/>
        <v>625</v>
      </c>
    </row>
    <row r="306" spans="1:5">
      <c r="A306" s="3">
        <v>30.4</v>
      </c>
      <c r="B306" s="3">
        <v>25</v>
      </c>
      <c r="C306" s="3">
        <f t="shared" si="12"/>
        <v>25</v>
      </c>
      <c r="D306" s="3">
        <f t="shared" si="14"/>
        <v>625</v>
      </c>
      <c r="E306" s="3">
        <f t="shared" si="13"/>
        <v>625</v>
      </c>
    </row>
    <row r="307" spans="1:5">
      <c r="A307" s="3">
        <v>30.5</v>
      </c>
      <c r="B307" s="3">
        <v>25</v>
      </c>
      <c r="C307" s="3">
        <f t="shared" si="12"/>
        <v>25</v>
      </c>
      <c r="D307" s="3">
        <f t="shared" si="14"/>
        <v>625</v>
      </c>
      <c r="E307" s="3">
        <f t="shared" si="13"/>
        <v>625</v>
      </c>
    </row>
    <row r="308" spans="1:5">
      <c r="A308" s="3">
        <v>30.6</v>
      </c>
      <c r="B308" s="3">
        <v>25</v>
      </c>
      <c r="C308" s="3">
        <f t="shared" si="12"/>
        <v>25</v>
      </c>
      <c r="D308" s="3">
        <f t="shared" si="14"/>
        <v>625</v>
      </c>
      <c r="E308" s="3">
        <f t="shared" si="13"/>
        <v>625</v>
      </c>
    </row>
    <row r="309" spans="1:5">
      <c r="A309" s="3">
        <v>30.7</v>
      </c>
      <c r="B309" s="3">
        <v>25</v>
      </c>
      <c r="C309" s="3">
        <f t="shared" si="12"/>
        <v>25</v>
      </c>
      <c r="D309" s="3">
        <f t="shared" si="14"/>
        <v>625</v>
      </c>
      <c r="E309" s="3">
        <f t="shared" si="13"/>
        <v>625</v>
      </c>
    </row>
    <row r="310" spans="1:5">
      <c r="A310" s="3">
        <v>30.8</v>
      </c>
      <c r="B310" s="3">
        <v>25</v>
      </c>
      <c r="C310" s="3">
        <f t="shared" si="12"/>
        <v>25</v>
      </c>
      <c r="D310" s="3">
        <f t="shared" si="14"/>
        <v>625</v>
      </c>
      <c r="E310" s="3">
        <f t="shared" si="13"/>
        <v>625</v>
      </c>
    </row>
    <row r="311" spans="1:5">
      <c r="A311" s="3">
        <v>30.9</v>
      </c>
      <c r="B311" s="3">
        <v>25</v>
      </c>
      <c r="C311" s="3">
        <f t="shared" si="12"/>
        <v>25</v>
      </c>
      <c r="D311" s="3">
        <f t="shared" si="14"/>
        <v>625</v>
      </c>
      <c r="E311" s="3">
        <f t="shared" si="13"/>
        <v>625</v>
      </c>
    </row>
    <row r="312" spans="1:5">
      <c r="A312" s="3">
        <v>31</v>
      </c>
      <c r="B312" s="3">
        <v>25</v>
      </c>
      <c r="C312" s="3">
        <f t="shared" si="12"/>
        <v>25</v>
      </c>
      <c r="D312" s="3">
        <f t="shared" si="14"/>
        <v>625</v>
      </c>
      <c r="E312" s="3">
        <f t="shared" si="13"/>
        <v>625</v>
      </c>
    </row>
    <row r="313" spans="1:5">
      <c r="A313" s="3">
        <v>31.1</v>
      </c>
      <c r="B313" s="3">
        <v>25</v>
      </c>
      <c r="C313" s="3">
        <f t="shared" si="12"/>
        <v>25</v>
      </c>
      <c r="D313" s="3">
        <f t="shared" si="14"/>
        <v>625</v>
      </c>
      <c r="E313" s="3">
        <f t="shared" si="13"/>
        <v>625</v>
      </c>
    </row>
    <row r="314" spans="1:5">
      <c r="A314" s="3">
        <v>31.2</v>
      </c>
      <c r="B314" s="3">
        <v>25</v>
      </c>
      <c r="C314" s="3">
        <f t="shared" si="12"/>
        <v>25</v>
      </c>
      <c r="D314" s="3">
        <f t="shared" si="14"/>
        <v>625</v>
      </c>
      <c r="E314" s="3">
        <f t="shared" si="13"/>
        <v>625</v>
      </c>
    </row>
    <row r="315" spans="1:5">
      <c r="A315" s="3">
        <v>31.3</v>
      </c>
      <c r="B315" s="3">
        <v>25</v>
      </c>
      <c r="C315" s="3">
        <f t="shared" si="12"/>
        <v>25</v>
      </c>
      <c r="D315" s="3">
        <f t="shared" si="14"/>
        <v>625</v>
      </c>
      <c r="E315" s="3">
        <f t="shared" si="13"/>
        <v>625</v>
      </c>
    </row>
    <row r="316" spans="1:5">
      <c r="A316" s="3">
        <v>31.4</v>
      </c>
      <c r="B316" s="3">
        <v>25</v>
      </c>
      <c r="C316" s="3">
        <f t="shared" si="12"/>
        <v>25</v>
      </c>
      <c r="D316" s="3">
        <f t="shared" si="14"/>
        <v>625</v>
      </c>
      <c r="E316" s="3">
        <f t="shared" si="13"/>
        <v>625</v>
      </c>
    </row>
    <row r="317" spans="1:5">
      <c r="A317" s="3">
        <v>31.5</v>
      </c>
      <c r="B317" s="3">
        <v>25</v>
      </c>
      <c r="C317" s="3">
        <f t="shared" si="12"/>
        <v>25</v>
      </c>
      <c r="D317" s="3">
        <f t="shared" si="14"/>
        <v>625</v>
      </c>
      <c r="E317" s="3">
        <f t="shared" si="13"/>
        <v>625</v>
      </c>
    </row>
    <row r="318" spans="1:5">
      <c r="A318" s="3">
        <v>31.6</v>
      </c>
      <c r="B318" s="3">
        <v>25</v>
      </c>
      <c r="C318" s="3">
        <f t="shared" si="12"/>
        <v>25</v>
      </c>
      <c r="D318" s="3">
        <f t="shared" si="14"/>
        <v>625</v>
      </c>
      <c r="E318" s="3">
        <f t="shared" si="13"/>
        <v>625</v>
      </c>
    </row>
    <row r="319" spans="1:5">
      <c r="A319" s="3">
        <v>31.7</v>
      </c>
      <c r="B319" s="3">
        <v>25</v>
      </c>
      <c r="C319" s="3">
        <f t="shared" si="12"/>
        <v>25</v>
      </c>
      <c r="D319" s="3">
        <f t="shared" si="14"/>
        <v>625</v>
      </c>
      <c r="E319" s="3">
        <f t="shared" si="13"/>
        <v>625</v>
      </c>
    </row>
    <row r="320" spans="1:5">
      <c r="A320" s="3">
        <v>31.8</v>
      </c>
      <c r="B320" s="3">
        <v>25</v>
      </c>
      <c r="C320" s="3">
        <f t="shared" si="12"/>
        <v>25</v>
      </c>
      <c r="D320" s="3">
        <f t="shared" si="14"/>
        <v>625</v>
      </c>
      <c r="E320" s="3">
        <f t="shared" si="13"/>
        <v>625</v>
      </c>
    </row>
    <row r="321" spans="1:5">
      <c r="A321" s="3">
        <v>31.9</v>
      </c>
      <c r="B321" s="3">
        <v>25</v>
      </c>
      <c r="C321" s="3">
        <f t="shared" si="12"/>
        <v>25</v>
      </c>
      <c r="D321" s="3">
        <f t="shared" si="14"/>
        <v>625</v>
      </c>
      <c r="E321" s="3">
        <f t="shared" si="13"/>
        <v>625</v>
      </c>
    </row>
    <row r="322" spans="1:5">
      <c r="A322" s="3">
        <v>32</v>
      </c>
      <c r="B322" s="3">
        <v>25</v>
      </c>
      <c r="C322" s="3">
        <f t="shared" ref="C322:C385" si="15">ROUND(SQRT(E322),2)</f>
        <v>25</v>
      </c>
      <c r="D322" s="3">
        <f t="shared" si="14"/>
        <v>625</v>
      </c>
      <c r="E322" s="3">
        <f t="shared" ref="E322:E385" si="16">MIN(D322, E323+$H$4)</f>
        <v>625</v>
      </c>
    </row>
    <row r="323" spans="1:5">
      <c r="A323" s="3">
        <v>32.1</v>
      </c>
      <c r="B323" s="3">
        <v>25</v>
      </c>
      <c r="C323" s="3">
        <f t="shared" si="15"/>
        <v>25</v>
      </c>
      <c r="D323" s="3">
        <f t="shared" ref="D323:D386" si="17">MIN(B323^2, D322+$H$4)</f>
        <v>625</v>
      </c>
      <c r="E323" s="3">
        <f t="shared" si="16"/>
        <v>625</v>
      </c>
    </row>
    <row r="324" spans="1:5">
      <c r="A324" s="3">
        <v>32.200000000000003</v>
      </c>
      <c r="B324" s="3">
        <v>25</v>
      </c>
      <c r="C324" s="3">
        <f t="shared" si="15"/>
        <v>25</v>
      </c>
      <c r="D324" s="3">
        <f t="shared" si="17"/>
        <v>625</v>
      </c>
      <c r="E324" s="3">
        <f t="shared" si="16"/>
        <v>625</v>
      </c>
    </row>
    <row r="325" spans="1:5">
      <c r="A325" s="3">
        <v>32.299999999999997</v>
      </c>
      <c r="B325" s="3">
        <v>25</v>
      </c>
      <c r="C325" s="3">
        <f t="shared" si="15"/>
        <v>25</v>
      </c>
      <c r="D325" s="3">
        <f t="shared" si="17"/>
        <v>625</v>
      </c>
      <c r="E325" s="3">
        <f t="shared" si="16"/>
        <v>625</v>
      </c>
    </row>
    <row r="326" spans="1:5">
      <c r="A326" s="3">
        <v>32.4</v>
      </c>
      <c r="B326" s="3">
        <v>25</v>
      </c>
      <c r="C326" s="3">
        <f t="shared" si="15"/>
        <v>25</v>
      </c>
      <c r="D326" s="3">
        <f t="shared" si="17"/>
        <v>625</v>
      </c>
      <c r="E326" s="3">
        <f t="shared" si="16"/>
        <v>625</v>
      </c>
    </row>
    <row r="327" spans="1:5">
      <c r="A327" s="3">
        <v>32.5</v>
      </c>
      <c r="B327" s="3">
        <v>25</v>
      </c>
      <c r="C327" s="3">
        <f t="shared" si="15"/>
        <v>25</v>
      </c>
      <c r="D327" s="3">
        <f t="shared" si="17"/>
        <v>625</v>
      </c>
      <c r="E327" s="3">
        <f t="shared" si="16"/>
        <v>625</v>
      </c>
    </row>
    <row r="328" spans="1:5">
      <c r="A328" s="3">
        <v>32.6</v>
      </c>
      <c r="B328" s="3">
        <v>25</v>
      </c>
      <c r="C328" s="3">
        <f t="shared" si="15"/>
        <v>25</v>
      </c>
      <c r="D328" s="3">
        <f t="shared" si="17"/>
        <v>625</v>
      </c>
      <c r="E328" s="3">
        <f t="shared" si="16"/>
        <v>625</v>
      </c>
    </row>
    <row r="329" spans="1:5">
      <c r="A329" s="3">
        <v>32.700000000000003</v>
      </c>
      <c r="B329" s="3">
        <v>25</v>
      </c>
      <c r="C329" s="3">
        <f t="shared" si="15"/>
        <v>25</v>
      </c>
      <c r="D329" s="3">
        <f t="shared" si="17"/>
        <v>625</v>
      </c>
      <c r="E329" s="3">
        <f t="shared" si="16"/>
        <v>625</v>
      </c>
    </row>
    <row r="330" spans="1:5">
      <c r="A330" s="3">
        <v>32.799999999999997</v>
      </c>
      <c r="B330" s="3">
        <v>25</v>
      </c>
      <c r="C330" s="3">
        <f t="shared" si="15"/>
        <v>25</v>
      </c>
      <c r="D330" s="3">
        <f t="shared" si="17"/>
        <v>625</v>
      </c>
      <c r="E330" s="3">
        <f t="shared" si="16"/>
        <v>625</v>
      </c>
    </row>
    <row r="331" spans="1:5">
      <c r="A331" s="3">
        <v>32.9</v>
      </c>
      <c r="B331" s="3">
        <v>25</v>
      </c>
      <c r="C331" s="3">
        <f t="shared" si="15"/>
        <v>25</v>
      </c>
      <c r="D331" s="3">
        <f t="shared" si="17"/>
        <v>625</v>
      </c>
      <c r="E331" s="3">
        <f t="shared" si="16"/>
        <v>625</v>
      </c>
    </row>
    <row r="332" spans="1:5">
      <c r="A332" s="3">
        <v>33</v>
      </c>
      <c r="B332" s="3">
        <v>25</v>
      </c>
      <c r="C332" s="3">
        <f t="shared" si="15"/>
        <v>25</v>
      </c>
      <c r="D332" s="3">
        <f t="shared" si="17"/>
        <v>625</v>
      </c>
      <c r="E332" s="3">
        <f t="shared" si="16"/>
        <v>625</v>
      </c>
    </row>
    <row r="333" spans="1:5">
      <c r="A333" s="3">
        <v>33.1</v>
      </c>
      <c r="B333" s="3">
        <v>25</v>
      </c>
      <c r="C333" s="3">
        <f t="shared" si="15"/>
        <v>25</v>
      </c>
      <c r="D333" s="3">
        <f t="shared" si="17"/>
        <v>625</v>
      </c>
      <c r="E333" s="3">
        <f t="shared" si="16"/>
        <v>625</v>
      </c>
    </row>
    <row r="334" spans="1:5">
      <c r="A334" s="3">
        <v>33.200000000000003</v>
      </c>
      <c r="B334" s="3">
        <v>25</v>
      </c>
      <c r="C334" s="3">
        <f t="shared" si="15"/>
        <v>25</v>
      </c>
      <c r="D334" s="3">
        <f t="shared" si="17"/>
        <v>625</v>
      </c>
      <c r="E334" s="3">
        <f t="shared" si="16"/>
        <v>625</v>
      </c>
    </row>
    <row r="335" spans="1:5">
      <c r="A335" s="3">
        <v>33.299999999999997</v>
      </c>
      <c r="B335" s="3">
        <v>25</v>
      </c>
      <c r="C335" s="3">
        <f t="shared" si="15"/>
        <v>25</v>
      </c>
      <c r="D335" s="3">
        <f t="shared" si="17"/>
        <v>625</v>
      </c>
      <c r="E335" s="3">
        <f t="shared" si="16"/>
        <v>625</v>
      </c>
    </row>
    <row r="336" spans="1:5">
      <c r="A336" s="3">
        <v>33.4</v>
      </c>
      <c r="B336" s="3">
        <v>25</v>
      </c>
      <c r="C336" s="3">
        <f t="shared" si="15"/>
        <v>25</v>
      </c>
      <c r="D336" s="3">
        <f t="shared" si="17"/>
        <v>625</v>
      </c>
      <c r="E336" s="3">
        <f t="shared" si="16"/>
        <v>625</v>
      </c>
    </row>
    <row r="337" spans="1:5">
      <c r="A337" s="3">
        <v>33.5</v>
      </c>
      <c r="B337" s="3">
        <v>25</v>
      </c>
      <c r="C337" s="3">
        <f t="shared" si="15"/>
        <v>25</v>
      </c>
      <c r="D337" s="3">
        <f t="shared" si="17"/>
        <v>625</v>
      </c>
      <c r="E337" s="3">
        <f t="shared" si="16"/>
        <v>625</v>
      </c>
    </row>
    <row r="338" spans="1:5">
      <c r="A338" s="3">
        <v>33.6</v>
      </c>
      <c r="B338" s="3">
        <v>25</v>
      </c>
      <c r="C338" s="3">
        <f t="shared" si="15"/>
        <v>25</v>
      </c>
      <c r="D338" s="3">
        <f t="shared" si="17"/>
        <v>625</v>
      </c>
      <c r="E338" s="3">
        <f t="shared" si="16"/>
        <v>625</v>
      </c>
    </row>
    <row r="339" spans="1:5">
      <c r="A339" s="3">
        <v>33.700000000000003</v>
      </c>
      <c r="B339" s="3">
        <v>25</v>
      </c>
      <c r="C339" s="3">
        <f t="shared" si="15"/>
        <v>25</v>
      </c>
      <c r="D339" s="3">
        <f t="shared" si="17"/>
        <v>625</v>
      </c>
      <c r="E339" s="3">
        <f t="shared" si="16"/>
        <v>625</v>
      </c>
    </row>
    <row r="340" spans="1:5">
      <c r="A340" s="3">
        <v>33.799999999999997</v>
      </c>
      <c r="B340" s="3">
        <v>25</v>
      </c>
      <c r="C340" s="3">
        <f t="shared" si="15"/>
        <v>25</v>
      </c>
      <c r="D340" s="3">
        <f t="shared" si="17"/>
        <v>625</v>
      </c>
      <c r="E340" s="3">
        <f t="shared" si="16"/>
        <v>625</v>
      </c>
    </row>
    <row r="341" spans="1:5">
      <c r="A341" s="3">
        <v>33.9</v>
      </c>
      <c r="B341" s="3">
        <v>25</v>
      </c>
      <c r="C341" s="3">
        <f t="shared" si="15"/>
        <v>25</v>
      </c>
      <c r="D341" s="3">
        <f t="shared" si="17"/>
        <v>625</v>
      </c>
      <c r="E341" s="3">
        <f t="shared" si="16"/>
        <v>625</v>
      </c>
    </row>
    <row r="342" spans="1:5">
      <c r="A342" s="3">
        <v>34</v>
      </c>
      <c r="B342" s="3">
        <v>25</v>
      </c>
      <c r="C342" s="3">
        <f t="shared" si="15"/>
        <v>25</v>
      </c>
      <c r="D342" s="3">
        <f t="shared" si="17"/>
        <v>625</v>
      </c>
      <c r="E342" s="3">
        <f t="shared" si="16"/>
        <v>625</v>
      </c>
    </row>
    <row r="343" spans="1:5">
      <c r="A343" s="3">
        <v>34.1</v>
      </c>
      <c r="B343" s="3">
        <v>25</v>
      </c>
      <c r="C343" s="3">
        <f t="shared" si="15"/>
        <v>25</v>
      </c>
      <c r="D343" s="3">
        <f t="shared" si="17"/>
        <v>625</v>
      </c>
      <c r="E343" s="3">
        <f t="shared" si="16"/>
        <v>625</v>
      </c>
    </row>
    <row r="344" spans="1:5">
      <c r="A344" s="3">
        <v>34.200000000000003</v>
      </c>
      <c r="B344" s="3">
        <v>25</v>
      </c>
      <c r="C344" s="3">
        <f t="shared" si="15"/>
        <v>25</v>
      </c>
      <c r="D344" s="3">
        <f t="shared" si="17"/>
        <v>625</v>
      </c>
      <c r="E344" s="3">
        <f t="shared" si="16"/>
        <v>625</v>
      </c>
    </row>
    <row r="345" spans="1:5">
      <c r="A345" s="3">
        <v>34.299999999999997</v>
      </c>
      <c r="B345" s="3">
        <v>25</v>
      </c>
      <c r="C345" s="3">
        <f t="shared" si="15"/>
        <v>25</v>
      </c>
      <c r="D345" s="3">
        <f t="shared" si="17"/>
        <v>625</v>
      </c>
      <c r="E345" s="3">
        <f t="shared" si="16"/>
        <v>625</v>
      </c>
    </row>
    <row r="346" spans="1:5">
      <c r="A346" s="3">
        <v>34.4</v>
      </c>
      <c r="B346" s="3">
        <v>25</v>
      </c>
      <c r="C346" s="3">
        <f t="shared" si="15"/>
        <v>25</v>
      </c>
      <c r="D346" s="3">
        <f t="shared" si="17"/>
        <v>625</v>
      </c>
      <c r="E346" s="3">
        <f t="shared" si="16"/>
        <v>625</v>
      </c>
    </row>
    <row r="347" spans="1:5">
      <c r="A347" s="3">
        <v>34.5</v>
      </c>
      <c r="B347" s="3">
        <v>25</v>
      </c>
      <c r="C347" s="3">
        <f t="shared" si="15"/>
        <v>25</v>
      </c>
      <c r="D347" s="3">
        <f t="shared" si="17"/>
        <v>625</v>
      </c>
      <c r="E347" s="3">
        <f t="shared" si="16"/>
        <v>625</v>
      </c>
    </row>
    <row r="348" spans="1:5">
      <c r="A348" s="3">
        <v>34.6</v>
      </c>
      <c r="B348" s="3">
        <v>25</v>
      </c>
      <c r="C348" s="3">
        <f t="shared" si="15"/>
        <v>25</v>
      </c>
      <c r="D348" s="3">
        <f t="shared" si="17"/>
        <v>625</v>
      </c>
      <c r="E348" s="3">
        <f t="shared" si="16"/>
        <v>625</v>
      </c>
    </row>
    <row r="349" spans="1:5">
      <c r="A349" s="3">
        <v>34.700000000000003</v>
      </c>
      <c r="B349" s="3">
        <v>25</v>
      </c>
      <c r="C349" s="3">
        <f t="shared" si="15"/>
        <v>25</v>
      </c>
      <c r="D349" s="3">
        <f t="shared" si="17"/>
        <v>625</v>
      </c>
      <c r="E349" s="3">
        <f t="shared" si="16"/>
        <v>625</v>
      </c>
    </row>
    <row r="350" spans="1:5">
      <c r="A350" s="3">
        <v>34.799999999999997</v>
      </c>
      <c r="B350" s="3">
        <v>25</v>
      </c>
      <c r="C350" s="3">
        <f t="shared" si="15"/>
        <v>25</v>
      </c>
      <c r="D350" s="3">
        <f t="shared" si="17"/>
        <v>625</v>
      </c>
      <c r="E350" s="3">
        <f t="shared" si="16"/>
        <v>625</v>
      </c>
    </row>
    <row r="351" spans="1:5">
      <c r="A351" s="3">
        <v>34.9</v>
      </c>
      <c r="B351" s="3">
        <v>25</v>
      </c>
      <c r="C351" s="3">
        <f t="shared" si="15"/>
        <v>25</v>
      </c>
      <c r="D351" s="3">
        <f t="shared" si="17"/>
        <v>625</v>
      </c>
      <c r="E351" s="3">
        <f t="shared" si="16"/>
        <v>625</v>
      </c>
    </row>
    <row r="352" spans="1:5">
      <c r="A352" s="3">
        <v>35</v>
      </c>
      <c r="B352" s="3">
        <v>25</v>
      </c>
      <c r="C352" s="3">
        <f t="shared" si="15"/>
        <v>25</v>
      </c>
      <c r="D352" s="3">
        <f t="shared" si="17"/>
        <v>625</v>
      </c>
      <c r="E352" s="3">
        <f t="shared" si="16"/>
        <v>625</v>
      </c>
    </row>
    <row r="353" spans="1:5">
      <c r="A353" s="3">
        <v>35.1</v>
      </c>
      <c r="B353" s="3">
        <v>25</v>
      </c>
      <c r="C353" s="3">
        <f t="shared" si="15"/>
        <v>25</v>
      </c>
      <c r="D353" s="3">
        <f t="shared" si="17"/>
        <v>625</v>
      </c>
      <c r="E353" s="3">
        <f t="shared" si="16"/>
        <v>625</v>
      </c>
    </row>
    <row r="354" spans="1:5">
      <c r="A354" s="3">
        <v>35.200000000000003</v>
      </c>
      <c r="B354" s="3">
        <v>25</v>
      </c>
      <c r="C354" s="3">
        <f t="shared" si="15"/>
        <v>25</v>
      </c>
      <c r="D354" s="3">
        <f t="shared" si="17"/>
        <v>625</v>
      </c>
      <c r="E354" s="3">
        <f t="shared" si="16"/>
        <v>625</v>
      </c>
    </row>
    <row r="355" spans="1:5">
      <c r="A355" s="3">
        <v>35.299999999999997</v>
      </c>
      <c r="B355" s="3">
        <v>25</v>
      </c>
      <c r="C355" s="3">
        <f t="shared" si="15"/>
        <v>25</v>
      </c>
      <c r="D355" s="3">
        <f t="shared" si="17"/>
        <v>625</v>
      </c>
      <c r="E355" s="3">
        <f t="shared" si="16"/>
        <v>625</v>
      </c>
    </row>
    <row r="356" spans="1:5">
      <c r="A356" s="3">
        <v>35.4</v>
      </c>
      <c r="B356" s="3">
        <v>25</v>
      </c>
      <c r="C356" s="3">
        <f t="shared" si="15"/>
        <v>25</v>
      </c>
      <c r="D356" s="3">
        <f t="shared" si="17"/>
        <v>625</v>
      </c>
      <c r="E356" s="3">
        <f t="shared" si="16"/>
        <v>625</v>
      </c>
    </row>
    <row r="357" spans="1:5">
      <c r="A357" s="3">
        <v>35.5</v>
      </c>
      <c r="B357" s="3">
        <v>25</v>
      </c>
      <c r="C357" s="3">
        <f t="shared" si="15"/>
        <v>25</v>
      </c>
      <c r="D357" s="3">
        <f t="shared" si="17"/>
        <v>625</v>
      </c>
      <c r="E357" s="3">
        <f t="shared" si="16"/>
        <v>625</v>
      </c>
    </row>
    <row r="358" spans="1:5">
      <c r="A358" s="3">
        <v>35.6</v>
      </c>
      <c r="B358" s="3">
        <v>25</v>
      </c>
      <c r="C358" s="3">
        <f t="shared" si="15"/>
        <v>25</v>
      </c>
      <c r="D358" s="3">
        <f t="shared" si="17"/>
        <v>625</v>
      </c>
      <c r="E358" s="3">
        <f t="shared" si="16"/>
        <v>625</v>
      </c>
    </row>
    <row r="359" spans="1:5">
      <c r="A359" s="3">
        <v>35.700000000000003</v>
      </c>
      <c r="B359" s="3">
        <v>25</v>
      </c>
      <c r="C359" s="3">
        <f t="shared" si="15"/>
        <v>25</v>
      </c>
      <c r="D359" s="3">
        <f t="shared" si="17"/>
        <v>625</v>
      </c>
      <c r="E359" s="3">
        <f t="shared" si="16"/>
        <v>625</v>
      </c>
    </row>
    <row r="360" spans="1:5">
      <c r="A360" s="3">
        <v>35.799999999999997</v>
      </c>
      <c r="B360" s="3">
        <v>25</v>
      </c>
      <c r="C360" s="3">
        <f t="shared" si="15"/>
        <v>25</v>
      </c>
      <c r="D360" s="3">
        <f t="shared" si="17"/>
        <v>625</v>
      </c>
      <c r="E360" s="3">
        <f t="shared" si="16"/>
        <v>625</v>
      </c>
    </row>
    <row r="361" spans="1:5">
      <c r="A361" s="3">
        <v>35.9</v>
      </c>
      <c r="B361" s="3">
        <v>25</v>
      </c>
      <c r="C361" s="3">
        <f t="shared" si="15"/>
        <v>25</v>
      </c>
      <c r="D361" s="3">
        <f t="shared" si="17"/>
        <v>625</v>
      </c>
      <c r="E361" s="3">
        <f t="shared" si="16"/>
        <v>625</v>
      </c>
    </row>
    <row r="362" spans="1:5">
      <c r="A362" s="3">
        <v>36</v>
      </c>
      <c r="B362" s="3">
        <v>25</v>
      </c>
      <c r="C362" s="3">
        <f t="shared" si="15"/>
        <v>25</v>
      </c>
      <c r="D362" s="3">
        <f t="shared" si="17"/>
        <v>625</v>
      </c>
      <c r="E362" s="3">
        <f t="shared" si="16"/>
        <v>625</v>
      </c>
    </row>
    <row r="363" spans="1:5">
      <c r="A363" s="3">
        <v>36.1</v>
      </c>
      <c r="B363" s="3">
        <v>25</v>
      </c>
      <c r="C363" s="3">
        <f t="shared" si="15"/>
        <v>25</v>
      </c>
      <c r="D363" s="3">
        <f t="shared" si="17"/>
        <v>625</v>
      </c>
      <c r="E363" s="3">
        <f t="shared" si="16"/>
        <v>625</v>
      </c>
    </row>
    <row r="364" spans="1:5">
      <c r="A364" s="3">
        <v>36.200000000000003</v>
      </c>
      <c r="B364" s="3">
        <v>25</v>
      </c>
      <c r="C364" s="3">
        <f t="shared" si="15"/>
        <v>25</v>
      </c>
      <c r="D364" s="3">
        <f t="shared" si="17"/>
        <v>625</v>
      </c>
      <c r="E364" s="3">
        <f t="shared" si="16"/>
        <v>625</v>
      </c>
    </row>
    <row r="365" spans="1:5">
      <c r="A365" s="3">
        <v>36.299999999999997</v>
      </c>
      <c r="B365" s="3">
        <v>25</v>
      </c>
      <c r="C365" s="3">
        <f t="shared" si="15"/>
        <v>25</v>
      </c>
      <c r="D365" s="3">
        <f t="shared" si="17"/>
        <v>625</v>
      </c>
      <c r="E365" s="3">
        <f t="shared" si="16"/>
        <v>625</v>
      </c>
    </row>
    <row r="366" spans="1:5">
      <c r="A366" s="3">
        <v>36.4</v>
      </c>
      <c r="B366" s="3">
        <v>25</v>
      </c>
      <c r="C366" s="3">
        <f t="shared" si="15"/>
        <v>25</v>
      </c>
      <c r="D366" s="3">
        <f t="shared" si="17"/>
        <v>625</v>
      </c>
      <c r="E366" s="3">
        <f t="shared" si="16"/>
        <v>625</v>
      </c>
    </row>
    <row r="367" spans="1:5">
      <c r="A367" s="3">
        <v>36.5</v>
      </c>
      <c r="B367" s="3">
        <v>25</v>
      </c>
      <c r="C367" s="3">
        <f t="shared" si="15"/>
        <v>25</v>
      </c>
      <c r="D367" s="3">
        <f t="shared" si="17"/>
        <v>625</v>
      </c>
      <c r="E367" s="3">
        <f t="shared" si="16"/>
        <v>625</v>
      </c>
    </row>
    <row r="368" spans="1:5">
      <c r="A368" s="3">
        <v>36.6</v>
      </c>
      <c r="B368" s="3">
        <v>25</v>
      </c>
      <c r="C368" s="3">
        <f t="shared" si="15"/>
        <v>25</v>
      </c>
      <c r="D368" s="3">
        <f t="shared" si="17"/>
        <v>625</v>
      </c>
      <c r="E368" s="3">
        <f t="shared" si="16"/>
        <v>625</v>
      </c>
    </row>
    <row r="369" spans="1:5">
      <c r="A369" s="3">
        <v>36.700000000000003</v>
      </c>
      <c r="B369" s="3">
        <v>25</v>
      </c>
      <c r="C369" s="3">
        <f t="shared" si="15"/>
        <v>25</v>
      </c>
      <c r="D369" s="3">
        <f t="shared" si="17"/>
        <v>625</v>
      </c>
      <c r="E369" s="3">
        <f t="shared" si="16"/>
        <v>625</v>
      </c>
    </row>
    <row r="370" spans="1:5">
      <c r="A370" s="3">
        <v>36.799999999999997</v>
      </c>
      <c r="B370" s="3">
        <v>25</v>
      </c>
      <c r="C370" s="3">
        <f t="shared" si="15"/>
        <v>25</v>
      </c>
      <c r="D370" s="3">
        <f t="shared" si="17"/>
        <v>625</v>
      </c>
      <c r="E370" s="3">
        <f t="shared" si="16"/>
        <v>625</v>
      </c>
    </row>
    <row r="371" spans="1:5">
      <c r="A371" s="3">
        <v>36.9</v>
      </c>
      <c r="B371" s="3">
        <v>25</v>
      </c>
      <c r="C371" s="3">
        <f t="shared" si="15"/>
        <v>25</v>
      </c>
      <c r="D371" s="3">
        <f t="shared" si="17"/>
        <v>625</v>
      </c>
      <c r="E371" s="3">
        <f t="shared" si="16"/>
        <v>625</v>
      </c>
    </row>
    <row r="372" spans="1:5">
      <c r="A372" s="3">
        <v>37</v>
      </c>
      <c r="B372" s="3">
        <v>25</v>
      </c>
      <c r="C372" s="3">
        <f t="shared" si="15"/>
        <v>25</v>
      </c>
      <c r="D372" s="3">
        <f t="shared" si="17"/>
        <v>625</v>
      </c>
      <c r="E372" s="3">
        <f t="shared" si="16"/>
        <v>625</v>
      </c>
    </row>
    <row r="373" spans="1:5">
      <c r="A373" s="3">
        <v>37.1</v>
      </c>
      <c r="B373" s="3">
        <v>25</v>
      </c>
      <c r="C373" s="3">
        <f t="shared" si="15"/>
        <v>25</v>
      </c>
      <c r="D373" s="3">
        <f t="shared" si="17"/>
        <v>625</v>
      </c>
      <c r="E373" s="3">
        <f t="shared" si="16"/>
        <v>625</v>
      </c>
    </row>
    <row r="374" spans="1:5">
      <c r="A374" s="3">
        <v>37.200000000000003</v>
      </c>
      <c r="B374" s="3">
        <v>25</v>
      </c>
      <c r="C374" s="3">
        <f t="shared" si="15"/>
        <v>25</v>
      </c>
      <c r="D374" s="3">
        <f t="shared" si="17"/>
        <v>625</v>
      </c>
      <c r="E374" s="3">
        <f t="shared" si="16"/>
        <v>625</v>
      </c>
    </row>
    <row r="375" spans="1:5">
      <c r="A375" s="3">
        <v>37.299999999999997</v>
      </c>
      <c r="B375" s="3">
        <v>25</v>
      </c>
      <c r="C375" s="3">
        <f t="shared" si="15"/>
        <v>25</v>
      </c>
      <c r="D375" s="3">
        <f t="shared" si="17"/>
        <v>625</v>
      </c>
      <c r="E375" s="3">
        <f t="shared" si="16"/>
        <v>625</v>
      </c>
    </row>
    <row r="376" spans="1:5">
      <c r="A376" s="3">
        <v>37.4</v>
      </c>
      <c r="B376" s="3">
        <v>25</v>
      </c>
      <c r="C376" s="3">
        <f t="shared" si="15"/>
        <v>25</v>
      </c>
      <c r="D376" s="3">
        <f t="shared" si="17"/>
        <v>625</v>
      </c>
      <c r="E376" s="3">
        <f t="shared" si="16"/>
        <v>625</v>
      </c>
    </row>
    <row r="377" spans="1:5">
      <c r="A377" s="3">
        <v>37.5</v>
      </c>
      <c r="B377" s="3">
        <v>25</v>
      </c>
      <c r="C377" s="3">
        <f t="shared" si="15"/>
        <v>25</v>
      </c>
      <c r="D377" s="3">
        <f t="shared" si="17"/>
        <v>625</v>
      </c>
      <c r="E377" s="3">
        <f t="shared" si="16"/>
        <v>625</v>
      </c>
    </row>
    <row r="378" spans="1:5">
      <c r="A378" s="3">
        <v>37.6</v>
      </c>
      <c r="B378" s="3">
        <v>25</v>
      </c>
      <c r="C378" s="3">
        <f t="shared" si="15"/>
        <v>25</v>
      </c>
      <c r="D378" s="3">
        <f t="shared" si="17"/>
        <v>625</v>
      </c>
      <c r="E378" s="3">
        <f t="shared" si="16"/>
        <v>625</v>
      </c>
    </row>
    <row r="379" spans="1:5">
      <c r="A379" s="3">
        <v>37.700000000000003</v>
      </c>
      <c r="B379" s="3">
        <v>25</v>
      </c>
      <c r="C379" s="3">
        <f t="shared" si="15"/>
        <v>25</v>
      </c>
      <c r="D379" s="3">
        <f t="shared" si="17"/>
        <v>625</v>
      </c>
      <c r="E379" s="3">
        <f t="shared" si="16"/>
        <v>625</v>
      </c>
    </row>
    <row r="380" spans="1:5">
      <c r="A380" s="3">
        <v>37.799999999999997</v>
      </c>
      <c r="B380" s="3">
        <v>25</v>
      </c>
      <c r="C380" s="3">
        <f t="shared" si="15"/>
        <v>25</v>
      </c>
      <c r="D380" s="3">
        <f t="shared" si="17"/>
        <v>625</v>
      </c>
      <c r="E380" s="3">
        <f t="shared" si="16"/>
        <v>625</v>
      </c>
    </row>
    <row r="381" spans="1:5">
      <c r="A381" s="3">
        <v>37.9</v>
      </c>
      <c r="B381" s="3">
        <v>25</v>
      </c>
      <c r="C381" s="3">
        <f t="shared" si="15"/>
        <v>25</v>
      </c>
      <c r="D381" s="3">
        <f t="shared" si="17"/>
        <v>625</v>
      </c>
      <c r="E381" s="3">
        <f t="shared" si="16"/>
        <v>625</v>
      </c>
    </row>
    <row r="382" spans="1:5">
      <c r="A382" s="3">
        <v>38</v>
      </c>
      <c r="B382" s="3">
        <v>25</v>
      </c>
      <c r="C382" s="3">
        <f t="shared" si="15"/>
        <v>25</v>
      </c>
      <c r="D382" s="3">
        <f t="shared" si="17"/>
        <v>625</v>
      </c>
      <c r="E382" s="3">
        <f t="shared" si="16"/>
        <v>625</v>
      </c>
    </row>
    <row r="383" spans="1:5">
      <c r="A383" s="3">
        <v>38.1</v>
      </c>
      <c r="B383" s="3">
        <v>25</v>
      </c>
      <c r="C383" s="3">
        <f t="shared" si="15"/>
        <v>25</v>
      </c>
      <c r="D383" s="3">
        <f t="shared" si="17"/>
        <v>625</v>
      </c>
      <c r="E383" s="3">
        <f t="shared" si="16"/>
        <v>625</v>
      </c>
    </row>
    <row r="384" spans="1:5">
      <c r="A384" s="3">
        <v>38.200000000000003</v>
      </c>
      <c r="B384" s="3">
        <v>25</v>
      </c>
      <c r="C384" s="3">
        <f t="shared" si="15"/>
        <v>25</v>
      </c>
      <c r="D384" s="3">
        <f t="shared" si="17"/>
        <v>625</v>
      </c>
      <c r="E384" s="3">
        <f t="shared" si="16"/>
        <v>625</v>
      </c>
    </row>
    <row r="385" spans="1:5">
      <c r="A385" s="3">
        <v>38.299999999999997</v>
      </c>
      <c r="B385" s="3">
        <v>25</v>
      </c>
      <c r="C385" s="3">
        <f t="shared" si="15"/>
        <v>25</v>
      </c>
      <c r="D385" s="3">
        <f t="shared" si="17"/>
        <v>625</v>
      </c>
      <c r="E385" s="3">
        <f t="shared" si="16"/>
        <v>625</v>
      </c>
    </row>
    <row r="386" spans="1:5">
      <c r="A386" s="3">
        <v>38.4</v>
      </c>
      <c r="B386" s="3">
        <v>25</v>
      </c>
      <c r="C386" s="3">
        <f t="shared" ref="C386:C449" si="18">ROUND(SQRT(E386),2)</f>
        <v>25</v>
      </c>
      <c r="D386" s="3">
        <f t="shared" si="17"/>
        <v>625</v>
      </c>
      <c r="E386" s="3">
        <f t="shared" ref="E386:E449" si="19">MIN(D386, E387+$H$4)</f>
        <v>625</v>
      </c>
    </row>
    <row r="387" spans="1:5">
      <c r="A387" s="3">
        <v>38.5</v>
      </c>
      <c r="B387" s="3">
        <v>25</v>
      </c>
      <c r="C387" s="3">
        <f t="shared" si="18"/>
        <v>25</v>
      </c>
      <c r="D387" s="3">
        <f t="shared" ref="D387:D450" si="20">MIN(B387^2, D386+$H$4)</f>
        <v>625</v>
      </c>
      <c r="E387" s="3">
        <f t="shared" si="19"/>
        <v>625</v>
      </c>
    </row>
    <row r="388" spans="1:5">
      <c r="A388" s="3">
        <v>38.6</v>
      </c>
      <c r="B388" s="3">
        <v>25</v>
      </c>
      <c r="C388" s="3">
        <f t="shared" si="18"/>
        <v>25</v>
      </c>
      <c r="D388" s="3">
        <f t="shared" si="20"/>
        <v>625</v>
      </c>
      <c r="E388" s="3">
        <f t="shared" si="19"/>
        <v>625</v>
      </c>
    </row>
    <row r="389" spans="1:5">
      <c r="A389" s="3">
        <v>38.700000000000003</v>
      </c>
      <c r="B389" s="3">
        <v>25</v>
      </c>
      <c r="C389" s="3">
        <f t="shared" si="18"/>
        <v>25</v>
      </c>
      <c r="D389" s="3">
        <f t="shared" si="20"/>
        <v>625</v>
      </c>
      <c r="E389" s="3">
        <f t="shared" si="19"/>
        <v>625</v>
      </c>
    </row>
    <row r="390" spans="1:5">
      <c r="A390" s="3">
        <v>38.799999999999997</v>
      </c>
      <c r="B390" s="3">
        <v>25</v>
      </c>
      <c r="C390" s="3">
        <f t="shared" si="18"/>
        <v>25</v>
      </c>
      <c r="D390" s="3">
        <f t="shared" si="20"/>
        <v>625</v>
      </c>
      <c r="E390" s="3">
        <f t="shared" si="19"/>
        <v>625</v>
      </c>
    </row>
    <row r="391" spans="1:5">
      <c r="A391" s="3">
        <v>38.9</v>
      </c>
      <c r="B391" s="3">
        <v>25</v>
      </c>
      <c r="C391" s="3">
        <f t="shared" si="18"/>
        <v>25</v>
      </c>
      <c r="D391" s="3">
        <f t="shared" si="20"/>
        <v>625</v>
      </c>
      <c r="E391" s="3">
        <f t="shared" si="19"/>
        <v>625</v>
      </c>
    </row>
    <row r="392" spans="1:5">
      <c r="A392" s="3">
        <v>39</v>
      </c>
      <c r="B392" s="3">
        <v>25</v>
      </c>
      <c r="C392" s="3">
        <f t="shared" si="18"/>
        <v>25</v>
      </c>
      <c r="D392" s="3">
        <f t="shared" si="20"/>
        <v>625</v>
      </c>
      <c r="E392" s="3">
        <f t="shared" si="19"/>
        <v>625</v>
      </c>
    </row>
    <row r="393" spans="1:5">
      <c r="A393" s="3">
        <v>39.1</v>
      </c>
      <c r="B393" s="3">
        <v>25</v>
      </c>
      <c r="C393" s="3">
        <f t="shared" si="18"/>
        <v>25</v>
      </c>
      <c r="D393" s="3">
        <f t="shared" si="20"/>
        <v>625</v>
      </c>
      <c r="E393" s="3">
        <f t="shared" si="19"/>
        <v>625</v>
      </c>
    </row>
    <row r="394" spans="1:5">
      <c r="A394" s="3">
        <v>39.200000000000003</v>
      </c>
      <c r="B394" s="3">
        <v>25</v>
      </c>
      <c r="C394" s="3">
        <f t="shared" si="18"/>
        <v>25</v>
      </c>
      <c r="D394" s="3">
        <f t="shared" si="20"/>
        <v>625</v>
      </c>
      <c r="E394" s="3">
        <f t="shared" si="19"/>
        <v>625</v>
      </c>
    </row>
    <row r="395" spans="1:5">
      <c r="A395" s="3">
        <v>39.299999999999997</v>
      </c>
      <c r="B395" s="3">
        <v>25</v>
      </c>
      <c r="C395" s="3">
        <f t="shared" si="18"/>
        <v>25</v>
      </c>
      <c r="D395" s="3">
        <f t="shared" si="20"/>
        <v>625</v>
      </c>
      <c r="E395" s="3">
        <f t="shared" si="19"/>
        <v>625</v>
      </c>
    </row>
    <row r="396" spans="1:5">
      <c r="A396" s="3">
        <v>39.4</v>
      </c>
      <c r="B396" s="3">
        <v>25</v>
      </c>
      <c r="C396" s="3">
        <f t="shared" si="18"/>
        <v>25</v>
      </c>
      <c r="D396" s="3">
        <f t="shared" si="20"/>
        <v>625</v>
      </c>
      <c r="E396" s="3">
        <f t="shared" si="19"/>
        <v>625</v>
      </c>
    </row>
    <row r="397" spans="1:5">
      <c r="A397" s="3">
        <v>39.5</v>
      </c>
      <c r="B397" s="3">
        <v>25</v>
      </c>
      <c r="C397" s="3">
        <f t="shared" si="18"/>
        <v>25</v>
      </c>
      <c r="D397" s="3">
        <f t="shared" si="20"/>
        <v>625</v>
      </c>
      <c r="E397" s="3">
        <f t="shared" si="19"/>
        <v>625</v>
      </c>
    </row>
    <row r="398" spans="1:5">
      <c r="A398" s="3">
        <v>39.6</v>
      </c>
      <c r="B398" s="3">
        <v>25</v>
      </c>
      <c r="C398" s="3">
        <f t="shared" si="18"/>
        <v>25</v>
      </c>
      <c r="D398" s="3">
        <f t="shared" si="20"/>
        <v>625</v>
      </c>
      <c r="E398" s="3">
        <f t="shared" si="19"/>
        <v>625</v>
      </c>
    </row>
    <row r="399" spans="1:5">
      <c r="A399" s="3">
        <v>39.700000000000003</v>
      </c>
      <c r="B399" s="3">
        <v>25</v>
      </c>
      <c r="C399" s="3">
        <f t="shared" si="18"/>
        <v>25</v>
      </c>
      <c r="D399" s="3">
        <f t="shared" si="20"/>
        <v>625</v>
      </c>
      <c r="E399" s="3">
        <f t="shared" si="19"/>
        <v>625</v>
      </c>
    </row>
    <row r="400" spans="1:5">
      <c r="A400" s="3">
        <v>39.799999999999997</v>
      </c>
      <c r="B400" s="3">
        <v>25</v>
      </c>
      <c r="C400" s="3">
        <f t="shared" si="18"/>
        <v>25</v>
      </c>
      <c r="D400" s="3">
        <f t="shared" si="20"/>
        <v>625</v>
      </c>
      <c r="E400" s="3">
        <f t="shared" si="19"/>
        <v>625</v>
      </c>
    </row>
    <row r="401" spans="1:5">
      <c r="A401" s="3">
        <v>39.9</v>
      </c>
      <c r="B401" s="3">
        <v>25</v>
      </c>
      <c r="C401" s="3">
        <f t="shared" si="18"/>
        <v>25</v>
      </c>
      <c r="D401" s="3">
        <f t="shared" si="20"/>
        <v>625</v>
      </c>
      <c r="E401" s="3">
        <f t="shared" si="19"/>
        <v>625</v>
      </c>
    </row>
    <row r="402" spans="1:5">
      <c r="A402" s="3">
        <v>40</v>
      </c>
      <c r="B402" s="3">
        <v>25</v>
      </c>
      <c r="C402" s="3">
        <f t="shared" si="18"/>
        <v>25</v>
      </c>
      <c r="D402" s="3">
        <f t="shared" si="20"/>
        <v>625</v>
      </c>
      <c r="E402" s="3">
        <f t="shared" si="19"/>
        <v>625</v>
      </c>
    </row>
    <row r="403" spans="1:5">
      <c r="A403" s="3">
        <v>40.1</v>
      </c>
      <c r="B403" s="3">
        <v>25</v>
      </c>
      <c r="C403" s="3">
        <f t="shared" si="18"/>
        <v>25</v>
      </c>
      <c r="D403" s="3">
        <f t="shared" si="20"/>
        <v>625</v>
      </c>
      <c r="E403" s="3">
        <f t="shared" si="19"/>
        <v>625</v>
      </c>
    </row>
    <row r="404" spans="1:5">
      <c r="A404" s="3">
        <v>40.200000000000003</v>
      </c>
      <c r="B404" s="3">
        <v>25</v>
      </c>
      <c r="C404" s="3">
        <f t="shared" si="18"/>
        <v>25</v>
      </c>
      <c r="D404" s="3">
        <f t="shared" si="20"/>
        <v>625</v>
      </c>
      <c r="E404" s="3">
        <f t="shared" si="19"/>
        <v>625</v>
      </c>
    </row>
    <row r="405" spans="1:5">
      <c r="A405" s="3">
        <v>40.299999999999997</v>
      </c>
      <c r="B405" s="3">
        <v>25</v>
      </c>
      <c r="C405" s="3">
        <f t="shared" si="18"/>
        <v>25</v>
      </c>
      <c r="D405" s="3">
        <f t="shared" si="20"/>
        <v>625</v>
      </c>
      <c r="E405" s="3">
        <f t="shared" si="19"/>
        <v>625</v>
      </c>
    </row>
    <row r="406" spans="1:5">
      <c r="A406" s="3">
        <v>40.4</v>
      </c>
      <c r="B406" s="3">
        <v>25</v>
      </c>
      <c r="C406" s="3">
        <f t="shared" si="18"/>
        <v>25</v>
      </c>
      <c r="D406" s="3">
        <f t="shared" si="20"/>
        <v>625</v>
      </c>
      <c r="E406" s="3">
        <f t="shared" si="19"/>
        <v>625</v>
      </c>
    </row>
    <row r="407" spans="1:5">
      <c r="A407" s="3">
        <v>40.5</v>
      </c>
      <c r="B407" s="3">
        <v>25</v>
      </c>
      <c r="C407" s="3">
        <f t="shared" si="18"/>
        <v>25</v>
      </c>
      <c r="D407" s="3">
        <f t="shared" si="20"/>
        <v>625</v>
      </c>
      <c r="E407" s="3">
        <f t="shared" si="19"/>
        <v>625</v>
      </c>
    </row>
    <row r="408" spans="1:5">
      <c r="A408" s="3">
        <v>40.6</v>
      </c>
      <c r="B408" s="3">
        <v>25</v>
      </c>
      <c r="C408" s="3">
        <f t="shared" si="18"/>
        <v>25</v>
      </c>
      <c r="D408" s="3">
        <f t="shared" si="20"/>
        <v>625</v>
      </c>
      <c r="E408" s="3">
        <f t="shared" si="19"/>
        <v>625</v>
      </c>
    </row>
    <row r="409" spans="1:5">
      <c r="A409" s="3">
        <v>40.700000000000003</v>
      </c>
      <c r="B409" s="3">
        <v>25</v>
      </c>
      <c r="C409" s="3">
        <f t="shared" si="18"/>
        <v>25</v>
      </c>
      <c r="D409" s="3">
        <f t="shared" si="20"/>
        <v>625</v>
      </c>
      <c r="E409" s="3">
        <f t="shared" si="19"/>
        <v>625</v>
      </c>
    </row>
    <row r="410" spans="1:5">
      <c r="A410" s="3">
        <v>40.799999999999997</v>
      </c>
      <c r="B410" s="3">
        <v>25</v>
      </c>
      <c r="C410" s="3">
        <f t="shared" si="18"/>
        <v>25</v>
      </c>
      <c r="D410" s="3">
        <f t="shared" si="20"/>
        <v>625</v>
      </c>
      <c r="E410" s="3">
        <f t="shared" si="19"/>
        <v>625</v>
      </c>
    </row>
    <row r="411" spans="1:5">
      <c r="A411" s="3">
        <v>40.9</v>
      </c>
      <c r="B411" s="3">
        <v>25</v>
      </c>
      <c r="C411" s="3">
        <f t="shared" si="18"/>
        <v>25</v>
      </c>
      <c r="D411" s="3">
        <f t="shared" si="20"/>
        <v>625</v>
      </c>
      <c r="E411" s="3">
        <f t="shared" si="19"/>
        <v>625</v>
      </c>
    </row>
    <row r="412" spans="1:5">
      <c r="A412" s="3">
        <v>41</v>
      </c>
      <c r="B412" s="3">
        <v>25</v>
      </c>
      <c r="C412" s="3">
        <f t="shared" si="18"/>
        <v>25</v>
      </c>
      <c r="D412" s="3">
        <f t="shared" si="20"/>
        <v>625</v>
      </c>
      <c r="E412" s="3">
        <f t="shared" si="19"/>
        <v>625</v>
      </c>
    </row>
    <row r="413" spans="1:5">
      <c r="A413" s="3">
        <v>41.1</v>
      </c>
      <c r="B413" s="3">
        <v>25</v>
      </c>
      <c r="C413" s="3">
        <f t="shared" si="18"/>
        <v>25</v>
      </c>
      <c r="D413" s="3">
        <f t="shared" si="20"/>
        <v>625</v>
      </c>
      <c r="E413" s="3">
        <f t="shared" si="19"/>
        <v>625</v>
      </c>
    </row>
    <row r="414" spans="1:5">
      <c r="A414" s="3">
        <v>41.2</v>
      </c>
      <c r="B414" s="3">
        <v>25</v>
      </c>
      <c r="C414" s="3">
        <f t="shared" si="18"/>
        <v>25</v>
      </c>
      <c r="D414" s="3">
        <f t="shared" si="20"/>
        <v>625</v>
      </c>
      <c r="E414" s="3">
        <f t="shared" si="19"/>
        <v>625</v>
      </c>
    </row>
    <row r="415" spans="1:5">
      <c r="A415" s="3">
        <v>41.3</v>
      </c>
      <c r="B415" s="3">
        <v>25</v>
      </c>
      <c r="C415" s="3">
        <f t="shared" si="18"/>
        <v>25</v>
      </c>
      <c r="D415" s="3">
        <f t="shared" si="20"/>
        <v>625</v>
      </c>
      <c r="E415" s="3">
        <f t="shared" si="19"/>
        <v>625</v>
      </c>
    </row>
    <row r="416" spans="1:5">
      <c r="A416" s="3">
        <v>41.4</v>
      </c>
      <c r="B416" s="3">
        <v>25</v>
      </c>
      <c r="C416" s="3">
        <f t="shared" si="18"/>
        <v>25</v>
      </c>
      <c r="D416" s="3">
        <f t="shared" si="20"/>
        <v>625</v>
      </c>
      <c r="E416" s="3">
        <f t="shared" si="19"/>
        <v>625</v>
      </c>
    </row>
    <row r="417" spans="1:5">
      <c r="A417" s="3">
        <v>41.5</v>
      </c>
      <c r="B417" s="3">
        <v>25</v>
      </c>
      <c r="C417" s="3">
        <f t="shared" si="18"/>
        <v>25</v>
      </c>
      <c r="D417" s="3">
        <f t="shared" si="20"/>
        <v>625</v>
      </c>
      <c r="E417" s="3">
        <f t="shared" si="19"/>
        <v>625</v>
      </c>
    </row>
    <row r="418" spans="1:5">
      <c r="A418" s="3">
        <v>41.6</v>
      </c>
      <c r="B418" s="3">
        <v>25</v>
      </c>
      <c r="C418" s="3">
        <f t="shared" si="18"/>
        <v>25</v>
      </c>
      <c r="D418" s="3">
        <f t="shared" si="20"/>
        <v>625</v>
      </c>
      <c r="E418" s="3">
        <f t="shared" si="19"/>
        <v>625</v>
      </c>
    </row>
    <row r="419" spans="1:5">
      <c r="A419" s="3">
        <v>41.7</v>
      </c>
      <c r="B419" s="3">
        <v>25</v>
      </c>
      <c r="C419" s="3">
        <f t="shared" si="18"/>
        <v>25</v>
      </c>
      <c r="D419" s="3">
        <f t="shared" si="20"/>
        <v>625</v>
      </c>
      <c r="E419" s="3">
        <f t="shared" si="19"/>
        <v>625</v>
      </c>
    </row>
    <row r="420" spans="1:5">
      <c r="A420" s="3">
        <v>41.8</v>
      </c>
      <c r="B420" s="3">
        <v>25</v>
      </c>
      <c r="C420" s="3">
        <f t="shared" si="18"/>
        <v>25</v>
      </c>
      <c r="D420" s="3">
        <f t="shared" si="20"/>
        <v>625</v>
      </c>
      <c r="E420" s="3">
        <f t="shared" si="19"/>
        <v>625</v>
      </c>
    </row>
    <row r="421" spans="1:5">
      <c r="A421" s="3">
        <v>41.9</v>
      </c>
      <c r="B421" s="3">
        <v>25</v>
      </c>
      <c r="C421" s="3">
        <f t="shared" si="18"/>
        <v>25</v>
      </c>
      <c r="D421" s="3">
        <f t="shared" si="20"/>
        <v>625</v>
      </c>
      <c r="E421" s="3">
        <f t="shared" si="19"/>
        <v>625</v>
      </c>
    </row>
    <row r="422" spans="1:5">
      <c r="A422" s="3">
        <v>42</v>
      </c>
      <c r="B422" s="3">
        <v>25</v>
      </c>
      <c r="C422" s="3">
        <f t="shared" si="18"/>
        <v>25</v>
      </c>
      <c r="D422" s="3">
        <f t="shared" si="20"/>
        <v>625</v>
      </c>
      <c r="E422" s="3">
        <f t="shared" si="19"/>
        <v>625</v>
      </c>
    </row>
    <row r="423" spans="1:5">
      <c r="A423" s="3">
        <v>42.1</v>
      </c>
      <c r="B423" s="3">
        <v>25</v>
      </c>
      <c r="C423" s="3">
        <f t="shared" si="18"/>
        <v>25</v>
      </c>
      <c r="D423" s="3">
        <f t="shared" si="20"/>
        <v>625</v>
      </c>
      <c r="E423" s="3">
        <f t="shared" si="19"/>
        <v>625</v>
      </c>
    </row>
    <row r="424" spans="1:5">
      <c r="A424" s="3">
        <v>42.2</v>
      </c>
      <c r="B424" s="3">
        <v>25</v>
      </c>
      <c r="C424" s="3">
        <f t="shared" si="18"/>
        <v>25</v>
      </c>
      <c r="D424" s="3">
        <f t="shared" si="20"/>
        <v>625</v>
      </c>
      <c r="E424" s="3">
        <f t="shared" si="19"/>
        <v>625</v>
      </c>
    </row>
    <row r="425" spans="1:5">
      <c r="A425" s="3">
        <v>42.3</v>
      </c>
      <c r="B425" s="3">
        <v>25</v>
      </c>
      <c r="C425" s="3">
        <f t="shared" si="18"/>
        <v>25</v>
      </c>
      <c r="D425" s="3">
        <f t="shared" si="20"/>
        <v>625</v>
      </c>
      <c r="E425" s="3">
        <f t="shared" si="19"/>
        <v>625</v>
      </c>
    </row>
    <row r="426" spans="1:5">
      <c r="A426" s="3">
        <v>42.4</v>
      </c>
      <c r="B426" s="3">
        <v>25</v>
      </c>
      <c r="C426" s="3">
        <f t="shared" si="18"/>
        <v>25</v>
      </c>
      <c r="D426" s="3">
        <f t="shared" si="20"/>
        <v>625</v>
      </c>
      <c r="E426" s="3">
        <f t="shared" si="19"/>
        <v>625</v>
      </c>
    </row>
    <row r="427" spans="1:5">
      <c r="A427" s="3">
        <v>42.5</v>
      </c>
      <c r="B427" s="3">
        <v>25</v>
      </c>
      <c r="C427" s="3">
        <f t="shared" si="18"/>
        <v>25</v>
      </c>
      <c r="D427" s="3">
        <f t="shared" si="20"/>
        <v>625</v>
      </c>
      <c r="E427" s="3">
        <f t="shared" si="19"/>
        <v>625</v>
      </c>
    </row>
    <row r="428" spans="1:5">
      <c r="A428" s="3">
        <v>42.6</v>
      </c>
      <c r="B428" s="3">
        <v>25</v>
      </c>
      <c r="C428" s="3">
        <f t="shared" si="18"/>
        <v>25</v>
      </c>
      <c r="D428" s="3">
        <f t="shared" si="20"/>
        <v>625</v>
      </c>
      <c r="E428" s="3">
        <f t="shared" si="19"/>
        <v>625</v>
      </c>
    </row>
    <row r="429" spans="1:5">
      <c r="A429" s="3">
        <v>42.7</v>
      </c>
      <c r="B429" s="3">
        <v>25</v>
      </c>
      <c r="C429" s="3">
        <f t="shared" si="18"/>
        <v>25</v>
      </c>
      <c r="D429" s="3">
        <f t="shared" si="20"/>
        <v>625</v>
      </c>
      <c r="E429" s="3">
        <f t="shared" si="19"/>
        <v>625</v>
      </c>
    </row>
    <row r="430" spans="1:5">
      <c r="A430" s="3">
        <v>42.8</v>
      </c>
      <c r="B430" s="3">
        <v>25</v>
      </c>
      <c r="C430" s="3">
        <f t="shared" si="18"/>
        <v>25</v>
      </c>
      <c r="D430" s="3">
        <f t="shared" si="20"/>
        <v>625</v>
      </c>
      <c r="E430" s="3">
        <f t="shared" si="19"/>
        <v>625</v>
      </c>
    </row>
    <row r="431" spans="1:5">
      <c r="A431" s="3">
        <v>42.9</v>
      </c>
      <c r="B431" s="3">
        <v>25</v>
      </c>
      <c r="C431" s="3">
        <f t="shared" si="18"/>
        <v>25</v>
      </c>
      <c r="D431" s="3">
        <f t="shared" si="20"/>
        <v>625</v>
      </c>
      <c r="E431" s="3">
        <f t="shared" si="19"/>
        <v>625</v>
      </c>
    </row>
    <row r="432" spans="1:5">
      <c r="A432" s="3">
        <v>43</v>
      </c>
      <c r="B432" s="3">
        <v>25</v>
      </c>
      <c r="C432" s="3">
        <f t="shared" si="18"/>
        <v>25</v>
      </c>
      <c r="D432" s="3">
        <f t="shared" si="20"/>
        <v>625</v>
      </c>
      <c r="E432" s="3">
        <f t="shared" si="19"/>
        <v>625</v>
      </c>
    </row>
    <row r="433" spans="1:5">
      <c r="A433" s="3">
        <v>43.1</v>
      </c>
      <c r="B433" s="3">
        <v>25</v>
      </c>
      <c r="C433" s="3">
        <f t="shared" si="18"/>
        <v>25</v>
      </c>
      <c r="D433" s="3">
        <f t="shared" si="20"/>
        <v>625</v>
      </c>
      <c r="E433" s="3">
        <f t="shared" si="19"/>
        <v>625</v>
      </c>
    </row>
    <row r="434" spans="1:5">
      <c r="A434" s="3">
        <v>43.2</v>
      </c>
      <c r="B434" s="3">
        <v>25</v>
      </c>
      <c r="C434" s="3">
        <f t="shared" si="18"/>
        <v>25</v>
      </c>
      <c r="D434" s="3">
        <f t="shared" si="20"/>
        <v>625</v>
      </c>
      <c r="E434" s="3">
        <f t="shared" si="19"/>
        <v>625</v>
      </c>
    </row>
    <row r="435" spans="1:5">
      <c r="A435" s="3">
        <v>43.3</v>
      </c>
      <c r="B435" s="3">
        <v>25</v>
      </c>
      <c r="C435" s="3">
        <f t="shared" si="18"/>
        <v>25</v>
      </c>
      <c r="D435" s="3">
        <f t="shared" si="20"/>
        <v>625</v>
      </c>
      <c r="E435" s="3">
        <f t="shared" si="19"/>
        <v>625</v>
      </c>
    </row>
    <row r="436" spans="1:5">
      <c r="A436" s="3">
        <v>43.4</v>
      </c>
      <c r="B436" s="3">
        <v>25</v>
      </c>
      <c r="C436" s="3">
        <f t="shared" si="18"/>
        <v>25</v>
      </c>
      <c r="D436" s="3">
        <f t="shared" si="20"/>
        <v>625</v>
      </c>
      <c r="E436" s="3">
        <f t="shared" si="19"/>
        <v>625</v>
      </c>
    </row>
    <row r="437" spans="1:5">
      <c r="A437" s="3">
        <v>43.5</v>
      </c>
      <c r="B437" s="3">
        <v>25</v>
      </c>
      <c r="C437" s="3">
        <f t="shared" si="18"/>
        <v>25</v>
      </c>
      <c r="D437" s="3">
        <f t="shared" si="20"/>
        <v>625</v>
      </c>
      <c r="E437" s="3">
        <f t="shared" si="19"/>
        <v>625</v>
      </c>
    </row>
    <row r="438" spans="1:5">
      <c r="A438" s="3">
        <v>43.6</v>
      </c>
      <c r="B438" s="3">
        <v>25</v>
      </c>
      <c r="C438" s="3">
        <f t="shared" si="18"/>
        <v>25</v>
      </c>
      <c r="D438" s="3">
        <f t="shared" si="20"/>
        <v>625</v>
      </c>
      <c r="E438" s="3">
        <f t="shared" si="19"/>
        <v>625</v>
      </c>
    </row>
    <row r="439" spans="1:5">
      <c r="A439" s="3">
        <v>43.7</v>
      </c>
      <c r="B439" s="3">
        <v>25</v>
      </c>
      <c r="C439" s="3">
        <f t="shared" si="18"/>
        <v>25</v>
      </c>
      <c r="D439" s="3">
        <f t="shared" si="20"/>
        <v>625</v>
      </c>
      <c r="E439" s="3">
        <f t="shared" si="19"/>
        <v>625</v>
      </c>
    </row>
    <row r="440" spans="1:5">
      <c r="A440" s="3">
        <v>43.8</v>
      </c>
      <c r="B440" s="3">
        <v>25</v>
      </c>
      <c r="C440" s="3">
        <f t="shared" si="18"/>
        <v>25</v>
      </c>
      <c r="D440" s="3">
        <f t="shared" si="20"/>
        <v>625</v>
      </c>
      <c r="E440" s="3">
        <f t="shared" si="19"/>
        <v>625</v>
      </c>
    </row>
    <row r="441" spans="1:5">
      <c r="A441" s="3">
        <v>43.9</v>
      </c>
      <c r="B441" s="3">
        <v>25</v>
      </c>
      <c r="C441" s="3">
        <f t="shared" si="18"/>
        <v>25</v>
      </c>
      <c r="D441" s="3">
        <f t="shared" si="20"/>
        <v>625</v>
      </c>
      <c r="E441" s="3">
        <f t="shared" si="19"/>
        <v>625</v>
      </c>
    </row>
    <row r="442" spans="1:5">
      <c r="A442" s="3">
        <v>44</v>
      </c>
      <c r="B442" s="3">
        <v>25</v>
      </c>
      <c r="C442" s="3">
        <f t="shared" si="18"/>
        <v>25</v>
      </c>
      <c r="D442" s="3">
        <f t="shared" si="20"/>
        <v>625</v>
      </c>
      <c r="E442" s="3">
        <f t="shared" si="19"/>
        <v>625</v>
      </c>
    </row>
    <row r="443" spans="1:5">
      <c r="A443" s="3">
        <v>44.1</v>
      </c>
      <c r="B443" s="3">
        <v>25</v>
      </c>
      <c r="C443" s="3">
        <f t="shared" si="18"/>
        <v>25</v>
      </c>
      <c r="D443" s="3">
        <f t="shared" si="20"/>
        <v>625</v>
      </c>
      <c r="E443" s="3">
        <f t="shared" si="19"/>
        <v>625</v>
      </c>
    </row>
    <row r="444" spans="1:5">
      <c r="A444" s="3">
        <v>44.2</v>
      </c>
      <c r="B444" s="3">
        <v>25</v>
      </c>
      <c r="C444" s="3">
        <f t="shared" si="18"/>
        <v>25</v>
      </c>
      <c r="D444" s="3">
        <f t="shared" si="20"/>
        <v>625</v>
      </c>
      <c r="E444" s="3">
        <f t="shared" si="19"/>
        <v>625</v>
      </c>
    </row>
    <row r="445" spans="1:5">
      <c r="A445" s="3">
        <v>44.3</v>
      </c>
      <c r="B445" s="3">
        <v>25</v>
      </c>
      <c r="C445" s="3">
        <f t="shared" si="18"/>
        <v>25</v>
      </c>
      <c r="D445" s="3">
        <f t="shared" si="20"/>
        <v>625</v>
      </c>
      <c r="E445" s="3">
        <f t="shared" si="19"/>
        <v>625</v>
      </c>
    </row>
    <row r="446" spans="1:5">
      <c r="A446" s="3">
        <v>44.4</v>
      </c>
      <c r="B446" s="3">
        <v>25</v>
      </c>
      <c r="C446" s="3">
        <f t="shared" si="18"/>
        <v>25</v>
      </c>
      <c r="D446" s="3">
        <f t="shared" si="20"/>
        <v>625</v>
      </c>
      <c r="E446" s="3">
        <f t="shared" si="19"/>
        <v>625</v>
      </c>
    </row>
    <row r="447" spans="1:5">
      <c r="A447" s="3">
        <v>44.5</v>
      </c>
      <c r="B447" s="3">
        <v>25</v>
      </c>
      <c r="C447" s="3">
        <f t="shared" si="18"/>
        <v>25</v>
      </c>
      <c r="D447" s="3">
        <f t="shared" si="20"/>
        <v>625</v>
      </c>
      <c r="E447" s="3">
        <f t="shared" si="19"/>
        <v>625</v>
      </c>
    </row>
    <row r="448" spans="1:5">
      <c r="A448" s="3">
        <v>44.6</v>
      </c>
      <c r="B448" s="3">
        <v>25</v>
      </c>
      <c r="C448" s="3">
        <f t="shared" si="18"/>
        <v>25</v>
      </c>
      <c r="D448" s="3">
        <f t="shared" si="20"/>
        <v>625</v>
      </c>
      <c r="E448" s="3">
        <f t="shared" si="19"/>
        <v>625</v>
      </c>
    </row>
    <row r="449" spans="1:5">
      <c r="A449" s="3">
        <v>44.7</v>
      </c>
      <c r="B449" s="3">
        <v>25</v>
      </c>
      <c r="C449" s="3">
        <f t="shared" si="18"/>
        <v>25</v>
      </c>
      <c r="D449" s="3">
        <f t="shared" si="20"/>
        <v>625</v>
      </c>
      <c r="E449" s="3">
        <f t="shared" si="19"/>
        <v>625</v>
      </c>
    </row>
    <row r="450" spans="1:5">
      <c r="A450" s="3">
        <v>44.8</v>
      </c>
      <c r="B450" s="3">
        <v>25</v>
      </c>
      <c r="C450" s="3">
        <f t="shared" ref="C450:C513" si="21">ROUND(SQRT(E450),2)</f>
        <v>25</v>
      </c>
      <c r="D450" s="3">
        <f t="shared" si="20"/>
        <v>625</v>
      </c>
      <c r="E450" s="3">
        <f t="shared" ref="E450:E513" si="22">MIN(D450, E451+$H$4)</f>
        <v>625</v>
      </c>
    </row>
    <row r="451" spans="1:5">
      <c r="A451" s="3">
        <v>44.9</v>
      </c>
      <c r="B451" s="3">
        <v>25</v>
      </c>
      <c r="C451" s="3">
        <f t="shared" si="21"/>
        <v>25</v>
      </c>
      <c r="D451" s="3">
        <f t="shared" ref="D451:D514" si="23">MIN(B451^2, D450+$H$4)</f>
        <v>625</v>
      </c>
      <c r="E451" s="3">
        <f t="shared" si="22"/>
        <v>625</v>
      </c>
    </row>
    <row r="452" spans="1:5">
      <c r="A452" s="3">
        <v>45</v>
      </c>
      <c r="B452" s="3">
        <v>25</v>
      </c>
      <c r="C452" s="3">
        <f t="shared" si="21"/>
        <v>25</v>
      </c>
      <c r="D452" s="3">
        <f t="shared" si="23"/>
        <v>625</v>
      </c>
      <c r="E452" s="3">
        <f t="shared" si="22"/>
        <v>625</v>
      </c>
    </row>
    <row r="453" spans="1:5">
      <c r="A453" s="3">
        <v>45.1</v>
      </c>
      <c r="B453" s="3">
        <v>25</v>
      </c>
      <c r="C453" s="3">
        <f t="shared" si="21"/>
        <v>25</v>
      </c>
      <c r="D453" s="3">
        <f t="shared" si="23"/>
        <v>625</v>
      </c>
      <c r="E453" s="3">
        <f t="shared" si="22"/>
        <v>625</v>
      </c>
    </row>
    <row r="454" spans="1:5">
      <c r="A454" s="3">
        <v>45.2</v>
      </c>
      <c r="B454" s="3">
        <v>25</v>
      </c>
      <c r="C454" s="3">
        <f t="shared" si="21"/>
        <v>25</v>
      </c>
      <c r="D454" s="3">
        <f t="shared" si="23"/>
        <v>625</v>
      </c>
      <c r="E454" s="3">
        <f t="shared" si="22"/>
        <v>625</v>
      </c>
    </row>
    <row r="455" spans="1:5">
      <c r="A455" s="3">
        <v>45.3</v>
      </c>
      <c r="B455" s="3">
        <v>25</v>
      </c>
      <c r="C455" s="3">
        <f t="shared" si="21"/>
        <v>25</v>
      </c>
      <c r="D455" s="3">
        <f t="shared" si="23"/>
        <v>625</v>
      </c>
      <c r="E455" s="3">
        <f t="shared" si="22"/>
        <v>625</v>
      </c>
    </row>
    <row r="456" spans="1:5">
      <c r="A456" s="3">
        <v>45.4</v>
      </c>
      <c r="B456" s="3">
        <v>25</v>
      </c>
      <c r="C456" s="3">
        <f t="shared" si="21"/>
        <v>25</v>
      </c>
      <c r="D456" s="3">
        <f t="shared" si="23"/>
        <v>625</v>
      </c>
      <c r="E456" s="3">
        <f t="shared" si="22"/>
        <v>625</v>
      </c>
    </row>
    <row r="457" spans="1:5">
      <c r="A457" s="3">
        <v>45.5</v>
      </c>
      <c r="B457" s="3">
        <v>25</v>
      </c>
      <c r="C457" s="3">
        <f t="shared" si="21"/>
        <v>25</v>
      </c>
      <c r="D457" s="3">
        <f t="shared" si="23"/>
        <v>625</v>
      </c>
      <c r="E457" s="3">
        <f t="shared" si="22"/>
        <v>625</v>
      </c>
    </row>
    <row r="458" spans="1:5">
      <c r="A458" s="3">
        <v>45.6</v>
      </c>
      <c r="B458" s="3">
        <v>25</v>
      </c>
      <c r="C458" s="3">
        <f t="shared" si="21"/>
        <v>25</v>
      </c>
      <c r="D458" s="3">
        <f t="shared" si="23"/>
        <v>625</v>
      </c>
      <c r="E458" s="3">
        <f t="shared" si="22"/>
        <v>625</v>
      </c>
    </row>
    <row r="459" spans="1:5">
      <c r="A459" s="3">
        <v>45.7</v>
      </c>
      <c r="B459" s="3">
        <v>25</v>
      </c>
      <c r="C459" s="3">
        <f t="shared" si="21"/>
        <v>25</v>
      </c>
      <c r="D459" s="3">
        <f t="shared" si="23"/>
        <v>625</v>
      </c>
      <c r="E459" s="3">
        <f t="shared" si="22"/>
        <v>625</v>
      </c>
    </row>
    <row r="460" spans="1:5">
      <c r="A460" s="3">
        <v>45.8</v>
      </c>
      <c r="B460" s="3">
        <v>25</v>
      </c>
      <c r="C460" s="3">
        <f t="shared" si="21"/>
        <v>25</v>
      </c>
      <c r="D460" s="3">
        <f t="shared" si="23"/>
        <v>625</v>
      </c>
      <c r="E460" s="3">
        <f t="shared" si="22"/>
        <v>625</v>
      </c>
    </row>
    <row r="461" spans="1:5">
      <c r="A461" s="3">
        <v>45.9</v>
      </c>
      <c r="B461" s="3">
        <v>25</v>
      </c>
      <c r="C461" s="3">
        <f t="shared" si="21"/>
        <v>25</v>
      </c>
      <c r="D461" s="3">
        <f t="shared" si="23"/>
        <v>625</v>
      </c>
      <c r="E461" s="3">
        <f t="shared" si="22"/>
        <v>625</v>
      </c>
    </row>
    <row r="462" spans="1:5">
      <c r="A462" s="3">
        <v>46</v>
      </c>
      <c r="B462" s="3">
        <v>25</v>
      </c>
      <c r="C462" s="3">
        <f t="shared" si="21"/>
        <v>25</v>
      </c>
      <c r="D462" s="3">
        <f t="shared" si="23"/>
        <v>625</v>
      </c>
      <c r="E462" s="3">
        <f t="shared" si="22"/>
        <v>625</v>
      </c>
    </row>
    <row r="463" spans="1:5">
      <c r="A463" s="3">
        <v>46.1</v>
      </c>
      <c r="B463" s="3">
        <v>25</v>
      </c>
      <c r="C463" s="3">
        <f t="shared" si="21"/>
        <v>25</v>
      </c>
      <c r="D463" s="3">
        <f t="shared" si="23"/>
        <v>625</v>
      </c>
      <c r="E463" s="3">
        <f t="shared" si="22"/>
        <v>625</v>
      </c>
    </row>
    <row r="464" spans="1:5">
      <c r="A464" s="3">
        <v>46.2</v>
      </c>
      <c r="B464" s="3">
        <v>25</v>
      </c>
      <c r="C464" s="3">
        <f t="shared" si="21"/>
        <v>25</v>
      </c>
      <c r="D464" s="3">
        <f t="shared" si="23"/>
        <v>625</v>
      </c>
      <c r="E464" s="3">
        <f t="shared" si="22"/>
        <v>625</v>
      </c>
    </row>
    <row r="465" spans="1:5">
      <c r="A465" s="3">
        <v>46.3</v>
      </c>
      <c r="B465" s="3">
        <v>25</v>
      </c>
      <c r="C465" s="3">
        <f t="shared" si="21"/>
        <v>25</v>
      </c>
      <c r="D465" s="3">
        <f t="shared" si="23"/>
        <v>625</v>
      </c>
      <c r="E465" s="3">
        <f t="shared" si="22"/>
        <v>625</v>
      </c>
    </row>
    <row r="466" spans="1:5">
      <c r="A466" s="3">
        <v>46.4</v>
      </c>
      <c r="B466" s="3">
        <v>25</v>
      </c>
      <c r="C466" s="3">
        <f t="shared" si="21"/>
        <v>25</v>
      </c>
      <c r="D466" s="3">
        <f t="shared" si="23"/>
        <v>625</v>
      </c>
      <c r="E466" s="3">
        <f t="shared" si="22"/>
        <v>625</v>
      </c>
    </row>
    <row r="467" spans="1:5">
      <c r="A467" s="3">
        <v>46.5</v>
      </c>
      <c r="B467" s="3">
        <v>25</v>
      </c>
      <c r="C467" s="3">
        <f t="shared" si="21"/>
        <v>25</v>
      </c>
      <c r="D467" s="3">
        <f t="shared" si="23"/>
        <v>625</v>
      </c>
      <c r="E467" s="3">
        <f t="shared" si="22"/>
        <v>625</v>
      </c>
    </row>
    <row r="468" spans="1:5">
      <c r="A468" s="3">
        <v>46.6</v>
      </c>
      <c r="B468" s="3">
        <v>25</v>
      </c>
      <c r="C468" s="3">
        <f t="shared" si="21"/>
        <v>25</v>
      </c>
      <c r="D468" s="3">
        <f t="shared" si="23"/>
        <v>625</v>
      </c>
      <c r="E468" s="3">
        <f t="shared" si="22"/>
        <v>625</v>
      </c>
    </row>
    <row r="469" spans="1:5">
      <c r="A469" s="3">
        <v>46.7</v>
      </c>
      <c r="B469" s="3">
        <v>25</v>
      </c>
      <c r="C469" s="3">
        <f t="shared" si="21"/>
        <v>25</v>
      </c>
      <c r="D469" s="3">
        <f t="shared" si="23"/>
        <v>625</v>
      </c>
      <c r="E469" s="3">
        <f t="shared" si="22"/>
        <v>625</v>
      </c>
    </row>
    <row r="470" spans="1:5">
      <c r="A470" s="3">
        <v>46.8</v>
      </c>
      <c r="B470" s="3">
        <v>25</v>
      </c>
      <c r="C470" s="3">
        <f t="shared" si="21"/>
        <v>25</v>
      </c>
      <c r="D470" s="3">
        <f t="shared" si="23"/>
        <v>625</v>
      </c>
      <c r="E470" s="3">
        <f t="shared" si="22"/>
        <v>625</v>
      </c>
    </row>
    <row r="471" spans="1:5">
      <c r="A471" s="3">
        <v>46.9</v>
      </c>
      <c r="B471" s="3">
        <v>25</v>
      </c>
      <c r="C471" s="3">
        <f t="shared" si="21"/>
        <v>25</v>
      </c>
      <c r="D471" s="3">
        <f t="shared" si="23"/>
        <v>625</v>
      </c>
      <c r="E471" s="3">
        <f t="shared" si="22"/>
        <v>625</v>
      </c>
    </row>
    <row r="472" spans="1:5">
      <c r="A472" s="3">
        <v>47</v>
      </c>
      <c r="B472" s="3">
        <v>25</v>
      </c>
      <c r="C472" s="3">
        <f t="shared" si="21"/>
        <v>25</v>
      </c>
      <c r="D472" s="3">
        <f t="shared" si="23"/>
        <v>625</v>
      </c>
      <c r="E472" s="3">
        <f t="shared" si="22"/>
        <v>625</v>
      </c>
    </row>
    <row r="473" spans="1:5">
      <c r="A473" s="3">
        <v>47.1</v>
      </c>
      <c r="B473" s="3">
        <v>25</v>
      </c>
      <c r="C473" s="3">
        <f t="shared" si="21"/>
        <v>25</v>
      </c>
      <c r="D473" s="3">
        <f t="shared" si="23"/>
        <v>625</v>
      </c>
      <c r="E473" s="3">
        <f t="shared" si="22"/>
        <v>625</v>
      </c>
    </row>
    <row r="474" spans="1:5">
      <c r="A474" s="3">
        <v>47.2</v>
      </c>
      <c r="B474" s="3">
        <v>25</v>
      </c>
      <c r="C474" s="3">
        <f t="shared" si="21"/>
        <v>25</v>
      </c>
      <c r="D474" s="3">
        <f t="shared" si="23"/>
        <v>625</v>
      </c>
      <c r="E474" s="3">
        <f t="shared" si="22"/>
        <v>625</v>
      </c>
    </row>
    <row r="475" spans="1:5">
      <c r="A475" s="3">
        <v>47.3</v>
      </c>
      <c r="B475" s="3">
        <v>25</v>
      </c>
      <c r="C475" s="3">
        <f t="shared" si="21"/>
        <v>25</v>
      </c>
      <c r="D475" s="3">
        <f t="shared" si="23"/>
        <v>625</v>
      </c>
      <c r="E475" s="3">
        <f t="shared" si="22"/>
        <v>625</v>
      </c>
    </row>
    <row r="476" spans="1:5">
      <c r="A476" s="3">
        <v>47.4</v>
      </c>
      <c r="B476" s="3">
        <v>25</v>
      </c>
      <c r="C476" s="3">
        <f t="shared" si="21"/>
        <v>25</v>
      </c>
      <c r="D476" s="3">
        <f t="shared" si="23"/>
        <v>625</v>
      </c>
      <c r="E476" s="3">
        <f t="shared" si="22"/>
        <v>625</v>
      </c>
    </row>
    <row r="477" spans="1:5">
      <c r="A477" s="3">
        <v>47.5</v>
      </c>
      <c r="B477" s="3">
        <v>25</v>
      </c>
      <c r="C477" s="3">
        <f t="shared" si="21"/>
        <v>25</v>
      </c>
      <c r="D477" s="3">
        <f t="shared" si="23"/>
        <v>625</v>
      </c>
      <c r="E477" s="3">
        <f t="shared" si="22"/>
        <v>625</v>
      </c>
    </row>
    <row r="478" spans="1:5">
      <c r="A478" s="3">
        <v>47.6</v>
      </c>
      <c r="B478" s="3">
        <v>25</v>
      </c>
      <c r="C478" s="3">
        <f t="shared" si="21"/>
        <v>25</v>
      </c>
      <c r="D478" s="3">
        <f t="shared" si="23"/>
        <v>625</v>
      </c>
      <c r="E478" s="3">
        <f t="shared" si="22"/>
        <v>625</v>
      </c>
    </row>
    <row r="479" spans="1:5">
      <c r="A479" s="3">
        <v>47.7</v>
      </c>
      <c r="B479" s="3">
        <v>25</v>
      </c>
      <c r="C479" s="3">
        <f t="shared" si="21"/>
        <v>25</v>
      </c>
      <c r="D479" s="3">
        <f t="shared" si="23"/>
        <v>625</v>
      </c>
      <c r="E479" s="3">
        <f t="shared" si="22"/>
        <v>625</v>
      </c>
    </row>
    <row r="480" spans="1:5">
      <c r="A480" s="3">
        <v>47.8</v>
      </c>
      <c r="B480" s="3">
        <v>25</v>
      </c>
      <c r="C480" s="3">
        <f t="shared" si="21"/>
        <v>25</v>
      </c>
      <c r="D480" s="3">
        <f t="shared" si="23"/>
        <v>625</v>
      </c>
      <c r="E480" s="3">
        <f t="shared" si="22"/>
        <v>625</v>
      </c>
    </row>
    <row r="481" spans="1:5">
      <c r="A481" s="3">
        <v>47.9</v>
      </c>
      <c r="B481" s="3">
        <v>25</v>
      </c>
      <c r="C481" s="3">
        <f t="shared" si="21"/>
        <v>25</v>
      </c>
      <c r="D481" s="3">
        <f t="shared" si="23"/>
        <v>625</v>
      </c>
      <c r="E481" s="3">
        <f t="shared" si="22"/>
        <v>625</v>
      </c>
    </row>
    <row r="482" spans="1:5">
      <c r="A482" s="3">
        <v>48</v>
      </c>
      <c r="B482" s="3">
        <v>25</v>
      </c>
      <c r="C482" s="3">
        <f t="shared" si="21"/>
        <v>25</v>
      </c>
      <c r="D482" s="3">
        <f t="shared" si="23"/>
        <v>625</v>
      </c>
      <c r="E482" s="3">
        <f t="shared" si="22"/>
        <v>625</v>
      </c>
    </row>
    <row r="483" spans="1:5">
      <c r="A483" s="3">
        <v>48.1</v>
      </c>
      <c r="B483" s="3">
        <v>25</v>
      </c>
      <c r="C483" s="3">
        <f t="shared" si="21"/>
        <v>25</v>
      </c>
      <c r="D483" s="3">
        <f t="shared" si="23"/>
        <v>625</v>
      </c>
      <c r="E483" s="3">
        <f t="shared" si="22"/>
        <v>625</v>
      </c>
    </row>
    <row r="484" spans="1:5">
      <c r="A484" s="3">
        <v>48.2</v>
      </c>
      <c r="B484" s="3">
        <v>25</v>
      </c>
      <c r="C484" s="3">
        <f t="shared" si="21"/>
        <v>25</v>
      </c>
      <c r="D484" s="3">
        <f t="shared" si="23"/>
        <v>625</v>
      </c>
      <c r="E484" s="3">
        <f t="shared" si="22"/>
        <v>625</v>
      </c>
    </row>
    <row r="485" spans="1:5">
      <c r="A485" s="3">
        <v>48.3</v>
      </c>
      <c r="B485" s="3">
        <v>25</v>
      </c>
      <c r="C485" s="3">
        <f t="shared" si="21"/>
        <v>25</v>
      </c>
      <c r="D485" s="3">
        <f t="shared" si="23"/>
        <v>625</v>
      </c>
      <c r="E485" s="3">
        <f t="shared" si="22"/>
        <v>625</v>
      </c>
    </row>
    <row r="486" spans="1:5">
      <c r="A486" s="3">
        <v>48.4</v>
      </c>
      <c r="B486" s="3">
        <v>25</v>
      </c>
      <c r="C486" s="3">
        <f t="shared" si="21"/>
        <v>25</v>
      </c>
      <c r="D486" s="3">
        <f t="shared" si="23"/>
        <v>625</v>
      </c>
      <c r="E486" s="3">
        <f t="shared" si="22"/>
        <v>625</v>
      </c>
    </row>
    <row r="487" spans="1:5">
      <c r="A487" s="3">
        <v>48.5</v>
      </c>
      <c r="B487" s="3">
        <v>25</v>
      </c>
      <c r="C487" s="3">
        <f t="shared" si="21"/>
        <v>25</v>
      </c>
      <c r="D487" s="3">
        <f t="shared" si="23"/>
        <v>625</v>
      </c>
      <c r="E487" s="3">
        <f t="shared" si="22"/>
        <v>625</v>
      </c>
    </row>
    <row r="488" spans="1:5">
      <c r="A488" s="3">
        <v>48.6</v>
      </c>
      <c r="B488" s="3">
        <v>25</v>
      </c>
      <c r="C488" s="3">
        <f t="shared" si="21"/>
        <v>25</v>
      </c>
      <c r="D488" s="3">
        <f t="shared" si="23"/>
        <v>625</v>
      </c>
      <c r="E488" s="3">
        <f t="shared" si="22"/>
        <v>625</v>
      </c>
    </row>
    <row r="489" spans="1:5">
      <c r="A489" s="3">
        <v>48.7</v>
      </c>
      <c r="B489" s="3">
        <v>25</v>
      </c>
      <c r="C489" s="3">
        <f t="shared" si="21"/>
        <v>25</v>
      </c>
      <c r="D489" s="3">
        <f t="shared" si="23"/>
        <v>625</v>
      </c>
      <c r="E489" s="3">
        <f t="shared" si="22"/>
        <v>625</v>
      </c>
    </row>
    <row r="490" spans="1:5">
      <c r="A490" s="3">
        <v>48.8</v>
      </c>
      <c r="B490" s="3">
        <v>25</v>
      </c>
      <c r="C490" s="3">
        <f t="shared" si="21"/>
        <v>21.45</v>
      </c>
      <c r="D490" s="3">
        <f t="shared" si="23"/>
        <v>625</v>
      </c>
      <c r="E490" s="3">
        <f t="shared" si="22"/>
        <v>460</v>
      </c>
    </row>
    <row r="491" spans="1:5">
      <c r="A491" s="3">
        <v>48.9</v>
      </c>
      <c r="B491" s="3">
        <v>25</v>
      </c>
      <c r="C491" s="3">
        <f t="shared" si="21"/>
        <v>16.73</v>
      </c>
      <c r="D491" s="3">
        <f t="shared" si="23"/>
        <v>625</v>
      </c>
      <c r="E491" s="3">
        <f t="shared" si="22"/>
        <v>280</v>
      </c>
    </row>
    <row r="492" spans="1:5">
      <c r="A492" s="3">
        <v>49</v>
      </c>
      <c r="B492" s="3">
        <v>10</v>
      </c>
      <c r="C492" s="3">
        <f t="shared" si="21"/>
        <v>10</v>
      </c>
      <c r="D492" s="3">
        <f t="shared" si="23"/>
        <v>100</v>
      </c>
      <c r="E492" s="3">
        <f t="shared" si="22"/>
        <v>100</v>
      </c>
    </row>
    <row r="493" spans="1:5">
      <c r="A493" s="3">
        <v>49.1</v>
      </c>
      <c r="B493" s="3">
        <v>10</v>
      </c>
      <c r="C493" s="3">
        <f t="shared" si="21"/>
        <v>10</v>
      </c>
      <c r="D493" s="3">
        <f t="shared" si="23"/>
        <v>100</v>
      </c>
      <c r="E493" s="3">
        <f t="shared" si="22"/>
        <v>100</v>
      </c>
    </row>
    <row r="494" spans="1:5">
      <c r="A494" s="3">
        <v>49.2</v>
      </c>
      <c r="B494" s="3">
        <v>10</v>
      </c>
      <c r="C494" s="3">
        <f t="shared" si="21"/>
        <v>10</v>
      </c>
      <c r="D494" s="3">
        <f t="shared" si="23"/>
        <v>100</v>
      </c>
      <c r="E494" s="3">
        <f t="shared" si="22"/>
        <v>100</v>
      </c>
    </row>
    <row r="495" spans="1:5">
      <c r="A495" s="3">
        <v>49.3</v>
      </c>
      <c r="B495" s="3">
        <v>10</v>
      </c>
      <c r="C495" s="3">
        <f t="shared" si="21"/>
        <v>10</v>
      </c>
      <c r="D495" s="3">
        <f t="shared" si="23"/>
        <v>100</v>
      </c>
      <c r="E495" s="3">
        <f t="shared" si="22"/>
        <v>100</v>
      </c>
    </row>
    <row r="496" spans="1:5">
      <c r="A496" s="3">
        <v>49.4</v>
      </c>
      <c r="B496" s="3">
        <v>10</v>
      </c>
      <c r="C496" s="3">
        <f t="shared" si="21"/>
        <v>10</v>
      </c>
      <c r="D496" s="3">
        <f t="shared" si="23"/>
        <v>100</v>
      </c>
      <c r="E496" s="3">
        <f t="shared" si="22"/>
        <v>100</v>
      </c>
    </row>
    <row r="497" spans="1:5">
      <c r="A497" s="3">
        <v>49.5</v>
      </c>
      <c r="B497" s="3">
        <v>10</v>
      </c>
      <c r="C497" s="3">
        <f t="shared" si="21"/>
        <v>10</v>
      </c>
      <c r="D497" s="3">
        <f t="shared" si="23"/>
        <v>100</v>
      </c>
      <c r="E497" s="3">
        <f t="shared" si="22"/>
        <v>100</v>
      </c>
    </row>
    <row r="498" spans="1:5">
      <c r="A498" s="3">
        <v>49.6</v>
      </c>
      <c r="B498" s="3">
        <v>10</v>
      </c>
      <c r="C498" s="3">
        <f t="shared" si="21"/>
        <v>10</v>
      </c>
      <c r="D498" s="3">
        <f t="shared" si="23"/>
        <v>100</v>
      </c>
      <c r="E498" s="3">
        <f t="shared" si="22"/>
        <v>100</v>
      </c>
    </row>
    <row r="499" spans="1:5">
      <c r="A499" s="3">
        <v>49.7</v>
      </c>
      <c r="B499" s="3">
        <v>10</v>
      </c>
      <c r="C499" s="3">
        <f t="shared" si="21"/>
        <v>10</v>
      </c>
      <c r="D499" s="3">
        <f t="shared" si="23"/>
        <v>100</v>
      </c>
      <c r="E499" s="3">
        <f t="shared" si="22"/>
        <v>100</v>
      </c>
    </row>
    <row r="500" spans="1:5">
      <c r="A500" s="3">
        <v>49.8</v>
      </c>
      <c r="B500" s="3">
        <v>10</v>
      </c>
      <c r="C500" s="3">
        <f t="shared" si="21"/>
        <v>10</v>
      </c>
      <c r="D500" s="3">
        <f t="shared" si="23"/>
        <v>100</v>
      </c>
      <c r="E500" s="3">
        <f t="shared" si="22"/>
        <v>100</v>
      </c>
    </row>
    <row r="501" spans="1:5">
      <c r="A501" s="3">
        <v>49.9</v>
      </c>
      <c r="B501" s="3">
        <v>10</v>
      </c>
      <c r="C501" s="3">
        <f t="shared" si="21"/>
        <v>10</v>
      </c>
      <c r="D501" s="3">
        <f t="shared" si="23"/>
        <v>100</v>
      </c>
      <c r="E501" s="3">
        <f t="shared" si="22"/>
        <v>100</v>
      </c>
    </row>
    <row r="502" spans="1:5">
      <c r="A502" s="3">
        <v>50</v>
      </c>
      <c r="B502" s="3">
        <v>10</v>
      </c>
      <c r="C502" s="3">
        <f t="shared" si="21"/>
        <v>10</v>
      </c>
      <c r="D502" s="3">
        <f t="shared" si="23"/>
        <v>100</v>
      </c>
      <c r="E502" s="3">
        <f t="shared" si="22"/>
        <v>100</v>
      </c>
    </row>
    <row r="503" spans="1:5">
      <c r="A503" s="3">
        <v>50.1</v>
      </c>
      <c r="B503" s="3">
        <v>10</v>
      </c>
      <c r="C503" s="3">
        <f t="shared" si="21"/>
        <v>10</v>
      </c>
      <c r="D503" s="3">
        <f t="shared" si="23"/>
        <v>100</v>
      </c>
      <c r="E503" s="3">
        <f t="shared" si="22"/>
        <v>100</v>
      </c>
    </row>
    <row r="504" spans="1:5">
      <c r="A504" s="3">
        <v>50.2</v>
      </c>
      <c r="B504" s="3">
        <v>10</v>
      </c>
      <c r="C504" s="3">
        <f t="shared" si="21"/>
        <v>10</v>
      </c>
      <c r="D504" s="3">
        <f t="shared" si="23"/>
        <v>100</v>
      </c>
      <c r="E504" s="3">
        <f t="shared" si="22"/>
        <v>100</v>
      </c>
    </row>
    <row r="505" spans="1:5">
      <c r="A505" s="3">
        <v>50.3</v>
      </c>
      <c r="B505" s="3">
        <v>10</v>
      </c>
      <c r="C505" s="3">
        <f t="shared" si="21"/>
        <v>10</v>
      </c>
      <c r="D505" s="3">
        <f t="shared" si="23"/>
        <v>100</v>
      </c>
      <c r="E505" s="3">
        <f t="shared" si="22"/>
        <v>100</v>
      </c>
    </row>
    <row r="506" spans="1:5">
      <c r="A506" s="3">
        <v>50.4</v>
      </c>
      <c r="B506" s="3">
        <v>10</v>
      </c>
      <c r="C506" s="3">
        <f t="shared" si="21"/>
        <v>10</v>
      </c>
      <c r="D506" s="3">
        <f t="shared" si="23"/>
        <v>100</v>
      </c>
      <c r="E506" s="3">
        <f t="shared" si="22"/>
        <v>100</v>
      </c>
    </row>
    <row r="507" spans="1:5">
      <c r="A507" s="3">
        <v>50.5</v>
      </c>
      <c r="B507" s="3">
        <v>10</v>
      </c>
      <c r="C507" s="3">
        <f t="shared" si="21"/>
        <v>10</v>
      </c>
      <c r="D507" s="3">
        <f t="shared" si="23"/>
        <v>100</v>
      </c>
      <c r="E507" s="3">
        <f t="shared" si="22"/>
        <v>100</v>
      </c>
    </row>
    <row r="508" spans="1:5">
      <c r="A508" s="3">
        <v>50.6</v>
      </c>
      <c r="B508" s="3">
        <v>10</v>
      </c>
      <c r="C508" s="3">
        <f t="shared" si="21"/>
        <v>10</v>
      </c>
      <c r="D508" s="3">
        <f t="shared" si="23"/>
        <v>100</v>
      </c>
      <c r="E508" s="3">
        <f t="shared" si="22"/>
        <v>100</v>
      </c>
    </row>
    <row r="509" spans="1:5">
      <c r="A509" s="3">
        <v>50.7</v>
      </c>
      <c r="B509" s="3">
        <v>10</v>
      </c>
      <c r="C509" s="3">
        <f t="shared" si="21"/>
        <v>10</v>
      </c>
      <c r="D509" s="3">
        <f t="shared" si="23"/>
        <v>100</v>
      </c>
      <c r="E509" s="3">
        <f t="shared" si="22"/>
        <v>100</v>
      </c>
    </row>
    <row r="510" spans="1:5">
      <c r="A510" s="3">
        <v>50.8</v>
      </c>
      <c r="B510" s="3">
        <v>10</v>
      </c>
      <c r="C510" s="3">
        <f t="shared" si="21"/>
        <v>10</v>
      </c>
      <c r="D510" s="3">
        <f t="shared" si="23"/>
        <v>100</v>
      </c>
      <c r="E510" s="3">
        <f t="shared" si="22"/>
        <v>100</v>
      </c>
    </row>
    <row r="511" spans="1:5">
      <c r="A511" s="3">
        <v>50.9</v>
      </c>
      <c r="B511" s="3">
        <v>10</v>
      </c>
      <c r="C511" s="3">
        <f t="shared" si="21"/>
        <v>10</v>
      </c>
      <c r="D511" s="3">
        <f t="shared" si="23"/>
        <v>100</v>
      </c>
      <c r="E511" s="3">
        <f t="shared" si="22"/>
        <v>100</v>
      </c>
    </row>
    <row r="512" spans="1:5">
      <c r="A512" s="3">
        <v>51</v>
      </c>
      <c r="B512" s="3">
        <v>10</v>
      </c>
      <c r="C512" s="3">
        <f t="shared" si="21"/>
        <v>10</v>
      </c>
      <c r="D512" s="3">
        <f t="shared" si="23"/>
        <v>100</v>
      </c>
      <c r="E512" s="3">
        <f t="shared" si="22"/>
        <v>100</v>
      </c>
    </row>
    <row r="513" spans="1:5">
      <c r="A513" s="3">
        <v>51.1</v>
      </c>
      <c r="B513" s="3">
        <v>10</v>
      </c>
      <c r="C513" s="3">
        <f t="shared" si="21"/>
        <v>10</v>
      </c>
      <c r="D513" s="3">
        <f t="shared" si="23"/>
        <v>100</v>
      </c>
      <c r="E513" s="3">
        <f t="shared" si="22"/>
        <v>100</v>
      </c>
    </row>
    <row r="514" spans="1:5">
      <c r="A514" s="3">
        <v>51.2</v>
      </c>
      <c r="B514" s="3">
        <v>10</v>
      </c>
      <c r="C514" s="3">
        <f t="shared" ref="C514:C577" si="24">ROUND(SQRT(E514),2)</f>
        <v>10</v>
      </c>
      <c r="D514" s="3">
        <f t="shared" si="23"/>
        <v>100</v>
      </c>
      <c r="E514" s="3">
        <f t="shared" ref="E514:E577" si="25">MIN(D514, E515+$H$4)</f>
        <v>100</v>
      </c>
    </row>
    <row r="515" spans="1:5">
      <c r="A515" s="3">
        <v>51.3</v>
      </c>
      <c r="B515" s="3">
        <v>10</v>
      </c>
      <c r="C515" s="3">
        <f t="shared" si="24"/>
        <v>10</v>
      </c>
      <c r="D515" s="3">
        <f t="shared" ref="D515:D578" si="26">MIN(B515^2, D514+$H$4)</f>
        <v>100</v>
      </c>
      <c r="E515" s="3">
        <f t="shared" si="25"/>
        <v>100</v>
      </c>
    </row>
    <row r="516" spans="1:5">
      <c r="A516" s="3">
        <v>51.4</v>
      </c>
      <c r="B516" s="3">
        <v>10</v>
      </c>
      <c r="C516" s="3">
        <f t="shared" si="24"/>
        <v>10</v>
      </c>
      <c r="D516" s="3">
        <f t="shared" si="26"/>
        <v>100</v>
      </c>
      <c r="E516" s="3">
        <f t="shared" si="25"/>
        <v>100</v>
      </c>
    </row>
    <row r="517" spans="1:5">
      <c r="A517" s="3">
        <v>51.5</v>
      </c>
      <c r="B517" s="3">
        <v>10</v>
      </c>
      <c r="C517" s="3">
        <f t="shared" si="24"/>
        <v>10</v>
      </c>
      <c r="D517" s="3">
        <f t="shared" si="26"/>
        <v>100</v>
      </c>
      <c r="E517" s="3">
        <f t="shared" si="25"/>
        <v>100</v>
      </c>
    </row>
    <row r="518" spans="1:5">
      <c r="A518" s="3">
        <v>51.6</v>
      </c>
      <c r="B518" s="3">
        <v>10</v>
      </c>
      <c r="C518" s="3">
        <f t="shared" si="24"/>
        <v>10</v>
      </c>
      <c r="D518" s="3">
        <f t="shared" si="26"/>
        <v>100</v>
      </c>
      <c r="E518" s="3">
        <f t="shared" si="25"/>
        <v>100</v>
      </c>
    </row>
    <row r="519" spans="1:5">
      <c r="A519" s="3">
        <v>51.7</v>
      </c>
      <c r="B519" s="3">
        <v>10</v>
      </c>
      <c r="C519" s="3">
        <f t="shared" si="24"/>
        <v>10</v>
      </c>
      <c r="D519" s="3">
        <f t="shared" si="26"/>
        <v>100</v>
      </c>
      <c r="E519" s="3">
        <f t="shared" si="25"/>
        <v>100</v>
      </c>
    </row>
    <row r="520" spans="1:5">
      <c r="A520" s="3">
        <v>51.8</v>
      </c>
      <c r="B520" s="3">
        <v>10</v>
      </c>
      <c r="C520" s="3">
        <f t="shared" si="24"/>
        <v>10</v>
      </c>
      <c r="D520" s="3">
        <f t="shared" si="26"/>
        <v>100</v>
      </c>
      <c r="E520" s="3">
        <f t="shared" si="25"/>
        <v>100</v>
      </c>
    </row>
    <row r="521" spans="1:5">
      <c r="A521" s="3">
        <v>51.9</v>
      </c>
      <c r="B521" s="3">
        <v>10</v>
      </c>
      <c r="C521" s="3">
        <f t="shared" si="24"/>
        <v>10</v>
      </c>
      <c r="D521" s="3">
        <f t="shared" si="26"/>
        <v>100</v>
      </c>
      <c r="E521" s="3">
        <f t="shared" si="25"/>
        <v>100</v>
      </c>
    </row>
    <row r="522" spans="1:5">
      <c r="A522" s="3">
        <v>52</v>
      </c>
      <c r="B522" s="3">
        <v>10</v>
      </c>
      <c r="C522" s="3">
        <f t="shared" si="24"/>
        <v>10</v>
      </c>
      <c r="D522" s="3">
        <f t="shared" si="26"/>
        <v>100</v>
      </c>
      <c r="E522" s="3">
        <f t="shared" si="25"/>
        <v>100</v>
      </c>
    </row>
    <row r="523" spans="1:5">
      <c r="A523" s="3">
        <v>52.1</v>
      </c>
      <c r="B523" s="3">
        <v>10</v>
      </c>
      <c r="C523" s="3">
        <f t="shared" si="24"/>
        <v>10</v>
      </c>
      <c r="D523" s="3">
        <f t="shared" si="26"/>
        <v>100</v>
      </c>
      <c r="E523" s="3">
        <f t="shared" si="25"/>
        <v>100</v>
      </c>
    </row>
    <row r="524" spans="1:5">
      <c r="A524" s="3">
        <v>52.2</v>
      </c>
      <c r="B524" s="3">
        <v>10</v>
      </c>
      <c r="C524" s="3">
        <f t="shared" si="24"/>
        <v>10</v>
      </c>
      <c r="D524" s="3">
        <f t="shared" si="26"/>
        <v>100</v>
      </c>
      <c r="E524" s="3">
        <f t="shared" si="25"/>
        <v>100</v>
      </c>
    </row>
    <row r="525" spans="1:5">
      <c r="A525" s="3">
        <v>52.3</v>
      </c>
      <c r="B525" s="3">
        <v>10</v>
      </c>
      <c r="C525" s="3">
        <f t="shared" si="24"/>
        <v>10</v>
      </c>
      <c r="D525" s="3">
        <f t="shared" si="26"/>
        <v>100</v>
      </c>
      <c r="E525" s="3">
        <f t="shared" si="25"/>
        <v>100</v>
      </c>
    </row>
    <row r="526" spans="1:5">
      <c r="A526" s="3">
        <v>52.4</v>
      </c>
      <c r="B526" s="3">
        <v>10</v>
      </c>
      <c r="C526" s="3">
        <f t="shared" si="24"/>
        <v>10</v>
      </c>
      <c r="D526" s="3">
        <f t="shared" si="26"/>
        <v>100</v>
      </c>
      <c r="E526" s="3">
        <f t="shared" si="25"/>
        <v>100</v>
      </c>
    </row>
    <row r="527" spans="1:5">
      <c r="A527" s="3">
        <v>52.5</v>
      </c>
      <c r="B527" s="3">
        <v>10</v>
      </c>
      <c r="C527" s="3">
        <f t="shared" si="24"/>
        <v>10</v>
      </c>
      <c r="D527" s="3">
        <f t="shared" si="26"/>
        <v>100</v>
      </c>
      <c r="E527" s="3">
        <f t="shared" si="25"/>
        <v>100</v>
      </c>
    </row>
    <row r="528" spans="1:5">
      <c r="A528" s="3">
        <v>52.6</v>
      </c>
      <c r="B528" s="3">
        <v>10</v>
      </c>
      <c r="C528" s="3">
        <f t="shared" si="24"/>
        <v>10</v>
      </c>
      <c r="D528" s="3">
        <f t="shared" si="26"/>
        <v>100</v>
      </c>
      <c r="E528" s="3">
        <f t="shared" si="25"/>
        <v>100</v>
      </c>
    </row>
    <row r="529" spans="1:5">
      <c r="A529" s="3">
        <v>52.7</v>
      </c>
      <c r="B529" s="3">
        <v>10</v>
      </c>
      <c r="C529" s="3">
        <f t="shared" si="24"/>
        <v>10</v>
      </c>
      <c r="D529" s="3">
        <f t="shared" si="26"/>
        <v>100</v>
      </c>
      <c r="E529" s="3">
        <f t="shared" si="25"/>
        <v>100</v>
      </c>
    </row>
    <row r="530" spans="1:5">
      <c r="A530" s="3">
        <v>52.8</v>
      </c>
      <c r="B530" s="3">
        <v>10</v>
      </c>
      <c r="C530" s="3">
        <f t="shared" si="24"/>
        <v>10</v>
      </c>
      <c r="D530" s="3">
        <f t="shared" si="26"/>
        <v>100</v>
      </c>
      <c r="E530" s="3">
        <f t="shared" si="25"/>
        <v>100</v>
      </c>
    </row>
    <row r="531" spans="1:5">
      <c r="A531" s="3">
        <v>52.9</v>
      </c>
      <c r="B531" s="3">
        <v>10</v>
      </c>
      <c r="C531" s="3">
        <f t="shared" si="24"/>
        <v>10</v>
      </c>
      <c r="D531" s="3">
        <f t="shared" si="26"/>
        <v>100</v>
      </c>
      <c r="E531" s="3">
        <f t="shared" si="25"/>
        <v>100</v>
      </c>
    </row>
    <row r="532" spans="1:5">
      <c r="A532" s="3">
        <v>53</v>
      </c>
      <c r="B532" s="3">
        <v>10</v>
      </c>
      <c r="C532" s="3">
        <f t="shared" si="24"/>
        <v>10</v>
      </c>
      <c r="D532" s="3">
        <f t="shared" si="26"/>
        <v>100</v>
      </c>
      <c r="E532" s="3">
        <f t="shared" si="25"/>
        <v>100</v>
      </c>
    </row>
    <row r="533" spans="1:5">
      <c r="A533" s="3">
        <v>53.1</v>
      </c>
      <c r="B533" s="3">
        <v>10</v>
      </c>
      <c r="C533" s="3">
        <f t="shared" si="24"/>
        <v>10</v>
      </c>
      <c r="D533" s="3">
        <f t="shared" si="26"/>
        <v>100</v>
      </c>
      <c r="E533" s="3">
        <f t="shared" si="25"/>
        <v>100</v>
      </c>
    </row>
    <row r="534" spans="1:5">
      <c r="A534" s="3">
        <v>53.2</v>
      </c>
      <c r="B534" s="3">
        <v>10</v>
      </c>
      <c r="C534" s="3">
        <f t="shared" si="24"/>
        <v>10</v>
      </c>
      <c r="D534" s="3">
        <f t="shared" si="26"/>
        <v>100</v>
      </c>
      <c r="E534" s="3">
        <f t="shared" si="25"/>
        <v>100</v>
      </c>
    </row>
    <row r="535" spans="1:5">
      <c r="A535" s="3">
        <v>53.3</v>
      </c>
      <c r="B535" s="3">
        <v>10</v>
      </c>
      <c r="C535" s="3">
        <f t="shared" si="24"/>
        <v>10</v>
      </c>
      <c r="D535" s="3">
        <f t="shared" si="26"/>
        <v>100</v>
      </c>
      <c r="E535" s="3">
        <f t="shared" si="25"/>
        <v>100</v>
      </c>
    </row>
    <row r="536" spans="1:5">
      <c r="A536" s="3">
        <v>53.4</v>
      </c>
      <c r="B536" s="3">
        <v>10</v>
      </c>
      <c r="C536" s="3">
        <f t="shared" si="24"/>
        <v>10</v>
      </c>
      <c r="D536" s="3">
        <f t="shared" si="26"/>
        <v>100</v>
      </c>
      <c r="E536" s="3">
        <f t="shared" si="25"/>
        <v>100</v>
      </c>
    </row>
    <row r="537" spans="1:5">
      <c r="A537" s="3">
        <v>53.5</v>
      </c>
      <c r="B537" s="3">
        <v>10</v>
      </c>
      <c r="C537" s="3">
        <f t="shared" si="24"/>
        <v>10</v>
      </c>
      <c r="D537" s="3">
        <f t="shared" si="26"/>
        <v>100</v>
      </c>
      <c r="E537" s="3">
        <f t="shared" si="25"/>
        <v>100</v>
      </c>
    </row>
    <row r="538" spans="1:5">
      <c r="A538" s="3">
        <v>53.6</v>
      </c>
      <c r="B538" s="3">
        <v>10</v>
      </c>
      <c r="C538" s="3">
        <f t="shared" si="24"/>
        <v>10</v>
      </c>
      <c r="D538" s="3">
        <f t="shared" si="26"/>
        <v>100</v>
      </c>
      <c r="E538" s="3">
        <f t="shared" si="25"/>
        <v>100</v>
      </c>
    </row>
    <row r="539" spans="1:5">
      <c r="A539" s="3">
        <v>53.7</v>
      </c>
      <c r="B539" s="3">
        <v>10</v>
      </c>
      <c r="C539" s="3">
        <f t="shared" si="24"/>
        <v>10</v>
      </c>
      <c r="D539" s="3">
        <f t="shared" si="26"/>
        <v>100</v>
      </c>
      <c r="E539" s="3">
        <f t="shared" si="25"/>
        <v>100</v>
      </c>
    </row>
    <row r="540" spans="1:5">
      <c r="A540" s="3">
        <v>53.8</v>
      </c>
      <c r="B540" s="3">
        <v>10</v>
      </c>
      <c r="C540" s="3">
        <f t="shared" si="24"/>
        <v>10</v>
      </c>
      <c r="D540" s="3">
        <f t="shared" si="26"/>
        <v>100</v>
      </c>
      <c r="E540" s="3">
        <f t="shared" si="25"/>
        <v>100</v>
      </c>
    </row>
    <row r="541" spans="1:5">
      <c r="A541" s="3">
        <v>53.9</v>
      </c>
      <c r="B541" s="3">
        <v>10</v>
      </c>
      <c r="C541" s="3">
        <f t="shared" si="24"/>
        <v>10</v>
      </c>
      <c r="D541" s="3">
        <f t="shared" si="26"/>
        <v>100</v>
      </c>
      <c r="E541" s="3">
        <f t="shared" si="25"/>
        <v>100</v>
      </c>
    </row>
    <row r="542" spans="1:5">
      <c r="A542" s="3">
        <v>54</v>
      </c>
      <c r="B542" s="3">
        <v>10</v>
      </c>
      <c r="C542" s="3">
        <f t="shared" si="24"/>
        <v>10</v>
      </c>
      <c r="D542" s="3">
        <f t="shared" si="26"/>
        <v>100</v>
      </c>
      <c r="E542" s="3">
        <f t="shared" si="25"/>
        <v>100</v>
      </c>
    </row>
    <row r="543" spans="1:5">
      <c r="A543" s="3">
        <v>54.1</v>
      </c>
      <c r="B543" s="3">
        <v>10</v>
      </c>
      <c r="C543" s="3">
        <f t="shared" si="24"/>
        <v>10</v>
      </c>
      <c r="D543" s="3">
        <f t="shared" si="26"/>
        <v>100</v>
      </c>
      <c r="E543" s="3">
        <f t="shared" si="25"/>
        <v>100</v>
      </c>
    </row>
    <row r="544" spans="1:5">
      <c r="A544" s="3">
        <v>54.2</v>
      </c>
      <c r="B544" s="3">
        <v>10</v>
      </c>
      <c r="C544" s="3">
        <f t="shared" si="24"/>
        <v>10</v>
      </c>
      <c r="D544" s="3">
        <f t="shared" si="26"/>
        <v>100</v>
      </c>
      <c r="E544" s="3">
        <f t="shared" si="25"/>
        <v>100</v>
      </c>
    </row>
    <row r="545" spans="1:5">
      <c r="A545" s="3">
        <v>54.3</v>
      </c>
      <c r="B545" s="3">
        <v>10</v>
      </c>
      <c r="C545" s="3">
        <f t="shared" si="24"/>
        <v>10</v>
      </c>
      <c r="D545" s="3">
        <f t="shared" si="26"/>
        <v>100</v>
      </c>
      <c r="E545" s="3">
        <f t="shared" si="25"/>
        <v>100</v>
      </c>
    </row>
    <row r="546" spans="1:5">
      <c r="A546" s="3">
        <v>54.4</v>
      </c>
      <c r="B546" s="3">
        <v>10</v>
      </c>
      <c r="C546" s="3">
        <f t="shared" si="24"/>
        <v>10</v>
      </c>
      <c r="D546" s="3">
        <f t="shared" si="26"/>
        <v>100</v>
      </c>
      <c r="E546" s="3">
        <f t="shared" si="25"/>
        <v>100</v>
      </c>
    </row>
    <row r="547" spans="1:5">
      <c r="A547" s="3">
        <v>54.5</v>
      </c>
      <c r="B547" s="3">
        <v>10</v>
      </c>
      <c r="C547" s="3">
        <f t="shared" si="24"/>
        <v>10</v>
      </c>
      <c r="D547" s="3">
        <f t="shared" si="26"/>
        <v>100</v>
      </c>
      <c r="E547" s="3">
        <f t="shared" si="25"/>
        <v>100</v>
      </c>
    </row>
    <row r="548" spans="1:5">
      <c r="A548" s="3">
        <v>54.6</v>
      </c>
      <c r="B548" s="3">
        <v>10</v>
      </c>
      <c r="C548" s="3">
        <f t="shared" si="24"/>
        <v>10</v>
      </c>
      <c r="D548" s="3">
        <f t="shared" si="26"/>
        <v>100</v>
      </c>
      <c r="E548" s="3">
        <f t="shared" si="25"/>
        <v>100</v>
      </c>
    </row>
    <row r="549" spans="1:5">
      <c r="A549" s="3">
        <v>54.7</v>
      </c>
      <c r="B549" s="3">
        <v>10</v>
      </c>
      <c r="C549" s="3">
        <f t="shared" si="24"/>
        <v>10</v>
      </c>
      <c r="D549" s="3">
        <f t="shared" si="26"/>
        <v>100</v>
      </c>
      <c r="E549" s="3">
        <f t="shared" si="25"/>
        <v>100</v>
      </c>
    </row>
    <row r="550" spans="1:5">
      <c r="A550" s="3">
        <v>54.8</v>
      </c>
      <c r="B550" s="3">
        <v>10</v>
      </c>
      <c r="C550" s="3">
        <f t="shared" si="24"/>
        <v>10</v>
      </c>
      <c r="D550" s="3">
        <f t="shared" si="26"/>
        <v>100</v>
      </c>
      <c r="E550" s="3">
        <f t="shared" si="25"/>
        <v>100</v>
      </c>
    </row>
    <row r="551" spans="1:5">
      <c r="A551" s="3">
        <v>54.9</v>
      </c>
      <c r="B551" s="3">
        <v>10</v>
      </c>
      <c r="C551" s="3">
        <f t="shared" si="24"/>
        <v>10</v>
      </c>
      <c r="D551" s="3">
        <f t="shared" si="26"/>
        <v>100</v>
      </c>
      <c r="E551" s="3">
        <f t="shared" si="25"/>
        <v>100</v>
      </c>
    </row>
    <row r="552" spans="1:5">
      <c r="A552" s="3">
        <v>55</v>
      </c>
      <c r="B552" s="3">
        <v>10</v>
      </c>
      <c r="C552" s="3">
        <f t="shared" si="24"/>
        <v>10</v>
      </c>
      <c r="D552" s="3">
        <f t="shared" si="26"/>
        <v>100</v>
      </c>
      <c r="E552" s="3">
        <f t="shared" si="25"/>
        <v>100</v>
      </c>
    </row>
    <row r="553" spans="1:5">
      <c r="A553" s="3">
        <v>55.1</v>
      </c>
      <c r="B553" s="3">
        <v>10</v>
      </c>
      <c r="C553" s="3">
        <f t="shared" si="24"/>
        <v>10</v>
      </c>
      <c r="D553" s="3">
        <f t="shared" si="26"/>
        <v>100</v>
      </c>
      <c r="E553" s="3">
        <f t="shared" si="25"/>
        <v>100</v>
      </c>
    </row>
    <row r="554" spans="1:5">
      <c r="A554" s="3">
        <v>55.2</v>
      </c>
      <c r="B554" s="3">
        <v>10</v>
      </c>
      <c r="C554" s="3">
        <f t="shared" si="24"/>
        <v>10</v>
      </c>
      <c r="D554" s="3">
        <f t="shared" si="26"/>
        <v>100</v>
      </c>
      <c r="E554" s="3">
        <f t="shared" si="25"/>
        <v>100</v>
      </c>
    </row>
    <row r="555" spans="1:5">
      <c r="A555" s="3">
        <v>55.3</v>
      </c>
      <c r="B555" s="3">
        <v>10</v>
      </c>
      <c r="C555" s="3">
        <f t="shared" si="24"/>
        <v>10</v>
      </c>
      <c r="D555" s="3">
        <f t="shared" si="26"/>
        <v>100</v>
      </c>
      <c r="E555" s="3">
        <f t="shared" si="25"/>
        <v>100</v>
      </c>
    </row>
    <row r="556" spans="1:5">
      <c r="A556" s="3">
        <v>55.4</v>
      </c>
      <c r="B556" s="3">
        <v>10</v>
      </c>
      <c r="C556" s="3">
        <f t="shared" si="24"/>
        <v>10</v>
      </c>
      <c r="D556" s="3">
        <f t="shared" si="26"/>
        <v>100</v>
      </c>
      <c r="E556" s="3">
        <f t="shared" si="25"/>
        <v>100</v>
      </c>
    </row>
    <row r="557" spans="1:5">
      <c r="A557" s="3">
        <v>55.5</v>
      </c>
      <c r="B557" s="3">
        <v>10</v>
      </c>
      <c r="C557" s="3">
        <f t="shared" si="24"/>
        <v>10</v>
      </c>
      <c r="D557" s="3">
        <f t="shared" si="26"/>
        <v>100</v>
      </c>
      <c r="E557" s="3">
        <f t="shared" si="25"/>
        <v>100</v>
      </c>
    </row>
    <row r="558" spans="1:5">
      <c r="A558" s="3">
        <v>55.6</v>
      </c>
      <c r="B558" s="3">
        <v>10</v>
      </c>
      <c r="C558" s="3">
        <f t="shared" si="24"/>
        <v>10</v>
      </c>
      <c r="D558" s="3">
        <f t="shared" si="26"/>
        <v>100</v>
      </c>
      <c r="E558" s="3">
        <f t="shared" si="25"/>
        <v>100</v>
      </c>
    </row>
    <row r="559" spans="1:5">
      <c r="A559" s="3">
        <v>55.7</v>
      </c>
      <c r="B559" s="3">
        <v>10</v>
      </c>
      <c r="C559" s="3">
        <f t="shared" si="24"/>
        <v>10</v>
      </c>
      <c r="D559" s="3">
        <f t="shared" si="26"/>
        <v>100</v>
      </c>
      <c r="E559" s="3">
        <f t="shared" si="25"/>
        <v>100</v>
      </c>
    </row>
    <row r="560" spans="1:5">
      <c r="A560" s="3">
        <v>55.8</v>
      </c>
      <c r="B560" s="3">
        <v>10</v>
      </c>
      <c r="C560" s="3">
        <f t="shared" si="24"/>
        <v>10</v>
      </c>
      <c r="D560" s="3">
        <f t="shared" si="26"/>
        <v>100</v>
      </c>
      <c r="E560" s="3">
        <f t="shared" si="25"/>
        <v>100</v>
      </c>
    </row>
    <row r="561" spans="1:5">
      <c r="A561" s="3">
        <v>55.9</v>
      </c>
      <c r="B561" s="3">
        <v>10</v>
      </c>
      <c r="C561" s="3">
        <f t="shared" si="24"/>
        <v>10</v>
      </c>
      <c r="D561" s="3">
        <f t="shared" si="26"/>
        <v>100</v>
      </c>
      <c r="E561" s="3">
        <f t="shared" si="25"/>
        <v>100</v>
      </c>
    </row>
    <row r="562" spans="1:5">
      <c r="A562" s="3">
        <v>56</v>
      </c>
      <c r="B562" s="3">
        <v>10</v>
      </c>
      <c r="C562" s="3">
        <f t="shared" si="24"/>
        <v>10</v>
      </c>
      <c r="D562" s="3">
        <f t="shared" si="26"/>
        <v>100</v>
      </c>
      <c r="E562" s="3">
        <f t="shared" si="25"/>
        <v>100</v>
      </c>
    </row>
    <row r="563" spans="1:5">
      <c r="A563" s="3">
        <v>56.1</v>
      </c>
      <c r="B563" s="3">
        <v>10</v>
      </c>
      <c r="C563" s="3">
        <f t="shared" si="24"/>
        <v>10</v>
      </c>
      <c r="D563" s="3">
        <f t="shared" si="26"/>
        <v>100</v>
      </c>
      <c r="E563" s="3">
        <f t="shared" si="25"/>
        <v>100</v>
      </c>
    </row>
    <row r="564" spans="1:5">
      <c r="A564" s="3">
        <v>56.2</v>
      </c>
      <c r="B564" s="3">
        <v>10</v>
      </c>
      <c r="C564" s="3">
        <f t="shared" si="24"/>
        <v>10</v>
      </c>
      <c r="D564" s="3">
        <f t="shared" si="26"/>
        <v>100</v>
      </c>
      <c r="E564" s="3">
        <f t="shared" si="25"/>
        <v>100</v>
      </c>
    </row>
    <row r="565" spans="1:5">
      <c r="A565" s="3">
        <v>56.3</v>
      </c>
      <c r="B565" s="3">
        <v>10</v>
      </c>
      <c r="C565" s="3">
        <f t="shared" si="24"/>
        <v>10</v>
      </c>
      <c r="D565" s="3">
        <f t="shared" si="26"/>
        <v>100</v>
      </c>
      <c r="E565" s="3">
        <f t="shared" si="25"/>
        <v>100</v>
      </c>
    </row>
    <row r="566" spans="1:5">
      <c r="A566" s="3">
        <v>56.4</v>
      </c>
      <c r="B566" s="3">
        <v>10</v>
      </c>
      <c r="C566" s="3">
        <f t="shared" si="24"/>
        <v>10</v>
      </c>
      <c r="D566" s="3">
        <f t="shared" si="26"/>
        <v>100</v>
      </c>
      <c r="E566" s="3">
        <f t="shared" si="25"/>
        <v>100</v>
      </c>
    </row>
    <row r="567" spans="1:5">
      <c r="A567" s="3">
        <v>56.5</v>
      </c>
      <c r="B567" s="3">
        <v>10</v>
      </c>
      <c r="C567" s="3">
        <f t="shared" si="24"/>
        <v>10</v>
      </c>
      <c r="D567" s="3">
        <f t="shared" si="26"/>
        <v>100</v>
      </c>
      <c r="E567" s="3">
        <f t="shared" si="25"/>
        <v>100</v>
      </c>
    </row>
    <row r="568" spans="1:5">
      <c r="A568" s="3">
        <v>56.6</v>
      </c>
      <c r="B568" s="3">
        <v>10</v>
      </c>
      <c r="C568" s="3">
        <f t="shared" si="24"/>
        <v>10</v>
      </c>
      <c r="D568" s="3">
        <f t="shared" si="26"/>
        <v>100</v>
      </c>
      <c r="E568" s="3">
        <f t="shared" si="25"/>
        <v>100</v>
      </c>
    </row>
    <row r="569" spans="1:5">
      <c r="A569" s="3">
        <v>56.7</v>
      </c>
      <c r="B569" s="3">
        <v>10</v>
      </c>
      <c r="C569" s="3">
        <f t="shared" si="24"/>
        <v>10</v>
      </c>
      <c r="D569" s="3">
        <f t="shared" si="26"/>
        <v>100</v>
      </c>
      <c r="E569" s="3">
        <f t="shared" si="25"/>
        <v>100</v>
      </c>
    </row>
    <row r="570" spans="1:5">
      <c r="A570" s="3">
        <v>56.8</v>
      </c>
      <c r="B570" s="3">
        <v>10</v>
      </c>
      <c r="C570" s="3">
        <f t="shared" si="24"/>
        <v>10</v>
      </c>
      <c r="D570" s="3">
        <f t="shared" si="26"/>
        <v>100</v>
      </c>
      <c r="E570" s="3">
        <f t="shared" si="25"/>
        <v>100</v>
      </c>
    </row>
    <row r="571" spans="1:5">
      <c r="A571" s="3">
        <v>56.9</v>
      </c>
      <c r="B571" s="3">
        <v>10</v>
      </c>
      <c r="C571" s="3">
        <f t="shared" si="24"/>
        <v>10</v>
      </c>
      <c r="D571" s="3">
        <f t="shared" si="26"/>
        <v>100</v>
      </c>
      <c r="E571" s="3">
        <f t="shared" si="25"/>
        <v>100</v>
      </c>
    </row>
    <row r="572" spans="1:5">
      <c r="A572" s="3">
        <v>57</v>
      </c>
      <c r="B572" s="3">
        <v>10</v>
      </c>
      <c r="C572" s="3">
        <f t="shared" si="24"/>
        <v>10</v>
      </c>
      <c r="D572" s="3">
        <f t="shared" si="26"/>
        <v>100</v>
      </c>
      <c r="E572" s="3">
        <f t="shared" si="25"/>
        <v>100</v>
      </c>
    </row>
    <row r="573" spans="1:5">
      <c r="A573" s="3">
        <v>57.1</v>
      </c>
      <c r="B573" s="3">
        <v>10</v>
      </c>
      <c r="C573" s="3">
        <f t="shared" si="24"/>
        <v>10</v>
      </c>
      <c r="D573" s="3">
        <f t="shared" si="26"/>
        <v>100</v>
      </c>
      <c r="E573" s="3">
        <f t="shared" si="25"/>
        <v>100</v>
      </c>
    </row>
    <row r="574" spans="1:5">
      <c r="A574" s="3">
        <v>57.2</v>
      </c>
      <c r="B574" s="3">
        <v>10</v>
      </c>
      <c r="C574" s="3">
        <f t="shared" si="24"/>
        <v>10</v>
      </c>
      <c r="D574" s="3">
        <f t="shared" si="26"/>
        <v>100</v>
      </c>
      <c r="E574" s="3">
        <f t="shared" si="25"/>
        <v>100</v>
      </c>
    </row>
    <row r="575" spans="1:5">
      <c r="A575" s="3">
        <v>57.3</v>
      </c>
      <c r="B575" s="3">
        <v>10</v>
      </c>
      <c r="C575" s="3">
        <f t="shared" si="24"/>
        <v>10</v>
      </c>
      <c r="D575" s="3">
        <f t="shared" si="26"/>
        <v>100</v>
      </c>
      <c r="E575" s="3">
        <f t="shared" si="25"/>
        <v>100</v>
      </c>
    </row>
    <row r="576" spans="1:5">
      <c r="A576" s="3">
        <v>57.4</v>
      </c>
      <c r="B576" s="3">
        <v>10</v>
      </c>
      <c r="C576" s="3">
        <f t="shared" si="24"/>
        <v>10</v>
      </c>
      <c r="D576" s="3">
        <f t="shared" si="26"/>
        <v>100</v>
      </c>
      <c r="E576" s="3">
        <f t="shared" si="25"/>
        <v>100</v>
      </c>
    </row>
    <row r="577" spans="1:5">
      <c r="A577" s="3">
        <v>57.5</v>
      </c>
      <c r="B577" s="3">
        <v>10</v>
      </c>
      <c r="C577" s="3">
        <f t="shared" si="24"/>
        <v>10</v>
      </c>
      <c r="D577" s="3">
        <f t="shared" si="26"/>
        <v>100</v>
      </c>
      <c r="E577" s="3">
        <f t="shared" si="25"/>
        <v>100</v>
      </c>
    </row>
    <row r="578" spans="1:5">
      <c r="A578" s="3">
        <v>57.6</v>
      </c>
      <c r="B578" s="3">
        <v>10</v>
      </c>
      <c r="C578" s="3">
        <f t="shared" ref="C578:C641" si="27">ROUND(SQRT(E578),2)</f>
        <v>10</v>
      </c>
      <c r="D578" s="3">
        <f t="shared" si="26"/>
        <v>100</v>
      </c>
      <c r="E578" s="3">
        <f t="shared" ref="E578:E641" si="28">MIN(D578, E579+$H$4)</f>
        <v>100</v>
      </c>
    </row>
    <row r="579" spans="1:5">
      <c r="A579" s="3">
        <v>57.7</v>
      </c>
      <c r="B579" s="3">
        <v>10</v>
      </c>
      <c r="C579" s="3">
        <f t="shared" si="27"/>
        <v>10</v>
      </c>
      <c r="D579" s="3">
        <f t="shared" ref="D579:D642" si="29">MIN(B579^2, D578+$H$4)</f>
        <v>100</v>
      </c>
      <c r="E579" s="3">
        <f t="shared" si="28"/>
        <v>100</v>
      </c>
    </row>
    <row r="580" spans="1:5">
      <c r="A580" s="3">
        <v>57.8</v>
      </c>
      <c r="B580" s="3">
        <v>10</v>
      </c>
      <c r="C580" s="3">
        <f t="shared" si="27"/>
        <v>10</v>
      </c>
      <c r="D580" s="3">
        <f t="shared" si="29"/>
        <v>100</v>
      </c>
      <c r="E580" s="3">
        <f t="shared" si="28"/>
        <v>100</v>
      </c>
    </row>
    <row r="581" spans="1:5">
      <c r="A581" s="3">
        <v>57.9</v>
      </c>
      <c r="B581" s="3">
        <v>10</v>
      </c>
      <c r="C581" s="3">
        <f t="shared" si="27"/>
        <v>10</v>
      </c>
      <c r="D581" s="3">
        <f t="shared" si="29"/>
        <v>100</v>
      </c>
      <c r="E581" s="3">
        <f t="shared" si="28"/>
        <v>100</v>
      </c>
    </row>
    <row r="582" spans="1:5">
      <c r="A582" s="3">
        <v>58</v>
      </c>
      <c r="B582" s="3">
        <v>10</v>
      </c>
      <c r="C582" s="3">
        <f t="shared" si="27"/>
        <v>10</v>
      </c>
      <c r="D582" s="3">
        <f t="shared" si="29"/>
        <v>100</v>
      </c>
      <c r="E582" s="3">
        <f t="shared" si="28"/>
        <v>100</v>
      </c>
    </row>
    <row r="583" spans="1:5">
      <c r="A583" s="3">
        <v>58.1</v>
      </c>
      <c r="B583" s="3">
        <v>10</v>
      </c>
      <c r="C583" s="3">
        <f t="shared" si="27"/>
        <v>10</v>
      </c>
      <c r="D583" s="3">
        <f t="shared" si="29"/>
        <v>100</v>
      </c>
      <c r="E583" s="3">
        <f t="shared" si="28"/>
        <v>100</v>
      </c>
    </row>
    <row r="584" spans="1:5">
      <c r="A584" s="3">
        <v>58.2</v>
      </c>
      <c r="B584" s="3">
        <v>10</v>
      </c>
      <c r="C584" s="3">
        <f t="shared" si="27"/>
        <v>10</v>
      </c>
      <c r="D584" s="3">
        <f t="shared" si="29"/>
        <v>100</v>
      </c>
      <c r="E584" s="3">
        <f t="shared" si="28"/>
        <v>100</v>
      </c>
    </row>
    <row r="585" spans="1:5">
      <c r="A585" s="3">
        <v>58.3</v>
      </c>
      <c r="B585" s="3">
        <v>10</v>
      </c>
      <c r="C585" s="3">
        <f t="shared" si="27"/>
        <v>10</v>
      </c>
      <c r="D585" s="3">
        <f t="shared" si="29"/>
        <v>100</v>
      </c>
      <c r="E585" s="3">
        <f t="shared" si="28"/>
        <v>100</v>
      </c>
    </row>
    <row r="586" spans="1:5">
      <c r="A586" s="3">
        <v>58.4</v>
      </c>
      <c r="B586" s="3">
        <v>10</v>
      </c>
      <c r="C586" s="3">
        <f t="shared" si="27"/>
        <v>10</v>
      </c>
      <c r="D586" s="3">
        <f t="shared" si="29"/>
        <v>100</v>
      </c>
      <c r="E586" s="3">
        <f t="shared" si="28"/>
        <v>100</v>
      </c>
    </row>
    <row r="587" spans="1:5">
      <c r="A587" s="3">
        <v>58.5</v>
      </c>
      <c r="B587" s="3">
        <v>10</v>
      </c>
      <c r="C587" s="3">
        <f t="shared" si="27"/>
        <v>10</v>
      </c>
      <c r="D587" s="3">
        <f t="shared" si="29"/>
        <v>100</v>
      </c>
      <c r="E587" s="3">
        <f t="shared" si="28"/>
        <v>100</v>
      </c>
    </row>
    <row r="588" spans="1:5">
      <c r="A588" s="3">
        <v>58.6</v>
      </c>
      <c r="B588" s="3">
        <v>10</v>
      </c>
      <c r="C588" s="3">
        <f t="shared" si="27"/>
        <v>10</v>
      </c>
      <c r="D588" s="3">
        <f t="shared" si="29"/>
        <v>100</v>
      </c>
      <c r="E588" s="3">
        <f t="shared" si="28"/>
        <v>100</v>
      </c>
    </row>
    <row r="589" spans="1:5">
      <c r="A589" s="3">
        <v>58.7</v>
      </c>
      <c r="B589" s="3">
        <v>25</v>
      </c>
      <c r="C589" s="3">
        <f t="shared" si="27"/>
        <v>16.73</v>
      </c>
      <c r="D589" s="3">
        <f t="shared" si="29"/>
        <v>280</v>
      </c>
      <c r="E589" s="3">
        <f t="shared" si="28"/>
        <v>280</v>
      </c>
    </row>
    <row r="590" spans="1:5">
      <c r="A590" s="3">
        <v>58.8</v>
      </c>
      <c r="B590" s="3">
        <v>25</v>
      </c>
      <c r="C590" s="3">
        <f t="shared" si="27"/>
        <v>21.45</v>
      </c>
      <c r="D590" s="3">
        <f t="shared" si="29"/>
        <v>460</v>
      </c>
      <c r="E590" s="3">
        <f t="shared" si="28"/>
        <v>460</v>
      </c>
    </row>
    <row r="591" spans="1:5">
      <c r="A591" s="3">
        <v>58.9</v>
      </c>
      <c r="B591" s="3">
        <v>25</v>
      </c>
      <c r="C591" s="3">
        <f t="shared" si="27"/>
        <v>25</v>
      </c>
      <c r="D591" s="3">
        <f t="shared" si="29"/>
        <v>625</v>
      </c>
      <c r="E591" s="3">
        <f t="shared" si="28"/>
        <v>625</v>
      </c>
    </row>
    <row r="592" spans="1:5">
      <c r="A592" s="3">
        <v>59</v>
      </c>
      <c r="B592" s="3">
        <v>25</v>
      </c>
      <c r="C592" s="3">
        <f t="shared" si="27"/>
        <v>25</v>
      </c>
      <c r="D592" s="3">
        <f t="shared" si="29"/>
        <v>625</v>
      </c>
      <c r="E592" s="3">
        <f t="shared" si="28"/>
        <v>625</v>
      </c>
    </row>
    <row r="593" spans="1:5">
      <c r="A593" s="3">
        <v>59.1</v>
      </c>
      <c r="B593" s="3">
        <v>25</v>
      </c>
      <c r="C593" s="3">
        <f t="shared" si="27"/>
        <v>25</v>
      </c>
      <c r="D593" s="3">
        <f t="shared" si="29"/>
        <v>625</v>
      </c>
      <c r="E593" s="3">
        <f t="shared" si="28"/>
        <v>625</v>
      </c>
    </row>
    <row r="594" spans="1:5">
      <c r="A594" s="3">
        <v>59.2</v>
      </c>
      <c r="B594" s="3">
        <v>25</v>
      </c>
      <c r="C594" s="3">
        <f t="shared" si="27"/>
        <v>25</v>
      </c>
      <c r="D594" s="3">
        <f t="shared" si="29"/>
        <v>625</v>
      </c>
      <c r="E594" s="3">
        <f t="shared" si="28"/>
        <v>625</v>
      </c>
    </row>
    <row r="595" spans="1:5">
      <c r="A595" s="3">
        <v>59.3</v>
      </c>
      <c r="B595" s="3">
        <v>25</v>
      </c>
      <c r="C595" s="3">
        <f t="shared" si="27"/>
        <v>25</v>
      </c>
      <c r="D595" s="3">
        <f t="shared" si="29"/>
        <v>625</v>
      </c>
      <c r="E595" s="3">
        <f t="shared" si="28"/>
        <v>625</v>
      </c>
    </row>
    <row r="596" spans="1:5">
      <c r="A596" s="3">
        <v>59.4</v>
      </c>
      <c r="B596" s="3">
        <v>25</v>
      </c>
      <c r="C596" s="3">
        <f t="shared" si="27"/>
        <v>25</v>
      </c>
      <c r="D596" s="3">
        <f t="shared" si="29"/>
        <v>625</v>
      </c>
      <c r="E596" s="3">
        <f t="shared" si="28"/>
        <v>625</v>
      </c>
    </row>
    <row r="597" spans="1:5">
      <c r="A597" s="3">
        <v>59.5</v>
      </c>
      <c r="B597" s="3">
        <v>25</v>
      </c>
      <c r="C597" s="3">
        <f t="shared" si="27"/>
        <v>25</v>
      </c>
      <c r="D597" s="3">
        <f t="shared" si="29"/>
        <v>625</v>
      </c>
      <c r="E597" s="3">
        <f t="shared" si="28"/>
        <v>625</v>
      </c>
    </row>
    <row r="598" spans="1:5">
      <c r="A598" s="3">
        <v>59.6</v>
      </c>
      <c r="B598" s="3">
        <v>25</v>
      </c>
      <c r="C598" s="3">
        <f t="shared" si="27"/>
        <v>25</v>
      </c>
      <c r="D598" s="3">
        <f t="shared" si="29"/>
        <v>625</v>
      </c>
      <c r="E598" s="3">
        <f t="shared" si="28"/>
        <v>625</v>
      </c>
    </row>
    <row r="599" spans="1:5">
      <c r="A599" s="3">
        <v>59.7</v>
      </c>
      <c r="B599" s="3">
        <v>25</v>
      </c>
      <c r="C599" s="3">
        <f t="shared" si="27"/>
        <v>25</v>
      </c>
      <c r="D599" s="3">
        <f t="shared" si="29"/>
        <v>625</v>
      </c>
      <c r="E599" s="3">
        <f t="shared" si="28"/>
        <v>625</v>
      </c>
    </row>
    <row r="600" spans="1:5">
      <c r="A600" s="3">
        <v>59.8</v>
      </c>
      <c r="B600" s="3">
        <v>25</v>
      </c>
      <c r="C600" s="3">
        <f t="shared" si="27"/>
        <v>25</v>
      </c>
      <c r="D600" s="3">
        <f t="shared" si="29"/>
        <v>625</v>
      </c>
      <c r="E600" s="3">
        <f t="shared" si="28"/>
        <v>625</v>
      </c>
    </row>
    <row r="601" spans="1:5">
      <c r="A601" s="3">
        <v>59.9</v>
      </c>
      <c r="B601" s="3">
        <v>25</v>
      </c>
      <c r="C601" s="3">
        <f t="shared" si="27"/>
        <v>25</v>
      </c>
      <c r="D601" s="3">
        <f t="shared" si="29"/>
        <v>625</v>
      </c>
      <c r="E601" s="3">
        <f t="shared" si="28"/>
        <v>625</v>
      </c>
    </row>
    <row r="602" spans="1:5">
      <c r="A602" s="3">
        <v>60</v>
      </c>
      <c r="B602" s="3">
        <v>25</v>
      </c>
      <c r="C602" s="3">
        <f t="shared" si="27"/>
        <v>25</v>
      </c>
      <c r="D602" s="3">
        <f t="shared" si="29"/>
        <v>625</v>
      </c>
      <c r="E602" s="3">
        <f t="shared" si="28"/>
        <v>625</v>
      </c>
    </row>
    <row r="603" spans="1:5">
      <c r="A603" s="3">
        <v>60.1</v>
      </c>
      <c r="B603" s="3">
        <v>25</v>
      </c>
      <c r="C603" s="3">
        <f t="shared" si="27"/>
        <v>25</v>
      </c>
      <c r="D603" s="3">
        <f t="shared" si="29"/>
        <v>625</v>
      </c>
      <c r="E603" s="3">
        <f t="shared" si="28"/>
        <v>625</v>
      </c>
    </row>
    <row r="604" spans="1:5">
      <c r="A604" s="3">
        <v>60.2</v>
      </c>
      <c r="B604" s="3">
        <v>25</v>
      </c>
      <c r="C604" s="3">
        <f t="shared" si="27"/>
        <v>25</v>
      </c>
      <c r="D604" s="3">
        <f t="shared" si="29"/>
        <v>625</v>
      </c>
      <c r="E604" s="3">
        <f t="shared" si="28"/>
        <v>625</v>
      </c>
    </row>
    <row r="605" spans="1:5">
      <c r="A605" s="3">
        <v>60.3</v>
      </c>
      <c r="B605" s="3">
        <v>25</v>
      </c>
      <c r="C605" s="3">
        <f t="shared" si="27"/>
        <v>25</v>
      </c>
      <c r="D605" s="3">
        <f t="shared" si="29"/>
        <v>625</v>
      </c>
      <c r="E605" s="3">
        <f t="shared" si="28"/>
        <v>625</v>
      </c>
    </row>
    <row r="606" spans="1:5">
      <c r="A606" s="3">
        <v>60.4</v>
      </c>
      <c r="B606" s="3">
        <v>25</v>
      </c>
      <c r="C606" s="3">
        <f t="shared" si="27"/>
        <v>25</v>
      </c>
      <c r="D606" s="3">
        <f t="shared" si="29"/>
        <v>625</v>
      </c>
      <c r="E606" s="3">
        <f t="shared" si="28"/>
        <v>625</v>
      </c>
    </row>
    <row r="607" spans="1:5">
      <c r="A607" s="3">
        <v>60.5</v>
      </c>
      <c r="B607" s="3">
        <v>25</v>
      </c>
      <c r="C607" s="3">
        <f t="shared" si="27"/>
        <v>25</v>
      </c>
      <c r="D607" s="3">
        <f t="shared" si="29"/>
        <v>625</v>
      </c>
      <c r="E607" s="3">
        <f t="shared" si="28"/>
        <v>625</v>
      </c>
    </row>
    <row r="608" spans="1:5">
      <c r="A608" s="3">
        <v>60.6</v>
      </c>
      <c r="B608" s="3">
        <v>25</v>
      </c>
      <c r="C608" s="3">
        <f t="shared" si="27"/>
        <v>25</v>
      </c>
      <c r="D608" s="3">
        <f t="shared" si="29"/>
        <v>625</v>
      </c>
      <c r="E608" s="3">
        <f t="shared" si="28"/>
        <v>625</v>
      </c>
    </row>
    <row r="609" spans="1:5">
      <c r="A609" s="3">
        <v>60.7</v>
      </c>
      <c r="B609" s="3">
        <v>25</v>
      </c>
      <c r="C609" s="3">
        <f t="shared" si="27"/>
        <v>25</v>
      </c>
      <c r="D609" s="3">
        <f t="shared" si="29"/>
        <v>625</v>
      </c>
      <c r="E609" s="3">
        <f t="shared" si="28"/>
        <v>625</v>
      </c>
    </row>
    <row r="610" spans="1:5">
      <c r="A610" s="3">
        <v>60.8</v>
      </c>
      <c r="B610" s="3">
        <v>25</v>
      </c>
      <c r="C610" s="3">
        <f t="shared" si="27"/>
        <v>25</v>
      </c>
      <c r="D610" s="3">
        <f t="shared" si="29"/>
        <v>625</v>
      </c>
      <c r="E610" s="3">
        <f t="shared" si="28"/>
        <v>625</v>
      </c>
    </row>
    <row r="611" spans="1:5">
      <c r="A611" s="3">
        <v>60.9</v>
      </c>
      <c r="B611" s="3">
        <v>25</v>
      </c>
      <c r="C611" s="3">
        <f t="shared" si="27"/>
        <v>25</v>
      </c>
      <c r="D611" s="3">
        <f t="shared" si="29"/>
        <v>625</v>
      </c>
      <c r="E611" s="3">
        <f t="shared" si="28"/>
        <v>625</v>
      </c>
    </row>
    <row r="612" spans="1:5">
      <c r="A612" s="3">
        <v>61</v>
      </c>
      <c r="B612" s="3">
        <v>25</v>
      </c>
      <c r="C612" s="3">
        <f t="shared" si="27"/>
        <v>25</v>
      </c>
      <c r="D612" s="3">
        <f t="shared" si="29"/>
        <v>625</v>
      </c>
      <c r="E612" s="3">
        <f t="shared" si="28"/>
        <v>625</v>
      </c>
    </row>
    <row r="613" spans="1:5">
      <c r="A613" s="3">
        <v>61.1</v>
      </c>
      <c r="B613" s="3">
        <v>25</v>
      </c>
      <c r="C613" s="3">
        <f t="shared" si="27"/>
        <v>25</v>
      </c>
      <c r="D613" s="3">
        <f t="shared" si="29"/>
        <v>625</v>
      </c>
      <c r="E613" s="3">
        <f t="shared" si="28"/>
        <v>625</v>
      </c>
    </row>
    <row r="614" spans="1:5">
      <c r="A614" s="3">
        <v>61.2</v>
      </c>
      <c r="B614" s="3">
        <v>25</v>
      </c>
      <c r="C614" s="3">
        <f t="shared" si="27"/>
        <v>25</v>
      </c>
      <c r="D614" s="3">
        <f t="shared" si="29"/>
        <v>625</v>
      </c>
      <c r="E614" s="3">
        <f t="shared" si="28"/>
        <v>625</v>
      </c>
    </row>
    <row r="615" spans="1:5">
      <c r="A615" s="3">
        <v>61.3</v>
      </c>
      <c r="B615" s="3">
        <v>25</v>
      </c>
      <c r="C615" s="3">
        <f t="shared" si="27"/>
        <v>25</v>
      </c>
      <c r="D615" s="3">
        <f t="shared" si="29"/>
        <v>625</v>
      </c>
      <c r="E615" s="3">
        <f t="shared" si="28"/>
        <v>625</v>
      </c>
    </row>
    <row r="616" spans="1:5">
      <c r="A616" s="3">
        <v>61.4</v>
      </c>
      <c r="B616" s="3">
        <v>25</v>
      </c>
      <c r="C616" s="3">
        <f t="shared" si="27"/>
        <v>25</v>
      </c>
      <c r="D616" s="3">
        <f t="shared" si="29"/>
        <v>625</v>
      </c>
      <c r="E616" s="3">
        <f t="shared" si="28"/>
        <v>625</v>
      </c>
    </row>
    <row r="617" spans="1:5">
      <c r="A617" s="3">
        <v>61.5</v>
      </c>
      <c r="B617" s="3">
        <v>25</v>
      </c>
      <c r="C617" s="3">
        <f t="shared" si="27"/>
        <v>25</v>
      </c>
      <c r="D617" s="3">
        <f t="shared" si="29"/>
        <v>625</v>
      </c>
      <c r="E617" s="3">
        <f t="shared" si="28"/>
        <v>625</v>
      </c>
    </row>
    <row r="618" spans="1:5">
      <c r="A618" s="3">
        <v>61.6</v>
      </c>
      <c r="B618" s="3">
        <v>25</v>
      </c>
      <c r="C618" s="3">
        <f t="shared" si="27"/>
        <v>25</v>
      </c>
      <c r="D618" s="3">
        <f t="shared" si="29"/>
        <v>625</v>
      </c>
      <c r="E618" s="3">
        <f t="shared" si="28"/>
        <v>625</v>
      </c>
    </row>
    <row r="619" spans="1:5">
      <c r="A619" s="3">
        <v>61.7</v>
      </c>
      <c r="B619" s="3">
        <v>25</v>
      </c>
      <c r="C619" s="3">
        <f t="shared" si="27"/>
        <v>25</v>
      </c>
      <c r="D619" s="3">
        <f t="shared" si="29"/>
        <v>625</v>
      </c>
      <c r="E619" s="3">
        <f t="shared" si="28"/>
        <v>625</v>
      </c>
    </row>
    <row r="620" spans="1:5">
      <c r="A620" s="3">
        <v>61.8</v>
      </c>
      <c r="B620" s="3">
        <v>25</v>
      </c>
      <c r="C620" s="3">
        <f t="shared" si="27"/>
        <v>25</v>
      </c>
      <c r="D620" s="3">
        <f t="shared" si="29"/>
        <v>625</v>
      </c>
      <c r="E620" s="3">
        <f t="shared" si="28"/>
        <v>625</v>
      </c>
    </row>
    <row r="621" spans="1:5">
      <c r="A621" s="3">
        <v>61.9</v>
      </c>
      <c r="B621" s="3">
        <v>25</v>
      </c>
      <c r="C621" s="3">
        <f t="shared" si="27"/>
        <v>25</v>
      </c>
      <c r="D621" s="3">
        <f t="shared" si="29"/>
        <v>625</v>
      </c>
      <c r="E621" s="3">
        <f t="shared" si="28"/>
        <v>625</v>
      </c>
    </row>
    <row r="622" spans="1:5">
      <c r="A622" s="3">
        <v>62</v>
      </c>
      <c r="B622" s="3">
        <v>25</v>
      </c>
      <c r="C622" s="3">
        <f t="shared" si="27"/>
        <v>25</v>
      </c>
      <c r="D622" s="3">
        <f t="shared" si="29"/>
        <v>625</v>
      </c>
      <c r="E622" s="3">
        <f t="shared" si="28"/>
        <v>625</v>
      </c>
    </row>
    <row r="623" spans="1:5">
      <c r="A623" s="3">
        <v>62.1</v>
      </c>
      <c r="B623" s="3">
        <v>25</v>
      </c>
      <c r="C623" s="3">
        <f t="shared" si="27"/>
        <v>25</v>
      </c>
      <c r="D623" s="3">
        <f t="shared" si="29"/>
        <v>625</v>
      </c>
      <c r="E623" s="3">
        <f t="shared" si="28"/>
        <v>625</v>
      </c>
    </row>
    <row r="624" spans="1:5">
      <c r="A624" s="3">
        <v>62.2</v>
      </c>
      <c r="B624" s="3">
        <v>25</v>
      </c>
      <c r="C624" s="3">
        <f t="shared" si="27"/>
        <v>25</v>
      </c>
      <c r="D624" s="3">
        <f t="shared" si="29"/>
        <v>625</v>
      </c>
      <c r="E624" s="3">
        <f t="shared" si="28"/>
        <v>625</v>
      </c>
    </row>
    <row r="625" spans="1:5">
      <c r="A625" s="3">
        <v>62.3</v>
      </c>
      <c r="B625" s="3">
        <v>25</v>
      </c>
      <c r="C625" s="3">
        <f t="shared" si="27"/>
        <v>25</v>
      </c>
      <c r="D625" s="3">
        <f t="shared" si="29"/>
        <v>625</v>
      </c>
      <c r="E625" s="3">
        <f t="shared" si="28"/>
        <v>625</v>
      </c>
    </row>
    <row r="626" spans="1:5">
      <c r="A626" s="3">
        <v>62.4</v>
      </c>
      <c r="B626" s="3">
        <v>25</v>
      </c>
      <c r="C626" s="3">
        <f t="shared" si="27"/>
        <v>25</v>
      </c>
      <c r="D626" s="3">
        <f t="shared" si="29"/>
        <v>625</v>
      </c>
      <c r="E626" s="3">
        <f t="shared" si="28"/>
        <v>625</v>
      </c>
    </row>
    <row r="627" spans="1:5">
      <c r="A627" s="3">
        <v>62.5</v>
      </c>
      <c r="B627" s="3">
        <v>25</v>
      </c>
      <c r="C627" s="3">
        <f t="shared" si="27"/>
        <v>25</v>
      </c>
      <c r="D627" s="3">
        <f t="shared" si="29"/>
        <v>625</v>
      </c>
      <c r="E627" s="3">
        <f t="shared" si="28"/>
        <v>625</v>
      </c>
    </row>
    <row r="628" spans="1:5">
      <c r="A628" s="3">
        <v>62.6</v>
      </c>
      <c r="B628" s="3">
        <v>25</v>
      </c>
      <c r="C628" s="3">
        <f t="shared" si="27"/>
        <v>25</v>
      </c>
      <c r="D628" s="3">
        <f t="shared" si="29"/>
        <v>625</v>
      </c>
      <c r="E628" s="3">
        <f t="shared" si="28"/>
        <v>625</v>
      </c>
    </row>
    <row r="629" spans="1:5">
      <c r="A629" s="3">
        <v>62.7</v>
      </c>
      <c r="B629" s="3">
        <v>25</v>
      </c>
      <c r="C629" s="3">
        <f t="shared" si="27"/>
        <v>25</v>
      </c>
      <c r="D629" s="3">
        <f t="shared" si="29"/>
        <v>625</v>
      </c>
      <c r="E629" s="3">
        <f t="shared" si="28"/>
        <v>625</v>
      </c>
    </row>
    <row r="630" spans="1:5">
      <c r="A630" s="3">
        <v>62.8</v>
      </c>
      <c r="B630" s="3">
        <v>25</v>
      </c>
      <c r="C630" s="3">
        <f t="shared" si="27"/>
        <v>25</v>
      </c>
      <c r="D630" s="3">
        <f t="shared" si="29"/>
        <v>625</v>
      </c>
      <c r="E630" s="3">
        <f t="shared" si="28"/>
        <v>625</v>
      </c>
    </row>
    <row r="631" spans="1:5">
      <c r="A631" s="3">
        <v>62.9</v>
      </c>
      <c r="B631" s="3">
        <v>25</v>
      </c>
      <c r="C631" s="3">
        <f t="shared" si="27"/>
        <v>25</v>
      </c>
      <c r="D631" s="3">
        <f t="shared" si="29"/>
        <v>625</v>
      </c>
      <c r="E631" s="3">
        <f t="shared" si="28"/>
        <v>625</v>
      </c>
    </row>
    <row r="632" spans="1:5">
      <c r="A632" s="3">
        <v>63</v>
      </c>
      <c r="B632" s="3">
        <v>25</v>
      </c>
      <c r="C632" s="3">
        <f t="shared" si="27"/>
        <v>25</v>
      </c>
      <c r="D632" s="3">
        <f t="shared" si="29"/>
        <v>625</v>
      </c>
      <c r="E632" s="3">
        <f t="shared" si="28"/>
        <v>625</v>
      </c>
    </row>
    <row r="633" spans="1:5">
      <c r="A633" s="3">
        <v>63.1</v>
      </c>
      <c r="B633" s="3">
        <v>25</v>
      </c>
      <c r="C633" s="3">
        <f t="shared" si="27"/>
        <v>25</v>
      </c>
      <c r="D633" s="3">
        <f t="shared" si="29"/>
        <v>625</v>
      </c>
      <c r="E633" s="3">
        <f t="shared" si="28"/>
        <v>625</v>
      </c>
    </row>
    <row r="634" spans="1:5">
      <c r="A634" s="3">
        <v>63.2</v>
      </c>
      <c r="B634" s="3">
        <v>25</v>
      </c>
      <c r="C634" s="3">
        <f t="shared" si="27"/>
        <v>25</v>
      </c>
      <c r="D634" s="3">
        <f t="shared" si="29"/>
        <v>625</v>
      </c>
      <c r="E634" s="3">
        <f t="shared" si="28"/>
        <v>625</v>
      </c>
    </row>
    <row r="635" spans="1:5">
      <c r="A635" s="3">
        <v>63.3</v>
      </c>
      <c r="B635" s="3">
        <v>25</v>
      </c>
      <c r="C635" s="3">
        <f t="shared" si="27"/>
        <v>25</v>
      </c>
      <c r="D635" s="3">
        <f t="shared" si="29"/>
        <v>625</v>
      </c>
      <c r="E635" s="3">
        <f t="shared" si="28"/>
        <v>625</v>
      </c>
    </row>
    <row r="636" spans="1:5">
      <c r="A636" s="3">
        <v>63.4</v>
      </c>
      <c r="B636" s="3">
        <v>25</v>
      </c>
      <c r="C636" s="3">
        <f t="shared" si="27"/>
        <v>25</v>
      </c>
      <c r="D636" s="3">
        <f t="shared" si="29"/>
        <v>625</v>
      </c>
      <c r="E636" s="3">
        <f t="shared" si="28"/>
        <v>625</v>
      </c>
    </row>
    <row r="637" spans="1:5">
      <c r="A637" s="3">
        <v>63.5</v>
      </c>
      <c r="B637" s="3">
        <v>25</v>
      </c>
      <c r="C637" s="3">
        <f t="shared" si="27"/>
        <v>25</v>
      </c>
      <c r="D637" s="3">
        <f t="shared" si="29"/>
        <v>625</v>
      </c>
      <c r="E637" s="3">
        <f t="shared" si="28"/>
        <v>625</v>
      </c>
    </row>
    <row r="638" spans="1:5">
      <c r="A638" s="3">
        <v>63.6</v>
      </c>
      <c r="B638" s="3">
        <v>25</v>
      </c>
      <c r="C638" s="3">
        <f t="shared" si="27"/>
        <v>25</v>
      </c>
      <c r="D638" s="3">
        <f t="shared" si="29"/>
        <v>625</v>
      </c>
      <c r="E638" s="3">
        <f t="shared" si="28"/>
        <v>625</v>
      </c>
    </row>
    <row r="639" spans="1:5">
      <c r="A639" s="3">
        <v>63.7</v>
      </c>
      <c r="B639" s="3">
        <v>25</v>
      </c>
      <c r="C639" s="3">
        <f t="shared" si="27"/>
        <v>25</v>
      </c>
      <c r="D639" s="3">
        <f t="shared" si="29"/>
        <v>625</v>
      </c>
      <c r="E639" s="3">
        <f t="shared" si="28"/>
        <v>625</v>
      </c>
    </row>
    <row r="640" spans="1:5">
      <c r="A640" s="3">
        <v>63.8</v>
      </c>
      <c r="B640" s="3">
        <v>25</v>
      </c>
      <c r="C640" s="3">
        <f t="shared" si="27"/>
        <v>25</v>
      </c>
      <c r="D640" s="3">
        <f t="shared" si="29"/>
        <v>625</v>
      </c>
      <c r="E640" s="3">
        <f t="shared" si="28"/>
        <v>625</v>
      </c>
    </row>
    <row r="641" spans="1:5">
      <c r="A641" s="3">
        <v>63.9</v>
      </c>
      <c r="B641" s="3">
        <v>25</v>
      </c>
      <c r="C641" s="3">
        <f t="shared" si="27"/>
        <v>25</v>
      </c>
      <c r="D641" s="3">
        <f t="shared" si="29"/>
        <v>625</v>
      </c>
      <c r="E641" s="3">
        <f t="shared" si="28"/>
        <v>625</v>
      </c>
    </row>
    <row r="642" spans="1:5">
      <c r="A642" s="3">
        <v>64</v>
      </c>
      <c r="B642" s="3">
        <v>25</v>
      </c>
      <c r="C642" s="3">
        <f t="shared" ref="C642:C705" si="30">ROUND(SQRT(E642),2)</f>
        <v>25</v>
      </c>
      <c r="D642" s="3">
        <f t="shared" si="29"/>
        <v>625</v>
      </c>
      <c r="E642" s="3">
        <f t="shared" ref="E642:E705" si="31">MIN(D642, E643+$H$4)</f>
        <v>625</v>
      </c>
    </row>
    <row r="643" spans="1:5">
      <c r="A643" s="3">
        <v>64.099999999999994</v>
      </c>
      <c r="B643" s="3">
        <v>25</v>
      </c>
      <c r="C643" s="3">
        <f t="shared" si="30"/>
        <v>25</v>
      </c>
      <c r="D643" s="3">
        <f t="shared" ref="D643:D706" si="32">MIN(B643^2, D642+$H$4)</f>
        <v>625</v>
      </c>
      <c r="E643" s="3">
        <f t="shared" si="31"/>
        <v>625</v>
      </c>
    </row>
    <row r="644" spans="1:5">
      <c r="A644" s="3">
        <v>64.2</v>
      </c>
      <c r="B644" s="3">
        <v>25</v>
      </c>
      <c r="C644" s="3">
        <f t="shared" si="30"/>
        <v>25</v>
      </c>
      <c r="D644" s="3">
        <f t="shared" si="32"/>
        <v>625</v>
      </c>
      <c r="E644" s="3">
        <f t="shared" si="31"/>
        <v>625</v>
      </c>
    </row>
    <row r="645" spans="1:5">
      <c r="A645" s="3">
        <v>64.3</v>
      </c>
      <c r="B645" s="3">
        <v>25</v>
      </c>
      <c r="C645" s="3">
        <f t="shared" si="30"/>
        <v>25</v>
      </c>
      <c r="D645" s="3">
        <f t="shared" si="32"/>
        <v>625</v>
      </c>
      <c r="E645" s="3">
        <f t="shared" si="31"/>
        <v>625</v>
      </c>
    </row>
    <row r="646" spans="1:5">
      <c r="A646" s="3">
        <v>64.400000000000006</v>
      </c>
      <c r="B646" s="3">
        <v>25</v>
      </c>
      <c r="C646" s="3">
        <f t="shared" si="30"/>
        <v>25</v>
      </c>
      <c r="D646" s="3">
        <f t="shared" si="32"/>
        <v>625</v>
      </c>
      <c r="E646" s="3">
        <f t="shared" si="31"/>
        <v>625</v>
      </c>
    </row>
    <row r="647" spans="1:5">
      <c r="A647" s="3">
        <v>64.5</v>
      </c>
      <c r="B647" s="3">
        <v>25</v>
      </c>
      <c r="C647" s="3">
        <f t="shared" si="30"/>
        <v>25</v>
      </c>
      <c r="D647" s="3">
        <f t="shared" si="32"/>
        <v>625</v>
      </c>
      <c r="E647" s="3">
        <f t="shared" si="31"/>
        <v>625</v>
      </c>
    </row>
    <row r="648" spans="1:5">
      <c r="A648" s="3">
        <v>64.599999999999994</v>
      </c>
      <c r="B648" s="3">
        <v>25</v>
      </c>
      <c r="C648" s="3">
        <f t="shared" si="30"/>
        <v>25</v>
      </c>
      <c r="D648" s="3">
        <f t="shared" si="32"/>
        <v>625</v>
      </c>
      <c r="E648" s="3">
        <f t="shared" si="31"/>
        <v>625</v>
      </c>
    </row>
    <row r="649" spans="1:5">
      <c r="A649" s="3">
        <v>64.7</v>
      </c>
      <c r="B649" s="3">
        <v>25</v>
      </c>
      <c r="C649" s="3">
        <f t="shared" si="30"/>
        <v>25</v>
      </c>
      <c r="D649" s="3">
        <f t="shared" si="32"/>
        <v>625</v>
      </c>
      <c r="E649" s="3">
        <f t="shared" si="31"/>
        <v>625</v>
      </c>
    </row>
    <row r="650" spans="1:5">
      <c r="A650" s="3">
        <v>64.8</v>
      </c>
      <c r="B650" s="3">
        <v>25</v>
      </c>
      <c r="C650" s="3">
        <f t="shared" si="30"/>
        <v>25</v>
      </c>
      <c r="D650" s="3">
        <f t="shared" si="32"/>
        <v>625</v>
      </c>
      <c r="E650" s="3">
        <f t="shared" si="31"/>
        <v>625</v>
      </c>
    </row>
    <row r="651" spans="1:5">
      <c r="A651" s="3">
        <v>64.900000000000006</v>
      </c>
      <c r="B651" s="3">
        <v>25</v>
      </c>
      <c r="C651" s="3">
        <f t="shared" si="30"/>
        <v>25</v>
      </c>
      <c r="D651" s="3">
        <f t="shared" si="32"/>
        <v>625</v>
      </c>
      <c r="E651" s="3">
        <f t="shared" si="31"/>
        <v>625</v>
      </c>
    </row>
    <row r="652" spans="1:5">
      <c r="A652" s="3">
        <v>65</v>
      </c>
      <c r="B652" s="3">
        <v>25</v>
      </c>
      <c r="C652" s="3">
        <f t="shared" si="30"/>
        <v>25</v>
      </c>
      <c r="D652" s="3">
        <f t="shared" si="32"/>
        <v>625</v>
      </c>
      <c r="E652" s="3">
        <f t="shared" si="31"/>
        <v>625</v>
      </c>
    </row>
    <row r="653" spans="1:5">
      <c r="A653" s="3">
        <v>65.099999999999994</v>
      </c>
      <c r="B653" s="3">
        <v>25</v>
      </c>
      <c r="C653" s="3">
        <f t="shared" si="30"/>
        <v>25</v>
      </c>
      <c r="D653" s="3">
        <f t="shared" si="32"/>
        <v>625</v>
      </c>
      <c r="E653" s="3">
        <f t="shared" si="31"/>
        <v>625</v>
      </c>
    </row>
    <row r="654" spans="1:5">
      <c r="A654" s="3">
        <v>65.2</v>
      </c>
      <c r="B654" s="3">
        <v>25</v>
      </c>
      <c r="C654" s="3">
        <f t="shared" si="30"/>
        <v>25</v>
      </c>
      <c r="D654" s="3">
        <f t="shared" si="32"/>
        <v>625</v>
      </c>
      <c r="E654" s="3">
        <f t="shared" si="31"/>
        <v>625</v>
      </c>
    </row>
    <row r="655" spans="1:5">
      <c r="A655" s="3">
        <v>65.3</v>
      </c>
      <c r="B655" s="3">
        <v>25</v>
      </c>
      <c r="C655" s="3">
        <f t="shared" si="30"/>
        <v>25</v>
      </c>
      <c r="D655" s="3">
        <f t="shared" si="32"/>
        <v>625</v>
      </c>
      <c r="E655" s="3">
        <f t="shared" si="31"/>
        <v>625</v>
      </c>
    </row>
    <row r="656" spans="1:5">
      <c r="A656" s="3">
        <v>65.400000000000006</v>
      </c>
      <c r="B656" s="3">
        <v>25</v>
      </c>
      <c r="C656" s="3">
        <f t="shared" si="30"/>
        <v>25</v>
      </c>
      <c r="D656" s="3">
        <f t="shared" si="32"/>
        <v>625</v>
      </c>
      <c r="E656" s="3">
        <f t="shared" si="31"/>
        <v>625</v>
      </c>
    </row>
    <row r="657" spans="1:5">
      <c r="A657" s="3">
        <v>65.5</v>
      </c>
      <c r="B657" s="3">
        <v>25</v>
      </c>
      <c r="C657" s="3">
        <f t="shared" si="30"/>
        <v>25</v>
      </c>
      <c r="D657" s="3">
        <f t="shared" si="32"/>
        <v>625</v>
      </c>
      <c r="E657" s="3">
        <f t="shared" si="31"/>
        <v>625</v>
      </c>
    </row>
    <row r="658" spans="1:5">
      <c r="A658" s="3">
        <v>65.599999999999994</v>
      </c>
      <c r="B658" s="3">
        <v>25</v>
      </c>
      <c r="C658" s="3">
        <f t="shared" si="30"/>
        <v>25</v>
      </c>
      <c r="D658" s="3">
        <f t="shared" si="32"/>
        <v>625</v>
      </c>
      <c r="E658" s="3">
        <f t="shared" si="31"/>
        <v>625</v>
      </c>
    </row>
    <row r="659" spans="1:5">
      <c r="A659" s="3">
        <v>65.7</v>
      </c>
      <c r="B659" s="3">
        <v>25</v>
      </c>
      <c r="C659" s="3">
        <f t="shared" si="30"/>
        <v>25</v>
      </c>
      <c r="D659" s="3">
        <f t="shared" si="32"/>
        <v>625</v>
      </c>
      <c r="E659" s="3">
        <f t="shared" si="31"/>
        <v>625</v>
      </c>
    </row>
    <row r="660" spans="1:5">
      <c r="A660" s="3">
        <v>65.8</v>
      </c>
      <c r="B660" s="3">
        <v>25</v>
      </c>
      <c r="C660" s="3">
        <f t="shared" si="30"/>
        <v>25</v>
      </c>
      <c r="D660" s="3">
        <f t="shared" si="32"/>
        <v>625</v>
      </c>
      <c r="E660" s="3">
        <f t="shared" si="31"/>
        <v>625</v>
      </c>
    </row>
    <row r="661" spans="1:5">
      <c r="A661" s="3">
        <v>65.900000000000006</v>
      </c>
      <c r="B661" s="3">
        <v>25</v>
      </c>
      <c r="C661" s="3">
        <f t="shared" si="30"/>
        <v>25</v>
      </c>
      <c r="D661" s="3">
        <f t="shared" si="32"/>
        <v>625</v>
      </c>
      <c r="E661" s="3">
        <f t="shared" si="31"/>
        <v>625</v>
      </c>
    </row>
    <row r="662" spans="1:5">
      <c r="A662" s="3">
        <v>66</v>
      </c>
      <c r="B662" s="3">
        <v>25</v>
      </c>
      <c r="C662" s="3">
        <f t="shared" si="30"/>
        <v>25</v>
      </c>
      <c r="D662" s="3">
        <f t="shared" si="32"/>
        <v>625</v>
      </c>
      <c r="E662" s="3">
        <f t="shared" si="31"/>
        <v>625</v>
      </c>
    </row>
    <row r="663" spans="1:5">
      <c r="A663" s="3">
        <v>66.099999999999994</v>
      </c>
      <c r="B663" s="3">
        <v>25</v>
      </c>
      <c r="C663" s="3">
        <f t="shared" si="30"/>
        <v>25</v>
      </c>
      <c r="D663" s="3">
        <f t="shared" si="32"/>
        <v>625</v>
      </c>
      <c r="E663" s="3">
        <f t="shared" si="31"/>
        <v>625</v>
      </c>
    </row>
    <row r="664" spans="1:5">
      <c r="A664" s="3">
        <v>66.2</v>
      </c>
      <c r="B664" s="3">
        <v>25</v>
      </c>
      <c r="C664" s="3">
        <f t="shared" si="30"/>
        <v>25</v>
      </c>
      <c r="D664" s="3">
        <f t="shared" si="32"/>
        <v>625</v>
      </c>
      <c r="E664" s="3">
        <f t="shared" si="31"/>
        <v>625</v>
      </c>
    </row>
    <row r="665" spans="1:5">
      <c r="A665" s="3">
        <v>66.3</v>
      </c>
      <c r="B665" s="3">
        <v>25</v>
      </c>
      <c r="C665" s="3">
        <f t="shared" si="30"/>
        <v>25</v>
      </c>
      <c r="D665" s="3">
        <f t="shared" si="32"/>
        <v>625</v>
      </c>
      <c r="E665" s="3">
        <f t="shared" si="31"/>
        <v>625</v>
      </c>
    </row>
    <row r="666" spans="1:5">
      <c r="A666" s="3">
        <v>66.400000000000006</v>
      </c>
      <c r="B666" s="3">
        <v>25</v>
      </c>
      <c r="C666" s="3">
        <f t="shared" si="30"/>
        <v>25</v>
      </c>
      <c r="D666" s="3">
        <f t="shared" si="32"/>
        <v>625</v>
      </c>
      <c r="E666" s="3">
        <f t="shared" si="31"/>
        <v>625</v>
      </c>
    </row>
    <row r="667" spans="1:5">
      <c r="A667" s="3">
        <v>66.5</v>
      </c>
      <c r="B667" s="3">
        <v>25</v>
      </c>
      <c r="C667" s="3">
        <f t="shared" si="30"/>
        <v>25</v>
      </c>
      <c r="D667" s="3">
        <f t="shared" si="32"/>
        <v>625</v>
      </c>
      <c r="E667" s="3">
        <f t="shared" si="31"/>
        <v>625</v>
      </c>
    </row>
    <row r="668" spans="1:5">
      <c r="A668" s="3">
        <v>66.599999999999994</v>
      </c>
      <c r="B668" s="3">
        <v>25</v>
      </c>
      <c r="C668" s="3">
        <f t="shared" si="30"/>
        <v>25</v>
      </c>
      <c r="D668" s="3">
        <f t="shared" si="32"/>
        <v>625</v>
      </c>
      <c r="E668" s="3">
        <f t="shared" si="31"/>
        <v>625</v>
      </c>
    </row>
    <row r="669" spans="1:5">
      <c r="A669" s="3">
        <v>66.7</v>
      </c>
      <c r="B669" s="3">
        <v>25</v>
      </c>
      <c r="C669" s="3">
        <f t="shared" si="30"/>
        <v>25</v>
      </c>
      <c r="D669" s="3">
        <f t="shared" si="32"/>
        <v>625</v>
      </c>
      <c r="E669" s="3">
        <f t="shared" si="31"/>
        <v>625</v>
      </c>
    </row>
    <row r="670" spans="1:5">
      <c r="A670" s="3">
        <v>66.8</v>
      </c>
      <c r="B670" s="3">
        <v>25</v>
      </c>
      <c r="C670" s="3">
        <f t="shared" si="30"/>
        <v>25</v>
      </c>
      <c r="D670" s="3">
        <f t="shared" si="32"/>
        <v>625</v>
      </c>
      <c r="E670" s="3">
        <f t="shared" si="31"/>
        <v>625</v>
      </c>
    </row>
    <row r="671" spans="1:5">
      <c r="A671" s="3">
        <v>66.900000000000006</v>
      </c>
      <c r="B671" s="3">
        <v>25</v>
      </c>
      <c r="C671" s="3">
        <f t="shared" si="30"/>
        <v>25</v>
      </c>
      <c r="D671" s="3">
        <f t="shared" si="32"/>
        <v>625</v>
      </c>
      <c r="E671" s="3">
        <f t="shared" si="31"/>
        <v>625</v>
      </c>
    </row>
    <row r="672" spans="1:5">
      <c r="A672" s="3">
        <v>67</v>
      </c>
      <c r="B672" s="3">
        <v>25</v>
      </c>
      <c r="C672" s="3">
        <f t="shared" si="30"/>
        <v>25</v>
      </c>
      <c r="D672" s="3">
        <f t="shared" si="32"/>
        <v>625</v>
      </c>
      <c r="E672" s="3">
        <f t="shared" si="31"/>
        <v>625</v>
      </c>
    </row>
    <row r="673" spans="1:5">
      <c r="A673" s="3">
        <v>67.099999999999994</v>
      </c>
      <c r="B673" s="3">
        <v>25</v>
      </c>
      <c r="C673" s="3">
        <f t="shared" si="30"/>
        <v>25</v>
      </c>
      <c r="D673" s="3">
        <f t="shared" si="32"/>
        <v>625</v>
      </c>
      <c r="E673" s="3">
        <f t="shared" si="31"/>
        <v>625</v>
      </c>
    </row>
    <row r="674" spans="1:5">
      <c r="A674" s="3">
        <v>67.2</v>
      </c>
      <c r="B674" s="3">
        <v>25</v>
      </c>
      <c r="C674" s="3">
        <f t="shared" si="30"/>
        <v>25</v>
      </c>
      <c r="D674" s="3">
        <f t="shared" si="32"/>
        <v>625</v>
      </c>
      <c r="E674" s="3">
        <f t="shared" si="31"/>
        <v>625</v>
      </c>
    </row>
    <row r="675" spans="1:5">
      <c r="A675" s="3">
        <v>67.3</v>
      </c>
      <c r="B675" s="3">
        <v>25</v>
      </c>
      <c r="C675" s="3">
        <f t="shared" si="30"/>
        <v>25</v>
      </c>
      <c r="D675" s="3">
        <f t="shared" si="32"/>
        <v>625</v>
      </c>
      <c r="E675" s="3">
        <f t="shared" si="31"/>
        <v>625</v>
      </c>
    </row>
    <row r="676" spans="1:5">
      <c r="A676" s="3">
        <v>67.400000000000006</v>
      </c>
      <c r="B676" s="3">
        <v>25</v>
      </c>
      <c r="C676" s="3">
        <f t="shared" si="30"/>
        <v>25</v>
      </c>
      <c r="D676" s="3">
        <f t="shared" si="32"/>
        <v>625</v>
      </c>
      <c r="E676" s="3">
        <f t="shared" si="31"/>
        <v>625</v>
      </c>
    </row>
    <row r="677" spans="1:5">
      <c r="A677" s="3">
        <v>67.5</v>
      </c>
      <c r="B677" s="3">
        <v>25</v>
      </c>
      <c r="C677" s="3">
        <f t="shared" si="30"/>
        <v>25</v>
      </c>
      <c r="D677" s="3">
        <f t="shared" si="32"/>
        <v>625</v>
      </c>
      <c r="E677" s="3">
        <f t="shared" si="31"/>
        <v>625</v>
      </c>
    </row>
    <row r="678" spans="1:5">
      <c r="A678" s="3">
        <v>67.599999999999994</v>
      </c>
      <c r="B678" s="3">
        <v>25</v>
      </c>
      <c r="C678" s="3">
        <f t="shared" si="30"/>
        <v>25</v>
      </c>
      <c r="D678" s="3">
        <f t="shared" si="32"/>
        <v>625</v>
      </c>
      <c r="E678" s="3">
        <f t="shared" si="31"/>
        <v>625</v>
      </c>
    </row>
    <row r="679" spans="1:5">
      <c r="A679" s="3">
        <v>67.7</v>
      </c>
      <c r="B679" s="3">
        <v>25</v>
      </c>
      <c r="C679" s="3">
        <f t="shared" si="30"/>
        <v>25</v>
      </c>
      <c r="D679" s="3">
        <f t="shared" si="32"/>
        <v>625</v>
      </c>
      <c r="E679" s="3">
        <f t="shared" si="31"/>
        <v>625</v>
      </c>
    </row>
    <row r="680" spans="1:5">
      <c r="A680" s="3">
        <v>67.8</v>
      </c>
      <c r="B680" s="3">
        <v>25</v>
      </c>
      <c r="C680" s="3">
        <f t="shared" si="30"/>
        <v>25</v>
      </c>
      <c r="D680" s="3">
        <f t="shared" si="32"/>
        <v>625</v>
      </c>
      <c r="E680" s="3">
        <f t="shared" si="31"/>
        <v>625</v>
      </c>
    </row>
    <row r="681" spans="1:5">
      <c r="A681" s="3">
        <v>67.900000000000006</v>
      </c>
      <c r="B681" s="3">
        <v>25</v>
      </c>
      <c r="C681" s="3">
        <f t="shared" si="30"/>
        <v>25</v>
      </c>
      <c r="D681" s="3">
        <f t="shared" si="32"/>
        <v>625</v>
      </c>
      <c r="E681" s="3">
        <f t="shared" si="31"/>
        <v>625</v>
      </c>
    </row>
    <row r="682" spans="1:5">
      <c r="A682" s="3">
        <v>68</v>
      </c>
      <c r="B682" s="3">
        <v>25</v>
      </c>
      <c r="C682" s="3">
        <f t="shared" si="30"/>
        <v>25</v>
      </c>
      <c r="D682" s="3">
        <f t="shared" si="32"/>
        <v>625</v>
      </c>
      <c r="E682" s="3">
        <f t="shared" si="31"/>
        <v>625</v>
      </c>
    </row>
    <row r="683" spans="1:5">
      <c r="A683" s="3">
        <v>68.099999999999994</v>
      </c>
      <c r="B683" s="3">
        <v>25</v>
      </c>
      <c r="C683" s="3">
        <f t="shared" si="30"/>
        <v>25</v>
      </c>
      <c r="D683" s="3">
        <f t="shared" si="32"/>
        <v>625</v>
      </c>
      <c r="E683" s="3">
        <f t="shared" si="31"/>
        <v>625</v>
      </c>
    </row>
    <row r="684" spans="1:5">
      <c r="A684" s="3">
        <v>68.2</v>
      </c>
      <c r="B684" s="3">
        <v>25</v>
      </c>
      <c r="C684" s="3">
        <f t="shared" si="30"/>
        <v>25</v>
      </c>
      <c r="D684" s="3">
        <f t="shared" si="32"/>
        <v>625</v>
      </c>
      <c r="E684" s="3">
        <f t="shared" si="31"/>
        <v>625</v>
      </c>
    </row>
    <row r="685" spans="1:5">
      <c r="A685" s="3">
        <v>68.3</v>
      </c>
      <c r="B685" s="3">
        <v>25</v>
      </c>
      <c r="C685" s="3">
        <f t="shared" si="30"/>
        <v>25</v>
      </c>
      <c r="D685" s="3">
        <f t="shared" si="32"/>
        <v>625</v>
      </c>
      <c r="E685" s="3">
        <f t="shared" si="31"/>
        <v>625</v>
      </c>
    </row>
    <row r="686" spans="1:5">
      <c r="A686" s="3">
        <v>68.400000000000006</v>
      </c>
      <c r="B686" s="3">
        <v>25</v>
      </c>
      <c r="C686" s="3">
        <f t="shared" si="30"/>
        <v>25</v>
      </c>
      <c r="D686" s="3">
        <f t="shared" si="32"/>
        <v>625</v>
      </c>
      <c r="E686" s="3">
        <f t="shared" si="31"/>
        <v>625</v>
      </c>
    </row>
    <row r="687" spans="1:5">
      <c r="A687" s="3">
        <v>68.5</v>
      </c>
      <c r="B687" s="3">
        <v>25</v>
      </c>
      <c r="C687" s="3">
        <f t="shared" si="30"/>
        <v>25</v>
      </c>
      <c r="D687" s="3">
        <f t="shared" si="32"/>
        <v>625</v>
      </c>
      <c r="E687" s="3">
        <f t="shared" si="31"/>
        <v>625</v>
      </c>
    </row>
    <row r="688" spans="1:5">
      <c r="A688" s="3">
        <v>68.599999999999994</v>
      </c>
      <c r="B688" s="3">
        <v>25</v>
      </c>
      <c r="C688" s="3">
        <f t="shared" si="30"/>
        <v>25</v>
      </c>
      <c r="D688" s="3">
        <f t="shared" si="32"/>
        <v>625</v>
      </c>
      <c r="E688" s="3">
        <f t="shared" si="31"/>
        <v>625</v>
      </c>
    </row>
    <row r="689" spans="1:5">
      <c r="A689" s="3">
        <v>68.7</v>
      </c>
      <c r="B689" s="3">
        <v>25</v>
      </c>
      <c r="C689" s="3">
        <f t="shared" si="30"/>
        <v>25</v>
      </c>
      <c r="D689" s="3">
        <f t="shared" si="32"/>
        <v>625</v>
      </c>
      <c r="E689" s="3">
        <f t="shared" si="31"/>
        <v>625</v>
      </c>
    </row>
    <row r="690" spans="1:5">
      <c r="A690" s="3">
        <v>68.8</v>
      </c>
      <c r="B690" s="3">
        <v>25</v>
      </c>
      <c r="C690" s="3">
        <f t="shared" si="30"/>
        <v>25</v>
      </c>
      <c r="D690" s="3">
        <f t="shared" si="32"/>
        <v>625</v>
      </c>
      <c r="E690" s="3">
        <f t="shared" si="31"/>
        <v>625</v>
      </c>
    </row>
    <row r="691" spans="1:5">
      <c r="A691" s="3">
        <v>68.900000000000006</v>
      </c>
      <c r="B691" s="3">
        <v>25</v>
      </c>
      <c r="C691" s="3">
        <f t="shared" si="30"/>
        <v>25</v>
      </c>
      <c r="D691" s="3">
        <f t="shared" si="32"/>
        <v>625</v>
      </c>
      <c r="E691" s="3">
        <f t="shared" si="31"/>
        <v>625</v>
      </c>
    </row>
    <row r="692" spans="1:5">
      <c r="A692" s="3">
        <v>69</v>
      </c>
      <c r="B692" s="3">
        <v>25</v>
      </c>
      <c r="C692" s="3">
        <f t="shared" si="30"/>
        <v>25</v>
      </c>
      <c r="D692" s="3">
        <f t="shared" si="32"/>
        <v>625</v>
      </c>
      <c r="E692" s="3">
        <f t="shared" si="31"/>
        <v>625</v>
      </c>
    </row>
    <row r="693" spans="1:5">
      <c r="A693" s="3">
        <v>69.099999999999994</v>
      </c>
      <c r="B693" s="3">
        <v>25</v>
      </c>
      <c r="C693" s="3">
        <f t="shared" si="30"/>
        <v>25</v>
      </c>
      <c r="D693" s="3">
        <f t="shared" si="32"/>
        <v>625</v>
      </c>
      <c r="E693" s="3">
        <f t="shared" si="31"/>
        <v>625</v>
      </c>
    </row>
    <row r="694" spans="1:5">
      <c r="A694" s="3">
        <v>69.2</v>
      </c>
      <c r="B694" s="3">
        <v>25</v>
      </c>
      <c r="C694" s="3">
        <f t="shared" si="30"/>
        <v>25</v>
      </c>
      <c r="D694" s="3">
        <f t="shared" si="32"/>
        <v>625</v>
      </c>
      <c r="E694" s="3">
        <f t="shared" si="31"/>
        <v>625</v>
      </c>
    </row>
    <row r="695" spans="1:5">
      <c r="A695" s="3">
        <v>69.3</v>
      </c>
      <c r="B695" s="3">
        <v>25</v>
      </c>
      <c r="C695" s="3">
        <f t="shared" si="30"/>
        <v>25</v>
      </c>
      <c r="D695" s="3">
        <f t="shared" si="32"/>
        <v>625</v>
      </c>
      <c r="E695" s="3">
        <f t="shared" si="31"/>
        <v>625</v>
      </c>
    </row>
    <row r="696" spans="1:5">
      <c r="A696" s="3">
        <v>69.400000000000006</v>
      </c>
      <c r="B696" s="3">
        <v>25</v>
      </c>
      <c r="C696" s="3">
        <f t="shared" si="30"/>
        <v>25</v>
      </c>
      <c r="D696" s="3">
        <f t="shared" si="32"/>
        <v>625</v>
      </c>
      <c r="E696" s="3">
        <f t="shared" si="31"/>
        <v>625</v>
      </c>
    </row>
    <row r="697" spans="1:5">
      <c r="A697" s="3">
        <v>69.5</v>
      </c>
      <c r="B697" s="3">
        <v>25</v>
      </c>
      <c r="C697" s="3">
        <f t="shared" si="30"/>
        <v>25</v>
      </c>
      <c r="D697" s="3">
        <f t="shared" si="32"/>
        <v>625</v>
      </c>
      <c r="E697" s="3">
        <f t="shared" si="31"/>
        <v>625</v>
      </c>
    </row>
    <row r="698" spans="1:5">
      <c r="A698" s="3">
        <v>69.599999999999994</v>
      </c>
      <c r="B698" s="3">
        <v>25</v>
      </c>
      <c r="C698" s="3">
        <f t="shared" si="30"/>
        <v>25</v>
      </c>
      <c r="D698" s="3">
        <f t="shared" si="32"/>
        <v>625</v>
      </c>
      <c r="E698" s="3">
        <f t="shared" si="31"/>
        <v>625</v>
      </c>
    </row>
    <row r="699" spans="1:5">
      <c r="A699" s="3">
        <v>69.7</v>
      </c>
      <c r="B699" s="3">
        <v>25</v>
      </c>
      <c r="C699" s="3">
        <f t="shared" si="30"/>
        <v>25</v>
      </c>
      <c r="D699" s="3">
        <f t="shared" si="32"/>
        <v>625</v>
      </c>
      <c r="E699" s="3">
        <f t="shared" si="31"/>
        <v>625</v>
      </c>
    </row>
    <row r="700" spans="1:5">
      <c r="A700" s="3">
        <v>69.8</v>
      </c>
      <c r="B700" s="3">
        <v>25</v>
      </c>
      <c r="C700" s="3">
        <f t="shared" si="30"/>
        <v>25</v>
      </c>
      <c r="D700" s="3">
        <f t="shared" si="32"/>
        <v>625</v>
      </c>
      <c r="E700" s="3">
        <f t="shared" si="31"/>
        <v>625</v>
      </c>
    </row>
    <row r="701" spans="1:5">
      <c r="A701" s="3">
        <v>69.900000000000006</v>
      </c>
      <c r="B701" s="3">
        <v>25</v>
      </c>
      <c r="C701" s="3">
        <f t="shared" si="30"/>
        <v>25</v>
      </c>
      <c r="D701" s="3">
        <f t="shared" si="32"/>
        <v>625</v>
      </c>
      <c r="E701" s="3">
        <f t="shared" si="31"/>
        <v>625</v>
      </c>
    </row>
    <row r="702" spans="1:5">
      <c r="A702" s="3">
        <v>70</v>
      </c>
      <c r="B702" s="3">
        <v>25</v>
      </c>
      <c r="C702" s="3">
        <f t="shared" si="30"/>
        <v>25</v>
      </c>
      <c r="D702" s="3">
        <f t="shared" si="32"/>
        <v>625</v>
      </c>
      <c r="E702" s="3">
        <f t="shared" si="31"/>
        <v>625</v>
      </c>
    </row>
    <row r="703" spans="1:5">
      <c r="A703" s="3">
        <v>70.099999999999994</v>
      </c>
      <c r="B703" s="3">
        <v>25</v>
      </c>
      <c r="C703" s="3">
        <f t="shared" si="30"/>
        <v>25</v>
      </c>
      <c r="D703" s="3">
        <f t="shared" si="32"/>
        <v>625</v>
      </c>
      <c r="E703" s="3">
        <f t="shared" si="31"/>
        <v>625</v>
      </c>
    </row>
    <row r="704" spans="1:5">
      <c r="A704" s="3">
        <v>70.2</v>
      </c>
      <c r="B704" s="3">
        <v>25</v>
      </c>
      <c r="C704" s="3">
        <f t="shared" si="30"/>
        <v>25</v>
      </c>
      <c r="D704" s="3">
        <f t="shared" si="32"/>
        <v>625</v>
      </c>
      <c r="E704" s="3">
        <f t="shared" si="31"/>
        <v>625</v>
      </c>
    </row>
    <row r="705" spans="1:5">
      <c r="A705" s="3">
        <v>70.3</v>
      </c>
      <c r="B705" s="3">
        <v>25</v>
      </c>
      <c r="C705" s="3">
        <f t="shared" si="30"/>
        <v>25</v>
      </c>
      <c r="D705" s="3">
        <f t="shared" si="32"/>
        <v>625</v>
      </c>
      <c r="E705" s="3">
        <f t="shared" si="31"/>
        <v>625</v>
      </c>
    </row>
    <row r="706" spans="1:5">
      <c r="A706" s="3">
        <v>70.400000000000006</v>
      </c>
      <c r="B706" s="3">
        <v>25</v>
      </c>
      <c r="C706" s="3">
        <f t="shared" ref="C706:C769" si="33">ROUND(SQRT(E706),2)</f>
        <v>25</v>
      </c>
      <c r="D706" s="3">
        <f t="shared" si="32"/>
        <v>625</v>
      </c>
      <c r="E706" s="3">
        <f t="shared" ref="E706:E769" si="34">MIN(D706, E707+$H$4)</f>
        <v>625</v>
      </c>
    </row>
    <row r="707" spans="1:5">
      <c r="A707" s="3">
        <v>70.5</v>
      </c>
      <c r="B707" s="3">
        <v>25</v>
      </c>
      <c r="C707" s="3">
        <f t="shared" si="33"/>
        <v>25</v>
      </c>
      <c r="D707" s="3">
        <f t="shared" ref="D707:D770" si="35">MIN(B707^2, D706+$H$4)</f>
        <v>625</v>
      </c>
      <c r="E707" s="3">
        <f t="shared" si="34"/>
        <v>625</v>
      </c>
    </row>
    <row r="708" spans="1:5">
      <c r="A708" s="3">
        <v>70.599999999999994</v>
      </c>
      <c r="B708" s="3">
        <v>25</v>
      </c>
      <c r="C708" s="3">
        <f t="shared" si="33"/>
        <v>25</v>
      </c>
      <c r="D708" s="3">
        <f t="shared" si="35"/>
        <v>625</v>
      </c>
      <c r="E708" s="3">
        <f t="shared" si="34"/>
        <v>625</v>
      </c>
    </row>
    <row r="709" spans="1:5">
      <c r="A709" s="3">
        <v>70.7</v>
      </c>
      <c r="B709" s="3">
        <v>25</v>
      </c>
      <c r="C709" s="3">
        <f t="shared" si="33"/>
        <v>25</v>
      </c>
      <c r="D709" s="3">
        <f t="shared" si="35"/>
        <v>625</v>
      </c>
      <c r="E709" s="3">
        <f t="shared" si="34"/>
        <v>625</v>
      </c>
    </row>
    <row r="710" spans="1:5">
      <c r="A710" s="3">
        <v>70.8</v>
      </c>
      <c r="B710" s="3">
        <v>25</v>
      </c>
      <c r="C710" s="3">
        <f t="shared" si="33"/>
        <v>25</v>
      </c>
      <c r="D710" s="3">
        <f t="shared" si="35"/>
        <v>625</v>
      </c>
      <c r="E710" s="3">
        <f t="shared" si="34"/>
        <v>625</v>
      </c>
    </row>
    <row r="711" spans="1:5">
      <c r="A711" s="3">
        <v>70.900000000000006</v>
      </c>
      <c r="B711" s="3">
        <v>25</v>
      </c>
      <c r="C711" s="3">
        <f t="shared" si="33"/>
        <v>25</v>
      </c>
      <c r="D711" s="3">
        <f t="shared" si="35"/>
        <v>625</v>
      </c>
      <c r="E711" s="3">
        <f t="shared" si="34"/>
        <v>625</v>
      </c>
    </row>
    <row r="712" spans="1:5">
      <c r="A712" s="3">
        <v>71</v>
      </c>
      <c r="B712" s="3">
        <v>25</v>
      </c>
      <c r="C712" s="3">
        <f t="shared" si="33"/>
        <v>25</v>
      </c>
      <c r="D712" s="3">
        <f t="shared" si="35"/>
        <v>625</v>
      </c>
      <c r="E712" s="3">
        <f t="shared" si="34"/>
        <v>625</v>
      </c>
    </row>
    <row r="713" spans="1:5">
      <c r="A713" s="3">
        <v>71.099999999999994</v>
      </c>
      <c r="B713" s="3">
        <v>25</v>
      </c>
      <c r="C713" s="3">
        <f t="shared" si="33"/>
        <v>25</v>
      </c>
      <c r="D713" s="3">
        <f t="shared" si="35"/>
        <v>625</v>
      </c>
      <c r="E713" s="3">
        <f t="shared" si="34"/>
        <v>625</v>
      </c>
    </row>
    <row r="714" spans="1:5">
      <c r="A714" s="3">
        <v>71.2</v>
      </c>
      <c r="B714" s="3">
        <v>25</v>
      </c>
      <c r="C714" s="3">
        <f t="shared" si="33"/>
        <v>25</v>
      </c>
      <c r="D714" s="3">
        <f t="shared" si="35"/>
        <v>625</v>
      </c>
      <c r="E714" s="3">
        <f t="shared" si="34"/>
        <v>625</v>
      </c>
    </row>
    <row r="715" spans="1:5">
      <c r="A715" s="3">
        <v>71.3</v>
      </c>
      <c r="B715" s="3">
        <v>25</v>
      </c>
      <c r="C715" s="3">
        <f t="shared" si="33"/>
        <v>25</v>
      </c>
      <c r="D715" s="3">
        <f t="shared" si="35"/>
        <v>625</v>
      </c>
      <c r="E715" s="3">
        <f t="shared" si="34"/>
        <v>625</v>
      </c>
    </row>
    <row r="716" spans="1:5">
      <c r="A716" s="3">
        <v>71.400000000000006</v>
      </c>
      <c r="B716" s="3">
        <v>25</v>
      </c>
      <c r="C716" s="3">
        <f t="shared" si="33"/>
        <v>25</v>
      </c>
      <c r="D716" s="3">
        <f t="shared" si="35"/>
        <v>625</v>
      </c>
      <c r="E716" s="3">
        <f t="shared" si="34"/>
        <v>625</v>
      </c>
    </row>
    <row r="717" spans="1:5">
      <c r="A717" s="3">
        <v>71.5</v>
      </c>
      <c r="B717" s="3">
        <v>25</v>
      </c>
      <c r="C717" s="3">
        <f t="shared" si="33"/>
        <v>25</v>
      </c>
      <c r="D717" s="3">
        <f t="shared" si="35"/>
        <v>625</v>
      </c>
      <c r="E717" s="3">
        <f t="shared" si="34"/>
        <v>625</v>
      </c>
    </row>
    <row r="718" spans="1:5">
      <c r="A718" s="3">
        <v>71.599999999999994</v>
      </c>
      <c r="B718" s="3">
        <v>25</v>
      </c>
      <c r="C718" s="3">
        <f t="shared" si="33"/>
        <v>25</v>
      </c>
      <c r="D718" s="3">
        <f t="shared" si="35"/>
        <v>625</v>
      </c>
      <c r="E718" s="3">
        <f t="shared" si="34"/>
        <v>625</v>
      </c>
    </row>
    <row r="719" spans="1:5">
      <c r="A719" s="3">
        <v>71.7</v>
      </c>
      <c r="B719" s="3">
        <v>25</v>
      </c>
      <c r="C719" s="3">
        <f t="shared" si="33"/>
        <v>25</v>
      </c>
      <c r="D719" s="3">
        <f t="shared" si="35"/>
        <v>625</v>
      </c>
      <c r="E719" s="3">
        <f t="shared" si="34"/>
        <v>625</v>
      </c>
    </row>
    <row r="720" spans="1:5">
      <c r="A720" s="3">
        <v>71.8</v>
      </c>
      <c r="B720" s="3">
        <v>25</v>
      </c>
      <c r="C720" s="3">
        <f t="shared" si="33"/>
        <v>25</v>
      </c>
      <c r="D720" s="3">
        <f t="shared" si="35"/>
        <v>625</v>
      </c>
      <c r="E720" s="3">
        <f t="shared" si="34"/>
        <v>625</v>
      </c>
    </row>
    <row r="721" spans="1:5">
      <c r="A721" s="3">
        <v>71.900000000000006</v>
      </c>
      <c r="B721" s="3">
        <v>25</v>
      </c>
      <c r="C721" s="3">
        <f t="shared" si="33"/>
        <v>25</v>
      </c>
      <c r="D721" s="3">
        <f t="shared" si="35"/>
        <v>625</v>
      </c>
      <c r="E721" s="3">
        <f t="shared" si="34"/>
        <v>625</v>
      </c>
    </row>
    <row r="722" spans="1:5">
      <c r="A722" s="3">
        <v>72</v>
      </c>
      <c r="B722" s="3">
        <v>25</v>
      </c>
      <c r="C722" s="3">
        <f t="shared" si="33"/>
        <v>25</v>
      </c>
      <c r="D722" s="3">
        <f t="shared" si="35"/>
        <v>625</v>
      </c>
      <c r="E722" s="3">
        <f t="shared" si="34"/>
        <v>625</v>
      </c>
    </row>
    <row r="723" spans="1:5">
      <c r="A723" s="3">
        <v>72.099999999999994</v>
      </c>
      <c r="B723" s="3">
        <v>25</v>
      </c>
      <c r="C723" s="3">
        <f t="shared" si="33"/>
        <v>25</v>
      </c>
      <c r="D723" s="3">
        <f t="shared" si="35"/>
        <v>625</v>
      </c>
      <c r="E723" s="3">
        <f t="shared" si="34"/>
        <v>625</v>
      </c>
    </row>
    <row r="724" spans="1:5">
      <c r="A724" s="3">
        <v>72.2</v>
      </c>
      <c r="B724" s="3">
        <v>25</v>
      </c>
      <c r="C724" s="3">
        <f t="shared" si="33"/>
        <v>25</v>
      </c>
      <c r="D724" s="3">
        <f t="shared" si="35"/>
        <v>625</v>
      </c>
      <c r="E724" s="3">
        <f t="shared" si="34"/>
        <v>625</v>
      </c>
    </row>
    <row r="725" spans="1:5">
      <c r="A725" s="3">
        <v>72.3</v>
      </c>
      <c r="B725" s="3">
        <v>25</v>
      </c>
      <c r="C725" s="3">
        <f t="shared" si="33"/>
        <v>25</v>
      </c>
      <c r="D725" s="3">
        <f t="shared" si="35"/>
        <v>625</v>
      </c>
      <c r="E725" s="3">
        <f t="shared" si="34"/>
        <v>625</v>
      </c>
    </row>
    <row r="726" spans="1:5">
      <c r="A726" s="3">
        <v>72.400000000000006</v>
      </c>
      <c r="B726" s="3">
        <v>25</v>
      </c>
      <c r="C726" s="3">
        <f t="shared" si="33"/>
        <v>25</v>
      </c>
      <c r="D726" s="3">
        <f t="shared" si="35"/>
        <v>625</v>
      </c>
      <c r="E726" s="3">
        <f t="shared" si="34"/>
        <v>625</v>
      </c>
    </row>
    <row r="727" spans="1:5">
      <c r="A727" s="3">
        <v>72.5</v>
      </c>
      <c r="B727" s="3">
        <v>25</v>
      </c>
      <c r="C727" s="3">
        <f t="shared" si="33"/>
        <v>25</v>
      </c>
      <c r="D727" s="3">
        <f t="shared" si="35"/>
        <v>625</v>
      </c>
      <c r="E727" s="3">
        <f t="shared" si="34"/>
        <v>625</v>
      </c>
    </row>
    <row r="728" spans="1:5">
      <c r="A728" s="3">
        <v>72.599999999999994</v>
      </c>
      <c r="B728" s="3">
        <v>25</v>
      </c>
      <c r="C728" s="3">
        <f t="shared" si="33"/>
        <v>25</v>
      </c>
      <c r="D728" s="3">
        <f t="shared" si="35"/>
        <v>625</v>
      </c>
      <c r="E728" s="3">
        <f t="shared" si="34"/>
        <v>625</v>
      </c>
    </row>
    <row r="729" spans="1:5">
      <c r="A729" s="3">
        <v>72.7</v>
      </c>
      <c r="B729" s="3">
        <v>25</v>
      </c>
      <c r="C729" s="3">
        <f t="shared" si="33"/>
        <v>25</v>
      </c>
      <c r="D729" s="3">
        <f t="shared" si="35"/>
        <v>625</v>
      </c>
      <c r="E729" s="3">
        <f t="shared" si="34"/>
        <v>625</v>
      </c>
    </row>
    <row r="730" spans="1:5">
      <c r="A730" s="3">
        <v>72.8</v>
      </c>
      <c r="B730" s="3">
        <v>25</v>
      </c>
      <c r="C730" s="3">
        <f t="shared" si="33"/>
        <v>25</v>
      </c>
      <c r="D730" s="3">
        <f t="shared" si="35"/>
        <v>625</v>
      </c>
      <c r="E730" s="3">
        <f t="shared" si="34"/>
        <v>625</v>
      </c>
    </row>
    <row r="731" spans="1:5">
      <c r="A731" s="3">
        <v>72.900000000000006</v>
      </c>
      <c r="B731" s="3">
        <v>25</v>
      </c>
      <c r="C731" s="3">
        <f t="shared" si="33"/>
        <v>25</v>
      </c>
      <c r="D731" s="3">
        <f t="shared" si="35"/>
        <v>625</v>
      </c>
      <c r="E731" s="3">
        <f t="shared" si="34"/>
        <v>625</v>
      </c>
    </row>
    <row r="732" spans="1:5">
      <c r="A732" s="3">
        <v>73</v>
      </c>
      <c r="B732" s="3">
        <v>25</v>
      </c>
      <c r="C732" s="3">
        <f t="shared" si="33"/>
        <v>25</v>
      </c>
      <c r="D732" s="3">
        <f t="shared" si="35"/>
        <v>625</v>
      </c>
      <c r="E732" s="3">
        <f t="shared" si="34"/>
        <v>625</v>
      </c>
    </row>
    <row r="733" spans="1:5">
      <c r="A733" s="3">
        <v>73.099999999999994</v>
      </c>
      <c r="B733" s="3">
        <v>25</v>
      </c>
      <c r="C733" s="3">
        <f t="shared" si="33"/>
        <v>25</v>
      </c>
      <c r="D733" s="3">
        <f t="shared" si="35"/>
        <v>625</v>
      </c>
      <c r="E733" s="3">
        <f t="shared" si="34"/>
        <v>625</v>
      </c>
    </row>
    <row r="734" spans="1:5">
      <c r="A734" s="3">
        <v>73.2</v>
      </c>
      <c r="B734" s="3">
        <v>25</v>
      </c>
      <c r="C734" s="3">
        <f t="shared" si="33"/>
        <v>25</v>
      </c>
      <c r="D734" s="3">
        <f t="shared" si="35"/>
        <v>625</v>
      </c>
      <c r="E734" s="3">
        <f t="shared" si="34"/>
        <v>625</v>
      </c>
    </row>
    <row r="735" spans="1:5">
      <c r="A735" s="3">
        <v>73.3</v>
      </c>
      <c r="B735" s="3">
        <v>25</v>
      </c>
      <c r="C735" s="3">
        <f t="shared" si="33"/>
        <v>25</v>
      </c>
      <c r="D735" s="3">
        <f t="shared" si="35"/>
        <v>625</v>
      </c>
      <c r="E735" s="3">
        <f t="shared" si="34"/>
        <v>625</v>
      </c>
    </row>
    <row r="736" spans="1:5">
      <c r="A736" s="3">
        <v>73.400000000000006</v>
      </c>
      <c r="B736" s="3">
        <v>25</v>
      </c>
      <c r="C736" s="3">
        <f t="shared" si="33"/>
        <v>25</v>
      </c>
      <c r="D736" s="3">
        <f t="shared" si="35"/>
        <v>625</v>
      </c>
      <c r="E736" s="3">
        <f t="shared" si="34"/>
        <v>625</v>
      </c>
    </row>
    <row r="737" spans="1:5">
      <c r="A737" s="3">
        <v>73.5</v>
      </c>
      <c r="B737" s="3">
        <v>25</v>
      </c>
      <c r="C737" s="3">
        <f t="shared" si="33"/>
        <v>25</v>
      </c>
      <c r="D737" s="3">
        <f t="shared" si="35"/>
        <v>625</v>
      </c>
      <c r="E737" s="3">
        <f t="shared" si="34"/>
        <v>625</v>
      </c>
    </row>
    <row r="738" spans="1:5">
      <c r="A738" s="3">
        <v>73.599999999999994</v>
      </c>
      <c r="B738" s="3">
        <v>25</v>
      </c>
      <c r="C738" s="3">
        <f t="shared" si="33"/>
        <v>25</v>
      </c>
      <c r="D738" s="3">
        <f t="shared" si="35"/>
        <v>625</v>
      </c>
      <c r="E738" s="3">
        <f t="shared" si="34"/>
        <v>625</v>
      </c>
    </row>
    <row r="739" spans="1:5">
      <c r="A739" s="3">
        <v>73.7</v>
      </c>
      <c r="B739" s="3">
        <v>25</v>
      </c>
      <c r="C739" s="3">
        <f t="shared" si="33"/>
        <v>25</v>
      </c>
      <c r="D739" s="3">
        <f t="shared" si="35"/>
        <v>625</v>
      </c>
      <c r="E739" s="3">
        <f t="shared" si="34"/>
        <v>625</v>
      </c>
    </row>
    <row r="740" spans="1:5">
      <c r="A740" s="3">
        <v>73.8</v>
      </c>
      <c r="B740" s="3">
        <v>25</v>
      </c>
      <c r="C740" s="3">
        <f t="shared" si="33"/>
        <v>25</v>
      </c>
      <c r="D740" s="3">
        <f t="shared" si="35"/>
        <v>625</v>
      </c>
      <c r="E740" s="3">
        <f t="shared" si="34"/>
        <v>625</v>
      </c>
    </row>
    <row r="741" spans="1:5">
      <c r="A741" s="3">
        <v>73.900000000000006</v>
      </c>
      <c r="B741" s="3">
        <v>25</v>
      </c>
      <c r="C741" s="3">
        <f t="shared" si="33"/>
        <v>25</v>
      </c>
      <c r="D741" s="3">
        <f t="shared" si="35"/>
        <v>625</v>
      </c>
      <c r="E741" s="3">
        <f t="shared" si="34"/>
        <v>625</v>
      </c>
    </row>
    <row r="742" spans="1:5">
      <c r="A742" s="3">
        <v>74</v>
      </c>
      <c r="B742" s="3">
        <v>25</v>
      </c>
      <c r="C742" s="3">
        <f t="shared" si="33"/>
        <v>25</v>
      </c>
      <c r="D742" s="3">
        <f t="shared" si="35"/>
        <v>625</v>
      </c>
      <c r="E742" s="3">
        <f t="shared" si="34"/>
        <v>625</v>
      </c>
    </row>
    <row r="743" spans="1:5">
      <c r="A743" s="3">
        <v>74.099999999999994</v>
      </c>
      <c r="B743" s="3">
        <v>25</v>
      </c>
      <c r="C743" s="3">
        <f t="shared" si="33"/>
        <v>25</v>
      </c>
      <c r="D743" s="3">
        <f t="shared" si="35"/>
        <v>625</v>
      </c>
      <c r="E743" s="3">
        <f t="shared" si="34"/>
        <v>625</v>
      </c>
    </row>
    <row r="744" spans="1:5">
      <c r="A744" s="3">
        <v>74.2</v>
      </c>
      <c r="B744" s="3">
        <v>25</v>
      </c>
      <c r="C744" s="3">
        <f t="shared" si="33"/>
        <v>25</v>
      </c>
      <c r="D744" s="3">
        <f t="shared" si="35"/>
        <v>625</v>
      </c>
      <c r="E744" s="3">
        <f t="shared" si="34"/>
        <v>625</v>
      </c>
    </row>
    <row r="745" spans="1:5">
      <c r="A745" s="3">
        <v>74.3</v>
      </c>
      <c r="B745" s="3">
        <v>25</v>
      </c>
      <c r="C745" s="3">
        <f t="shared" si="33"/>
        <v>25</v>
      </c>
      <c r="D745" s="3">
        <f t="shared" si="35"/>
        <v>625</v>
      </c>
      <c r="E745" s="3">
        <f t="shared" si="34"/>
        <v>625</v>
      </c>
    </row>
    <row r="746" spans="1:5">
      <c r="A746" s="3">
        <v>74.400000000000006</v>
      </c>
      <c r="B746" s="3">
        <v>25</v>
      </c>
      <c r="C746" s="3">
        <f t="shared" si="33"/>
        <v>25</v>
      </c>
      <c r="D746" s="3">
        <f t="shared" si="35"/>
        <v>625</v>
      </c>
      <c r="E746" s="3">
        <f t="shared" si="34"/>
        <v>625</v>
      </c>
    </row>
    <row r="747" spans="1:5">
      <c r="A747" s="3">
        <v>74.5</v>
      </c>
      <c r="B747" s="3">
        <v>25</v>
      </c>
      <c r="C747" s="3">
        <f t="shared" si="33"/>
        <v>25</v>
      </c>
      <c r="D747" s="3">
        <f t="shared" si="35"/>
        <v>625</v>
      </c>
      <c r="E747" s="3">
        <f t="shared" si="34"/>
        <v>625</v>
      </c>
    </row>
    <row r="748" spans="1:5">
      <c r="A748" s="3">
        <v>74.599999999999994</v>
      </c>
      <c r="B748" s="3">
        <v>25</v>
      </c>
      <c r="C748" s="3">
        <f t="shared" si="33"/>
        <v>25</v>
      </c>
      <c r="D748" s="3">
        <f t="shared" si="35"/>
        <v>625</v>
      </c>
      <c r="E748" s="3">
        <f t="shared" si="34"/>
        <v>625</v>
      </c>
    </row>
    <row r="749" spans="1:5">
      <c r="A749" s="3">
        <v>74.7</v>
      </c>
      <c r="B749" s="3">
        <v>25</v>
      </c>
      <c r="C749" s="3">
        <f t="shared" si="33"/>
        <v>25</v>
      </c>
      <c r="D749" s="3">
        <f t="shared" si="35"/>
        <v>625</v>
      </c>
      <c r="E749" s="3">
        <f t="shared" si="34"/>
        <v>625</v>
      </c>
    </row>
    <row r="750" spans="1:5">
      <c r="A750" s="3">
        <v>74.8</v>
      </c>
      <c r="B750" s="3">
        <v>25</v>
      </c>
      <c r="C750" s="3">
        <f t="shared" si="33"/>
        <v>25</v>
      </c>
      <c r="D750" s="3">
        <f t="shared" si="35"/>
        <v>625</v>
      </c>
      <c r="E750" s="3">
        <f t="shared" si="34"/>
        <v>625</v>
      </c>
    </row>
    <row r="751" spans="1:5">
      <c r="A751" s="3">
        <v>74.900000000000006</v>
      </c>
      <c r="B751" s="3">
        <v>25</v>
      </c>
      <c r="C751" s="3">
        <f t="shared" si="33"/>
        <v>25</v>
      </c>
      <c r="D751" s="3">
        <f t="shared" si="35"/>
        <v>625</v>
      </c>
      <c r="E751" s="3">
        <f t="shared" si="34"/>
        <v>625</v>
      </c>
    </row>
    <row r="752" spans="1:5">
      <c r="A752" s="3">
        <v>75</v>
      </c>
      <c r="B752" s="3">
        <v>25</v>
      </c>
      <c r="C752" s="3">
        <f t="shared" si="33"/>
        <v>25</v>
      </c>
      <c r="D752" s="3">
        <f t="shared" si="35"/>
        <v>625</v>
      </c>
      <c r="E752" s="3">
        <f t="shared" si="34"/>
        <v>625</v>
      </c>
    </row>
    <row r="753" spans="1:5">
      <c r="A753" s="3">
        <v>75.099999999999994</v>
      </c>
      <c r="B753" s="3">
        <v>25</v>
      </c>
      <c r="C753" s="3">
        <f t="shared" si="33"/>
        <v>25</v>
      </c>
      <c r="D753" s="3">
        <f t="shared" si="35"/>
        <v>625</v>
      </c>
      <c r="E753" s="3">
        <f t="shared" si="34"/>
        <v>625</v>
      </c>
    </row>
    <row r="754" spans="1:5">
      <c r="A754" s="3">
        <v>75.2</v>
      </c>
      <c r="B754" s="3">
        <v>25</v>
      </c>
      <c r="C754" s="3">
        <f t="shared" si="33"/>
        <v>25</v>
      </c>
      <c r="D754" s="3">
        <f t="shared" si="35"/>
        <v>625</v>
      </c>
      <c r="E754" s="3">
        <f t="shared" si="34"/>
        <v>625</v>
      </c>
    </row>
    <row r="755" spans="1:5">
      <c r="A755" s="3">
        <v>75.3</v>
      </c>
      <c r="B755" s="3">
        <v>25</v>
      </c>
      <c r="C755" s="3">
        <f t="shared" si="33"/>
        <v>25</v>
      </c>
      <c r="D755" s="3">
        <f t="shared" si="35"/>
        <v>625</v>
      </c>
      <c r="E755" s="3">
        <f t="shared" si="34"/>
        <v>625</v>
      </c>
    </row>
    <row r="756" spans="1:5">
      <c r="A756" s="3">
        <v>75.400000000000006</v>
      </c>
      <c r="B756" s="3">
        <v>25</v>
      </c>
      <c r="C756" s="3">
        <f t="shared" si="33"/>
        <v>25</v>
      </c>
      <c r="D756" s="3">
        <f t="shared" si="35"/>
        <v>625</v>
      </c>
      <c r="E756" s="3">
        <f t="shared" si="34"/>
        <v>625</v>
      </c>
    </row>
    <row r="757" spans="1:5">
      <c r="A757" s="3">
        <v>75.5</v>
      </c>
      <c r="B757" s="3">
        <v>25</v>
      </c>
      <c r="C757" s="3">
        <f t="shared" si="33"/>
        <v>25</v>
      </c>
      <c r="D757" s="3">
        <f t="shared" si="35"/>
        <v>625</v>
      </c>
      <c r="E757" s="3">
        <f t="shared" si="34"/>
        <v>625</v>
      </c>
    </row>
    <row r="758" spans="1:5">
      <c r="A758" s="3">
        <v>75.599999999999994</v>
      </c>
      <c r="B758" s="3">
        <v>25</v>
      </c>
      <c r="C758" s="3">
        <f t="shared" si="33"/>
        <v>25</v>
      </c>
      <c r="D758" s="3">
        <f t="shared" si="35"/>
        <v>625</v>
      </c>
      <c r="E758" s="3">
        <f t="shared" si="34"/>
        <v>625</v>
      </c>
    </row>
    <row r="759" spans="1:5">
      <c r="A759" s="3">
        <v>75.7</v>
      </c>
      <c r="B759" s="3">
        <v>25</v>
      </c>
      <c r="C759" s="3">
        <f t="shared" si="33"/>
        <v>25</v>
      </c>
      <c r="D759" s="3">
        <f t="shared" si="35"/>
        <v>625</v>
      </c>
      <c r="E759" s="3">
        <f t="shared" si="34"/>
        <v>625</v>
      </c>
    </row>
    <row r="760" spans="1:5">
      <c r="A760" s="3">
        <v>75.8</v>
      </c>
      <c r="B760" s="3">
        <v>25</v>
      </c>
      <c r="C760" s="3">
        <f t="shared" si="33"/>
        <v>25</v>
      </c>
      <c r="D760" s="3">
        <f t="shared" si="35"/>
        <v>625</v>
      </c>
      <c r="E760" s="3">
        <f t="shared" si="34"/>
        <v>625</v>
      </c>
    </row>
    <row r="761" spans="1:5">
      <c r="A761" s="3">
        <v>75.900000000000006</v>
      </c>
      <c r="B761" s="3">
        <v>25</v>
      </c>
      <c r="C761" s="3">
        <f t="shared" si="33"/>
        <v>25</v>
      </c>
      <c r="D761" s="3">
        <f t="shared" si="35"/>
        <v>625</v>
      </c>
      <c r="E761" s="3">
        <f t="shared" si="34"/>
        <v>625</v>
      </c>
    </row>
    <row r="762" spans="1:5">
      <c r="A762" s="3">
        <v>76</v>
      </c>
      <c r="B762" s="3">
        <v>25</v>
      </c>
      <c r="C762" s="3">
        <f t="shared" si="33"/>
        <v>25</v>
      </c>
      <c r="D762" s="3">
        <f t="shared" si="35"/>
        <v>625</v>
      </c>
      <c r="E762" s="3">
        <f t="shared" si="34"/>
        <v>625</v>
      </c>
    </row>
    <row r="763" spans="1:5">
      <c r="A763" s="3">
        <v>76.099999999999994</v>
      </c>
      <c r="B763" s="3">
        <v>25</v>
      </c>
      <c r="C763" s="3">
        <f t="shared" si="33"/>
        <v>25</v>
      </c>
      <c r="D763" s="3">
        <f t="shared" si="35"/>
        <v>625</v>
      </c>
      <c r="E763" s="3">
        <f t="shared" si="34"/>
        <v>625</v>
      </c>
    </row>
    <row r="764" spans="1:5">
      <c r="A764" s="3">
        <v>76.2</v>
      </c>
      <c r="B764" s="3">
        <v>25</v>
      </c>
      <c r="C764" s="3">
        <f t="shared" si="33"/>
        <v>25</v>
      </c>
      <c r="D764" s="3">
        <f t="shared" si="35"/>
        <v>625</v>
      </c>
      <c r="E764" s="3">
        <f t="shared" si="34"/>
        <v>625</v>
      </c>
    </row>
    <row r="765" spans="1:5">
      <c r="A765" s="3">
        <v>76.3</v>
      </c>
      <c r="B765" s="3">
        <v>25</v>
      </c>
      <c r="C765" s="3">
        <f t="shared" si="33"/>
        <v>25</v>
      </c>
      <c r="D765" s="3">
        <f t="shared" si="35"/>
        <v>625</v>
      </c>
      <c r="E765" s="3">
        <f t="shared" si="34"/>
        <v>625</v>
      </c>
    </row>
    <row r="766" spans="1:5">
      <c r="A766" s="3">
        <v>76.400000000000006</v>
      </c>
      <c r="B766" s="3">
        <v>25</v>
      </c>
      <c r="C766" s="3">
        <f t="shared" si="33"/>
        <v>25</v>
      </c>
      <c r="D766" s="3">
        <f t="shared" si="35"/>
        <v>625</v>
      </c>
      <c r="E766" s="3">
        <f t="shared" si="34"/>
        <v>625</v>
      </c>
    </row>
    <row r="767" spans="1:5">
      <c r="A767" s="3">
        <v>76.5</v>
      </c>
      <c r="B767" s="3">
        <v>25</v>
      </c>
      <c r="C767" s="3">
        <f t="shared" si="33"/>
        <v>25</v>
      </c>
      <c r="D767" s="3">
        <f t="shared" si="35"/>
        <v>625</v>
      </c>
      <c r="E767" s="3">
        <f t="shared" si="34"/>
        <v>625</v>
      </c>
    </row>
    <row r="768" spans="1:5">
      <c r="A768" s="3">
        <v>76.599999999999994</v>
      </c>
      <c r="B768" s="3">
        <v>25</v>
      </c>
      <c r="C768" s="3">
        <f t="shared" si="33"/>
        <v>25</v>
      </c>
      <c r="D768" s="3">
        <f t="shared" si="35"/>
        <v>625</v>
      </c>
      <c r="E768" s="3">
        <f t="shared" si="34"/>
        <v>625</v>
      </c>
    </row>
    <row r="769" spans="1:5">
      <c r="A769" s="3">
        <v>76.7</v>
      </c>
      <c r="B769" s="3">
        <v>25</v>
      </c>
      <c r="C769" s="3">
        <f t="shared" si="33"/>
        <v>25</v>
      </c>
      <c r="D769" s="3">
        <f t="shared" si="35"/>
        <v>625</v>
      </c>
      <c r="E769" s="3">
        <f t="shared" si="34"/>
        <v>625</v>
      </c>
    </row>
    <row r="770" spans="1:5">
      <c r="A770" s="3">
        <v>76.8</v>
      </c>
      <c r="B770" s="3">
        <v>25</v>
      </c>
      <c r="C770" s="3">
        <f t="shared" ref="C770:C833" si="36">ROUND(SQRT(E770),2)</f>
        <v>25</v>
      </c>
      <c r="D770" s="3">
        <f t="shared" si="35"/>
        <v>625</v>
      </c>
      <c r="E770" s="3">
        <f t="shared" ref="E770:E833" si="37">MIN(D770, E771+$H$4)</f>
        <v>625</v>
      </c>
    </row>
    <row r="771" spans="1:5">
      <c r="A771" s="3">
        <v>76.900000000000006</v>
      </c>
      <c r="B771" s="3">
        <v>25</v>
      </c>
      <c r="C771" s="3">
        <f t="shared" si="36"/>
        <v>25</v>
      </c>
      <c r="D771" s="3">
        <f t="shared" ref="D771:D834" si="38">MIN(B771^2, D770+$H$4)</f>
        <v>625</v>
      </c>
      <c r="E771" s="3">
        <f t="shared" si="37"/>
        <v>625</v>
      </c>
    </row>
    <row r="772" spans="1:5">
      <c r="A772" s="3">
        <v>77</v>
      </c>
      <c r="B772" s="3">
        <v>25</v>
      </c>
      <c r="C772" s="3">
        <f t="shared" si="36"/>
        <v>25</v>
      </c>
      <c r="D772" s="3">
        <f t="shared" si="38"/>
        <v>625</v>
      </c>
      <c r="E772" s="3">
        <f t="shared" si="37"/>
        <v>625</v>
      </c>
    </row>
    <row r="773" spans="1:5">
      <c r="A773" s="3">
        <v>77.099999999999994</v>
      </c>
      <c r="B773" s="3">
        <v>25</v>
      </c>
      <c r="C773" s="3">
        <f t="shared" si="36"/>
        <v>25</v>
      </c>
      <c r="D773" s="3">
        <f t="shared" si="38"/>
        <v>625</v>
      </c>
      <c r="E773" s="3">
        <f t="shared" si="37"/>
        <v>625</v>
      </c>
    </row>
    <row r="774" spans="1:5">
      <c r="A774" s="3">
        <v>77.2</v>
      </c>
      <c r="B774" s="3">
        <v>25</v>
      </c>
      <c r="C774" s="3">
        <f t="shared" si="36"/>
        <v>25</v>
      </c>
      <c r="D774" s="3">
        <f t="shared" si="38"/>
        <v>625</v>
      </c>
      <c r="E774" s="3">
        <f t="shared" si="37"/>
        <v>625</v>
      </c>
    </row>
    <row r="775" spans="1:5">
      <c r="A775" s="3">
        <v>77.3</v>
      </c>
      <c r="B775" s="3">
        <v>25</v>
      </c>
      <c r="C775" s="3">
        <f t="shared" si="36"/>
        <v>25</v>
      </c>
      <c r="D775" s="3">
        <f t="shared" si="38"/>
        <v>625</v>
      </c>
      <c r="E775" s="3">
        <f t="shared" si="37"/>
        <v>625</v>
      </c>
    </row>
    <row r="776" spans="1:5">
      <c r="A776" s="3">
        <v>77.400000000000006</v>
      </c>
      <c r="B776" s="3">
        <v>25</v>
      </c>
      <c r="C776" s="3">
        <f t="shared" si="36"/>
        <v>25</v>
      </c>
      <c r="D776" s="3">
        <f t="shared" si="38"/>
        <v>625</v>
      </c>
      <c r="E776" s="3">
        <f t="shared" si="37"/>
        <v>625</v>
      </c>
    </row>
    <row r="777" spans="1:5">
      <c r="A777" s="3">
        <v>77.5</v>
      </c>
      <c r="B777" s="3">
        <v>25</v>
      </c>
      <c r="C777" s="3">
        <f t="shared" si="36"/>
        <v>25</v>
      </c>
      <c r="D777" s="3">
        <f t="shared" si="38"/>
        <v>625</v>
      </c>
      <c r="E777" s="3">
        <f t="shared" si="37"/>
        <v>625</v>
      </c>
    </row>
    <row r="778" spans="1:5">
      <c r="A778" s="3">
        <v>77.599999999999994</v>
      </c>
      <c r="B778" s="3">
        <v>25</v>
      </c>
      <c r="C778" s="3">
        <f t="shared" si="36"/>
        <v>25</v>
      </c>
      <c r="D778" s="3">
        <f t="shared" si="38"/>
        <v>625</v>
      </c>
      <c r="E778" s="3">
        <f t="shared" si="37"/>
        <v>625</v>
      </c>
    </row>
    <row r="779" spans="1:5">
      <c r="A779" s="3">
        <v>77.7</v>
      </c>
      <c r="B779" s="3">
        <v>25</v>
      </c>
      <c r="C779" s="3">
        <f t="shared" si="36"/>
        <v>25</v>
      </c>
      <c r="D779" s="3">
        <f t="shared" si="38"/>
        <v>625</v>
      </c>
      <c r="E779" s="3">
        <f t="shared" si="37"/>
        <v>625</v>
      </c>
    </row>
    <row r="780" spans="1:5">
      <c r="A780" s="3">
        <v>77.8</v>
      </c>
      <c r="B780" s="3">
        <v>25</v>
      </c>
      <c r="C780" s="3">
        <f t="shared" si="36"/>
        <v>25</v>
      </c>
      <c r="D780" s="3">
        <f t="shared" si="38"/>
        <v>625</v>
      </c>
      <c r="E780" s="3">
        <f t="shared" si="37"/>
        <v>625</v>
      </c>
    </row>
    <row r="781" spans="1:5">
      <c r="A781" s="3">
        <v>77.900000000000006</v>
      </c>
      <c r="B781" s="3">
        <v>25</v>
      </c>
      <c r="C781" s="3">
        <f t="shared" si="36"/>
        <v>25</v>
      </c>
      <c r="D781" s="3">
        <f t="shared" si="38"/>
        <v>625</v>
      </c>
      <c r="E781" s="3">
        <f t="shared" si="37"/>
        <v>625</v>
      </c>
    </row>
    <row r="782" spans="1:5">
      <c r="A782" s="3">
        <v>78</v>
      </c>
      <c r="B782" s="3">
        <v>25</v>
      </c>
      <c r="C782" s="3">
        <f t="shared" si="36"/>
        <v>25</v>
      </c>
      <c r="D782" s="3">
        <f t="shared" si="38"/>
        <v>625</v>
      </c>
      <c r="E782" s="3">
        <f t="shared" si="37"/>
        <v>625</v>
      </c>
    </row>
    <row r="783" spans="1:5">
      <c r="A783" s="3">
        <v>78.099999999999994</v>
      </c>
      <c r="B783" s="3">
        <v>25</v>
      </c>
      <c r="C783" s="3">
        <f t="shared" si="36"/>
        <v>25</v>
      </c>
      <c r="D783" s="3">
        <f t="shared" si="38"/>
        <v>625</v>
      </c>
      <c r="E783" s="3">
        <f t="shared" si="37"/>
        <v>625</v>
      </c>
    </row>
    <row r="784" spans="1:5">
      <c r="A784" s="3">
        <v>78.2</v>
      </c>
      <c r="B784" s="3">
        <v>25</v>
      </c>
      <c r="C784" s="3">
        <f t="shared" si="36"/>
        <v>25</v>
      </c>
      <c r="D784" s="3">
        <f t="shared" si="38"/>
        <v>625</v>
      </c>
      <c r="E784" s="3">
        <f t="shared" si="37"/>
        <v>625</v>
      </c>
    </row>
    <row r="785" spans="1:5">
      <c r="A785" s="3">
        <v>78.3</v>
      </c>
      <c r="B785" s="3">
        <v>25</v>
      </c>
      <c r="C785" s="3">
        <f t="shared" si="36"/>
        <v>25</v>
      </c>
      <c r="D785" s="3">
        <f t="shared" si="38"/>
        <v>625</v>
      </c>
      <c r="E785" s="3">
        <f t="shared" si="37"/>
        <v>625</v>
      </c>
    </row>
    <row r="786" spans="1:5">
      <c r="A786" s="3">
        <v>78.400000000000006</v>
      </c>
      <c r="B786" s="3">
        <v>25</v>
      </c>
      <c r="C786" s="3">
        <f t="shared" si="36"/>
        <v>25</v>
      </c>
      <c r="D786" s="3">
        <f t="shared" si="38"/>
        <v>625</v>
      </c>
      <c r="E786" s="3">
        <f t="shared" si="37"/>
        <v>625</v>
      </c>
    </row>
    <row r="787" spans="1:5">
      <c r="A787" s="3">
        <v>78.5</v>
      </c>
      <c r="B787" s="3">
        <v>25</v>
      </c>
      <c r="C787" s="3">
        <f t="shared" si="36"/>
        <v>25</v>
      </c>
      <c r="D787" s="3">
        <f t="shared" si="38"/>
        <v>625</v>
      </c>
      <c r="E787" s="3">
        <f t="shared" si="37"/>
        <v>625</v>
      </c>
    </row>
    <row r="788" spans="1:5">
      <c r="A788" s="3">
        <v>78.599999999999994</v>
      </c>
      <c r="B788" s="3">
        <v>25</v>
      </c>
      <c r="C788" s="3">
        <f t="shared" si="36"/>
        <v>25</v>
      </c>
      <c r="D788" s="3">
        <f t="shared" si="38"/>
        <v>625</v>
      </c>
      <c r="E788" s="3">
        <f t="shared" si="37"/>
        <v>625</v>
      </c>
    </row>
    <row r="789" spans="1:5">
      <c r="A789" s="3">
        <v>78.7</v>
      </c>
      <c r="B789" s="3">
        <v>25</v>
      </c>
      <c r="C789" s="3">
        <f t="shared" si="36"/>
        <v>25</v>
      </c>
      <c r="D789" s="3">
        <f t="shared" si="38"/>
        <v>625</v>
      </c>
      <c r="E789" s="3">
        <f t="shared" si="37"/>
        <v>625</v>
      </c>
    </row>
    <row r="790" spans="1:5">
      <c r="A790" s="3">
        <v>78.8</v>
      </c>
      <c r="B790" s="3">
        <v>25</v>
      </c>
      <c r="C790" s="3">
        <f t="shared" si="36"/>
        <v>25</v>
      </c>
      <c r="D790" s="3">
        <f t="shared" si="38"/>
        <v>625</v>
      </c>
      <c r="E790" s="3">
        <f t="shared" si="37"/>
        <v>625</v>
      </c>
    </row>
    <row r="791" spans="1:5">
      <c r="A791" s="3">
        <v>78.900000000000006</v>
      </c>
      <c r="B791" s="3">
        <v>25</v>
      </c>
      <c r="C791" s="3">
        <f t="shared" si="36"/>
        <v>25</v>
      </c>
      <c r="D791" s="3">
        <f t="shared" si="38"/>
        <v>625</v>
      </c>
      <c r="E791" s="3">
        <f t="shared" si="37"/>
        <v>625</v>
      </c>
    </row>
    <row r="792" spans="1:5">
      <c r="A792" s="3">
        <v>79</v>
      </c>
      <c r="B792" s="3">
        <v>25</v>
      </c>
      <c r="C792" s="3">
        <f t="shared" si="36"/>
        <v>25</v>
      </c>
      <c r="D792" s="3">
        <f t="shared" si="38"/>
        <v>625</v>
      </c>
      <c r="E792" s="3">
        <f t="shared" si="37"/>
        <v>625</v>
      </c>
    </row>
    <row r="793" spans="1:5">
      <c r="A793" s="3">
        <v>79.099999999999994</v>
      </c>
      <c r="B793" s="3">
        <v>25</v>
      </c>
      <c r="C793" s="3">
        <f t="shared" si="36"/>
        <v>25</v>
      </c>
      <c r="D793" s="3">
        <f t="shared" si="38"/>
        <v>625</v>
      </c>
      <c r="E793" s="3">
        <f t="shared" si="37"/>
        <v>625</v>
      </c>
    </row>
    <row r="794" spans="1:5">
      <c r="A794" s="3">
        <v>79.2</v>
      </c>
      <c r="B794" s="3">
        <v>25</v>
      </c>
      <c r="C794" s="3">
        <f t="shared" si="36"/>
        <v>25</v>
      </c>
      <c r="D794" s="3">
        <f t="shared" si="38"/>
        <v>625</v>
      </c>
      <c r="E794" s="3">
        <f t="shared" si="37"/>
        <v>625</v>
      </c>
    </row>
    <row r="795" spans="1:5">
      <c r="A795" s="3">
        <v>79.3</v>
      </c>
      <c r="B795" s="3">
        <v>25</v>
      </c>
      <c r="C795" s="3">
        <f t="shared" si="36"/>
        <v>25</v>
      </c>
      <c r="D795" s="3">
        <f t="shared" si="38"/>
        <v>625</v>
      </c>
      <c r="E795" s="3">
        <f t="shared" si="37"/>
        <v>625</v>
      </c>
    </row>
    <row r="796" spans="1:5">
      <c r="A796" s="3">
        <v>79.400000000000006</v>
      </c>
      <c r="B796" s="3">
        <v>25</v>
      </c>
      <c r="C796" s="3">
        <f t="shared" si="36"/>
        <v>25</v>
      </c>
      <c r="D796" s="3">
        <f t="shared" si="38"/>
        <v>625</v>
      </c>
      <c r="E796" s="3">
        <f t="shared" si="37"/>
        <v>625</v>
      </c>
    </row>
    <row r="797" spans="1:5">
      <c r="A797" s="3">
        <v>79.5</v>
      </c>
      <c r="B797" s="3">
        <v>25</v>
      </c>
      <c r="C797" s="3">
        <f t="shared" si="36"/>
        <v>25</v>
      </c>
      <c r="D797" s="3">
        <f t="shared" si="38"/>
        <v>625</v>
      </c>
      <c r="E797" s="3">
        <f t="shared" si="37"/>
        <v>625</v>
      </c>
    </row>
    <row r="798" spans="1:5">
      <c r="A798" s="3">
        <v>79.599999999999994</v>
      </c>
      <c r="B798" s="3">
        <v>25</v>
      </c>
      <c r="C798" s="3">
        <f t="shared" si="36"/>
        <v>25</v>
      </c>
      <c r="D798" s="3">
        <f t="shared" si="38"/>
        <v>625</v>
      </c>
      <c r="E798" s="3">
        <f t="shared" si="37"/>
        <v>625</v>
      </c>
    </row>
    <row r="799" spans="1:5">
      <c r="A799" s="3">
        <v>79.7</v>
      </c>
      <c r="B799" s="3">
        <v>25</v>
      </c>
      <c r="C799" s="3">
        <f t="shared" si="36"/>
        <v>25</v>
      </c>
      <c r="D799" s="3">
        <f t="shared" si="38"/>
        <v>625</v>
      </c>
      <c r="E799" s="3">
        <f t="shared" si="37"/>
        <v>625</v>
      </c>
    </row>
    <row r="800" spans="1:5">
      <c r="A800" s="3">
        <v>79.8</v>
      </c>
      <c r="B800" s="3">
        <v>25</v>
      </c>
      <c r="C800" s="3">
        <f t="shared" si="36"/>
        <v>25</v>
      </c>
      <c r="D800" s="3">
        <f t="shared" si="38"/>
        <v>625</v>
      </c>
      <c r="E800" s="3">
        <f t="shared" si="37"/>
        <v>625</v>
      </c>
    </row>
    <row r="801" spans="1:5">
      <c r="A801" s="3">
        <v>79.900000000000006</v>
      </c>
      <c r="B801" s="3">
        <v>25</v>
      </c>
      <c r="C801" s="3">
        <f t="shared" si="36"/>
        <v>25</v>
      </c>
      <c r="D801" s="3">
        <f t="shared" si="38"/>
        <v>625</v>
      </c>
      <c r="E801" s="3">
        <f t="shared" si="37"/>
        <v>625</v>
      </c>
    </row>
    <row r="802" spans="1:5">
      <c r="A802" s="3">
        <v>80</v>
      </c>
      <c r="B802" s="3">
        <v>25</v>
      </c>
      <c r="C802" s="3">
        <f t="shared" si="36"/>
        <v>25</v>
      </c>
      <c r="D802" s="3">
        <f t="shared" si="38"/>
        <v>625</v>
      </c>
      <c r="E802" s="3">
        <f t="shared" si="37"/>
        <v>625</v>
      </c>
    </row>
    <row r="803" spans="1:5">
      <c r="A803" s="3">
        <v>80.099999999999994</v>
      </c>
      <c r="B803" s="3">
        <v>25</v>
      </c>
      <c r="C803" s="3">
        <f t="shared" si="36"/>
        <v>25</v>
      </c>
      <c r="D803" s="3">
        <f t="shared" si="38"/>
        <v>625</v>
      </c>
      <c r="E803" s="3">
        <f t="shared" si="37"/>
        <v>625</v>
      </c>
    </row>
    <row r="804" spans="1:5">
      <c r="A804" s="3">
        <v>80.2</v>
      </c>
      <c r="B804" s="3">
        <v>25</v>
      </c>
      <c r="C804" s="3">
        <f t="shared" si="36"/>
        <v>25</v>
      </c>
      <c r="D804" s="3">
        <f t="shared" si="38"/>
        <v>625</v>
      </c>
      <c r="E804" s="3">
        <f t="shared" si="37"/>
        <v>625</v>
      </c>
    </row>
    <row r="805" spans="1:5">
      <c r="A805" s="3">
        <v>80.3</v>
      </c>
      <c r="B805" s="3">
        <v>25</v>
      </c>
      <c r="C805" s="3">
        <f t="shared" si="36"/>
        <v>25</v>
      </c>
      <c r="D805" s="3">
        <f t="shared" si="38"/>
        <v>625</v>
      </c>
      <c r="E805" s="3">
        <f t="shared" si="37"/>
        <v>625</v>
      </c>
    </row>
    <row r="806" spans="1:5">
      <c r="A806" s="3">
        <v>80.400000000000006</v>
      </c>
      <c r="B806" s="3">
        <v>25</v>
      </c>
      <c r="C806" s="3">
        <f t="shared" si="36"/>
        <v>25</v>
      </c>
      <c r="D806" s="3">
        <f t="shared" si="38"/>
        <v>625</v>
      </c>
      <c r="E806" s="3">
        <f t="shared" si="37"/>
        <v>625</v>
      </c>
    </row>
    <row r="807" spans="1:5">
      <c r="A807" s="3">
        <v>80.5</v>
      </c>
      <c r="B807" s="3">
        <v>25</v>
      </c>
      <c r="C807" s="3">
        <f t="shared" si="36"/>
        <v>25</v>
      </c>
      <c r="D807" s="3">
        <f t="shared" si="38"/>
        <v>625</v>
      </c>
      <c r="E807" s="3">
        <f t="shared" si="37"/>
        <v>625</v>
      </c>
    </row>
    <row r="808" spans="1:5">
      <c r="A808" s="3">
        <v>80.599999999999994</v>
      </c>
      <c r="B808" s="3">
        <v>25</v>
      </c>
      <c r="C808" s="3">
        <f t="shared" si="36"/>
        <v>25</v>
      </c>
      <c r="D808" s="3">
        <f t="shared" si="38"/>
        <v>625</v>
      </c>
      <c r="E808" s="3">
        <f t="shared" si="37"/>
        <v>625</v>
      </c>
    </row>
    <row r="809" spans="1:5">
      <c r="A809" s="3">
        <v>80.7</v>
      </c>
      <c r="B809" s="3">
        <v>25</v>
      </c>
      <c r="C809" s="3">
        <f t="shared" si="36"/>
        <v>25</v>
      </c>
      <c r="D809" s="3">
        <f t="shared" si="38"/>
        <v>625</v>
      </c>
      <c r="E809" s="3">
        <f t="shared" si="37"/>
        <v>625</v>
      </c>
    </row>
    <row r="810" spans="1:5">
      <c r="A810" s="3">
        <v>80.8</v>
      </c>
      <c r="B810" s="3">
        <v>25</v>
      </c>
      <c r="C810" s="3">
        <f t="shared" si="36"/>
        <v>25</v>
      </c>
      <c r="D810" s="3">
        <f t="shared" si="38"/>
        <v>625</v>
      </c>
      <c r="E810" s="3">
        <f t="shared" si="37"/>
        <v>625</v>
      </c>
    </row>
    <row r="811" spans="1:5">
      <c r="A811" s="3">
        <v>80.900000000000006</v>
      </c>
      <c r="B811" s="3">
        <v>25</v>
      </c>
      <c r="C811" s="3">
        <f t="shared" si="36"/>
        <v>25</v>
      </c>
      <c r="D811" s="3">
        <f t="shared" si="38"/>
        <v>625</v>
      </c>
      <c r="E811" s="3">
        <f t="shared" si="37"/>
        <v>625</v>
      </c>
    </row>
    <row r="812" spans="1:5">
      <c r="A812" s="3">
        <v>81</v>
      </c>
      <c r="B812" s="3">
        <v>25</v>
      </c>
      <c r="C812" s="3">
        <f t="shared" si="36"/>
        <v>25</v>
      </c>
      <c r="D812" s="3">
        <f t="shared" si="38"/>
        <v>625</v>
      </c>
      <c r="E812" s="3">
        <f t="shared" si="37"/>
        <v>625</v>
      </c>
    </row>
    <row r="813" spans="1:5">
      <c r="A813" s="3">
        <v>81.099999999999994</v>
      </c>
      <c r="B813" s="3">
        <v>25</v>
      </c>
      <c r="C813" s="3">
        <f t="shared" si="36"/>
        <v>25</v>
      </c>
      <c r="D813" s="3">
        <f t="shared" si="38"/>
        <v>625</v>
      </c>
      <c r="E813" s="3">
        <f t="shared" si="37"/>
        <v>625</v>
      </c>
    </row>
    <row r="814" spans="1:5">
      <c r="A814" s="3">
        <v>81.2</v>
      </c>
      <c r="B814" s="3">
        <v>25</v>
      </c>
      <c r="C814" s="3">
        <f t="shared" si="36"/>
        <v>25</v>
      </c>
      <c r="D814" s="3">
        <f t="shared" si="38"/>
        <v>625</v>
      </c>
      <c r="E814" s="3">
        <f t="shared" si="37"/>
        <v>625</v>
      </c>
    </row>
    <row r="815" spans="1:5">
      <c r="A815" s="3">
        <v>81.3</v>
      </c>
      <c r="B815" s="3">
        <v>25</v>
      </c>
      <c r="C815" s="3">
        <f t="shared" si="36"/>
        <v>25</v>
      </c>
      <c r="D815" s="3">
        <f t="shared" si="38"/>
        <v>625</v>
      </c>
      <c r="E815" s="3">
        <f t="shared" si="37"/>
        <v>625</v>
      </c>
    </row>
    <row r="816" spans="1:5">
      <c r="A816" s="3">
        <v>81.400000000000006</v>
      </c>
      <c r="B816" s="3">
        <v>25</v>
      </c>
      <c r="C816" s="3">
        <f t="shared" si="36"/>
        <v>25</v>
      </c>
      <c r="D816" s="3">
        <f t="shared" si="38"/>
        <v>625</v>
      </c>
      <c r="E816" s="3">
        <f t="shared" si="37"/>
        <v>625</v>
      </c>
    </row>
    <row r="817" spans="1:5">
      <c r="A817" s="3">
        <v>81.5</v>
      </c>
      <c r="B817" s="3">
        <v>25</v>
      </c>
      <c r="C817" s="3">
        <f t="shared" si="36"/>
        <v>25</v>
      </c>
      <c r="D817" s="3">
        <f t="shared" si="38"/>
        <v>625</v>
      </c>
      <c r="E817" s="3">
        <f t="shared" si="37"/>
        <v>625</v>
      </c>
    </row>
    <row r="818" spans="1:5">
      <c r="A818" s="3">
        <v>81.599999999999994</v>
      </c>
      <c r="B818" s="3">
        <v>25</v>
      </c>
      <c r="C818" s="3">
        <f t="shared" si="36"/>
        <v>25</v>
      </c>
      <c r="D818" s="3">
        <f t="shared" si="38"/>
        <v>625</v>
      </c>
      <c r="E818" s="3">
        <f t="shared" si="37"/>
        <v>625</v>
      </c>
    </row>
    <row r="819" spans="1:5">
      <c r="A819" s="3">
        <v>81.7</v>
      </c>
      <c r="B819" s="3">
        <v>25</v>
      </c>
      <c r="C819" s="3">
        <f t="shared" si="36"/>
        <v>25</v>
      </c>
      <c r="D819" s="3">
        <f t="shared" si="38"/>
        <v>625</v>
      </c>
      <c r="E819" s="3">
        <f t="shared" si="37"/>
        <v>625</v>
      </c>
    </row>
    <row r="820" spans="1:5">
      <c r="A820" s="3">
        <v>81.8</v>
      </c>
      <c r="B820" s="3">
        <v>25</v>
      </c>
      <c r="C820" s="3">
        <f t="shared" si="36"/>
        <v>25</v>
      </c>
      <c r="D820" s="3">
        <f t="shared" si="38"/>
        <v>625</v>
      </c>
      <c r="E820" s="3">
        <f t="shared" si="37"/>
        <v>625</v>
      </c>
    </row>
    <row r="821" spans="1:5">
      <c r="A821" s="3">
        <v>81.900000000000006</v>
      </c>
      <c r="B821" s="3">
        <v>25</v>
      </c>
      <c r="C821" s="3">
        <f t="shared" si="36"/>
        <v>25</v>
      </c>
      <c r="D821" s="3">
        <f t="shared" si="38"/>
        <v>625</v>
      </c>
      <c r="E821" s="3">
        <f t="shared" si="37"/>
        <v>625</v>
      </c>
    </row>
    <row r="822" spans="1:5">
      <c r="A822" s="3">
        <v>82</v>
      </c>
      <c r="B822" s="3">
        <v>25</v>
      </c>
      <c r="C822" s="3">
        <f t="shared" si="36"/>
        <v>25</v>
      </c>
      <c r="D822" s="3">
        <f t="shared" si="38"/>
        <v>625</v>
      </c>
      <c r="E822" s="3">
        <f t="shared" si="37"/>
        <v>625</v>
      </c>
    </row>
    <row r="823" spans="1:5">
      <c r="A823" s="3">
        <v>82.1</v>
      </c>
      <c r="B823" s="3">
        <v>25</v>
      </c>
      <c r="C823" s="3">
        <f t="shared" si="36"/>
        <v>25</v>
      </c>
      <c r="D823" s="3">
        <f t="shared" si="38"/>
        <v>625</v>
      </c>
      <c r="E823" s="3">
        <f t="shared" si="37"/>
        <v>625</v>
      </c>
    </row>
    <row r="824" spans="1:5">
      <c r="A824" s="3">
        <v>82.2</v>
      </c>
      <c r="B824" s="3">
        <v>25</v>
      </c>
      <c r="C824" s="3">
        <f t="shared" si="36"/>
        <v>25</v>
      </c>
      <c r="D824" s="3">
        <f t="shared" si="38"/>
        <v>625</v>
      </c>
      <c r="E824" s="3">
        <f t="shared" si="37"/>
        <v>625</v>
      </c>
    </row>
    <row r="825" spans="1:5">
      <c r="A825" s="3">
        <v>82.3</v>
      </c>
      <c r="B825" s="3">
        <v>25</v>
      </c>
      <c r="C825" s="3">
        <f t="shared" si="36"/>
        <v>25</v>
      </c>
      <c r="D825" s="3">
        <f t="shared" si="38"/>
        <v>625</v>
      </c>
      <c r="E825" s="3">
        <f t="shared" si="37"/>
        <v>625</v>
      </c>
    </row>
    <row r="826" spans="1:5">
      <c r="A826" s="3">
        <v>82.4</v>
      </c>
      <c r="B826" s="3">
        <v>25</v>
      </c>
      <c r="C826" s="3">
        <f t="shared" si="36"/>
        <v>25</v>
      </c>
      <c r="D826" s="3">
        <f t="shared" si="38"/>
        <v>625</v>
      </c>
      <c r="E826" s="3">
        <f t="shared" si="37"/>
        <v>625</v>
      </c>
    </row>
    <row r="827" spans="1:5">
      <c r="A827" s="3">
        <v>82.5</v>
      </c>
      <c r="B827" s="3">
        <v>25</v>
      </c>
      <c r="C827" s="3">
        <f t="shared" si="36"/>
        <v>25</v>
      </c>
      <c r="D827" s="3">
        <f t="shared" si="38"/>
        <v>625</v>
      </c>
      <c r="E827" s="3">
        <f t="shared" si="37"/>
        <v>625</v>
      </c>
    </row>
    <row r="828" spans="1:5">
      <c r="A828" s="3">
        <v>82.6</v>
      </c>
      <c r="B828" s="3">
        <v>25</v>
      </c>
      <c r="C828" s="3">
        <f t="shared" si="36"/>
        <v>25</v>
      </c>
      <c r="D828" s="3">
        <f t="shared" si="38"/>
        <v>625</v>
      </c>
      <c r="E828" s="3">
        <f t="shared" si="37"/>
        <v>625</v>
      </c>
    </row>
    <row r="829" spans="1:5">
      <c r="A829" s="3">
        <v>82.7</v>
      </c>
      <c r="B829" s="3">
        <v>25</v>
      </c>
      <c r="C829" s="3">
        <f t="shared" si="36"/>
        <v>25</v>
      </c>
      <c r="D829" s="3">
        <f t="shared" si="38"/>
        <v>625</v>
      </c>
      <c r="E829" s="3">
        <f t="shared" si="37"/>
        <v>625</v>
      </c>
    </row>
    <row r="830" spans="1:5">
      <c r="A830" s="3">
        <v>82.8</v>
      </c>
      <c r="B830" s="3">
        <v>25</v>
      </c>
      <c r="C830" s="3">
        <f t="shared" si="36"/>
        <v>25</v>
      </c>
      <c r="D830" s="3">
        <f t="shared" si="38"/>
        <v>625</v>
      </c>
      <c r="E830" s="3">
        <f t="shared" si="37"/>
        <v>625</v>
      </c>
    </row>
    <row r="831" spans="1:5">
      <c r="A831" s="3">
        <v>82.9</v>
      </c>
      <c r="B831" s="3">
        <v>25</v>
      </c>
      <c r="C831" s="3">
        <f t="shared" si="36"/>
        <v>25</v>
      </c>
      <c r="D831" s="3">
        <f t="shared" si="38"/>
        <v>625</v>
      </c>
      <c r="E831" s="3">
        <f t="shared" si="37"/>
        <v>625</v>
      </c>
    </row>
    <row r="832" spans="1:5">
      <c r="A832" s="3">
        <v>83</v>
      </c>
      <c r="B832" s="3">
        <v>25</v>
      </c>
      <c r="C832" s="3">
        <f t="shared" si="36"/>
        <v>25</v>
      </c>
      <c r="D832" s="3">
        <f t="shared" si="38"/>
        <v>625</v>
      </c>
      <c r="E832" s="3">
        <f t="shared" si="37"/>
        <v>625</v>
      </c>
    </row>
    <row r="833" spans="1:5">
      <c r="A833" s="3">
        <v>83.1</v>
      </c>
      <c r="B833" s="3">
        <v>25</v>
      </c>
      <c r="C833" s="3">
        <f t="shared" si="36"/>
        <v>25</v>
      </c>
      <c r="D833" s="3">
        <f t="shared" si="38"/>
        <v>625</v>
      </c>
      <c r="E833" s="3">
        <f t="shared" si="37"/>
        <v>625</v>
      </c>
    </row>
    <row r="834" spans="1:5">
      <c r="A834" s="3">
        <v>83.2</v>
      </c>
      <c r="B834" s="3">
        <v>25</v>
      </c>
      <c r="C834" s="3">
        <f t="shared" ref="C834:C897" si="39">ROUND(SQRT(E834),2)</f>
        <v>25</v>
      </c>
      <c r="D834" s="3">
        <f t="shared" si="38"/>
        <v>625</v>
      </c>
      <c r="E834" s="3">
        <f t="shared" ref="E834:E897" si="40">MIN(D834, E835+$H$4)</f>
        <v>625</v>
      </c>
    </row>
    <row r="835" spans="1:5">
      <c r="A835" s="3">
        <v>83.3</v>
      </c>
      <c r="B835" s="3">
        <v>25</v>
      </c>
      <c r="C835" s="3">
        <f t="shared" si="39"/>
        <v>25</v>
      </c>
      <c r="D835" s="3">
        <f t="shared" ref="D835:D898" si="41">MIN(B835^2, D834+$H$4)</f>
        <v>625</v>
      </c>
      <c r="E835" s="3">
        <f t="shared" si="40"/>
        <v>625</v>
      </c>
    </row>
    <row r="836" spans="1:5">
      <c r="A836" s="3">
        <v>83.4</v>
      </c>
      <c r="B836" s="3">
        <v>25</v>
      </c>
      <c r="C836" s="3">
        <f t="shared" si="39"/>
        <v>25</v>
      </c>
      <c r="D836" s="3">
        <f t="shared" si="41"/>
        <v>625</v>
      </c>
      <c r="E836" s="3">
        <f t="shared" si="40"/>
        <v>625</v>
      </c>
    </row>
    <row r="837" spans="1:5">
      <c r="A837" s="3">
        <v>83.5</v>
      </c>
      <c r="B837" s="3">
        <v>25</v>
      </c>
      <c r="C837" s="3">
        <f t="shared" si="39"/>
        <v>25</v>
      </c>
      <c r="D837" s="3">
        <f t="shared" si="41"/>
        <v>625</v>
      </c>
      <c r="E837" s="3">
        <f t="shared" si="40"/>
        <v>625</v>
      </c>
    </row>
    <row r="838" spans="1:5">
      <c r="A838" s="3">
        <v>83.6</v>
      </c>
      <c r="B838" s="3">
        <v>25</v>
      </c>
      <c r="C838" s="3">
        <f t="shared" si="39"/>
        <v>25</v>
      </c>
      <c r="D838" s="3">
        <f t="shared" si="41"/>
        <v>625</v>
      </c>
      <c r="E838" s="3">
        <f t="shared" si="40"/>
        <v>625</v>
      </c>
    </row>
    <row r="839" spans="1:5">
      <c r="A839" s="3">
        <v>83.7</v>
      </c>
      <c r="B839" s="3">
        <v>25</v>
      </c>
      <c r="C839" s="3">
        <f t="shared" si="39"/>
        <v>25</v>
      </c>
      <c r="D839" s="3">
        <f t="shared" si="41"/>
        <v>625</v>
      </c>
      <c r="E839" s="3">
        <f t="shared" si="40"/>
        <v>625</v>
      </c>
    </row>
    <row r="840" spans="1:5">
      <c r="A840" s="3">
        <v>83.8</v>
      </c>
      <c r="B840" s="3">
        <v>25</v>
      </c>
      <c r="C840" s="3">
        <f t="shared" si="39"/>
        <v>25</v>
      </c>
      <c r="D840" s="3">
        <f t="shared" si="41"/>
        <v>625</v>
      </c>
      <c r="E840" s="3">
        <f t="shared" si="40"/>
        <v>625</v>
      </c>
    </row>
    <row r="841" spans="1:5">
      <c r="A841" s="3">
        <v>83.9</v>
      </c>
      <c r="B841" s="3">
        <v>25</v>
      </c>
      <c r="C841" s="3">
        <f t="shared" si="39"/>
        <v>25</v>
      </c>
      <c r="D841" s="3">
        <f t="shared" si="41"/>
        <v>625</v>
      </c>
      <c r="E841" s="3">
        <f t="shared" si="40"/>
        <v>625</v>
      </c>
    </row>
    <row r="842" spans="1:5">
      <c r="A842" s="3">
        <v>84</v>
      </c>
      <c r="B842" s="3">
        <v>25</v>
      </c>
      <c r="C842" s="3">
        <f t="shared" si="39"/>
        <v>25</v>
      </c>
      <c r="D842" s="3">
        <f t="shared" si="41"/>
        <v>625</v>
      </c>
      <c r="E842" s="3">
        <f t="shared" si="40"/>
        <v>625</v>
      </c>
    </row>
    <row r="843" spans="1:5">
      <c r="A843" s="3">
        <v>84.1</v>
      </c>
      <c r="B843" s="3">
        <v>25</v>
      </c>
      <c r="C843" s="3">
        <f t="shared" si="39"/>
        <v>25</v>
      </c>
      <c r="D843" s="3">
        <f t="shared" si="41"/>
        <v>625</v>
      </c>
      <c r="E843" s="3">
        <f t="shared" si="40"/>
        <v>625</v>
      </c>
    </row>
    <row r="844" spans="1:5">
      <c r="A844" s="3">
        <v>84.2</v>
      </c>
      <c r="B844" s="3">
        <v>25</v>
      </c>
      <c r="C844" s="3">
        <f t="shared" si="39"/>
        <v>25</v>
      </c>
      <c r="D844" s="3">
        <f t="shared" si="41"/>
        <v>625</v>
      </c>
      <c r="E844" s="3">
        <f t="shared" si="40"/>
        <v>625</v>
      </c>
    </row>
    <row r="845" spans="1:5">
      <c r="A845" s="3">
        <v>84.3</v>
      </c>
      <c r="B845" s="3">
        <v>25</v>
      </c>
      <c r="C845" s="3">
        <f t="shared" si="39"/>
        <v>25</v>
      </c>
      <c r="D845" s="3">
        <f t="shared" si="41"/>
        <v>625</v>
      </c>
      <c r="E845" s="3">
        <f t="shared" si="40"/>
        <v>625</v>
      </c>
    </row>
    <row r="846" spans="1:5">
      <c r="A846" s="3">
        <v>84.4</v>
      </c>
      <c r="B846" s="3">
        <v>25</v>
      </c>
      <c r="C846" s="3">
        <f t="shared" si="39"/>
        <v>25</v>
      </c>
      <c r="D846" s="3">
        <f t="shared" si="41"/>
        <v>625</v>
      </c>
      <c r="E846" s="3">
        <f t="shared" si="40"/>
        <v>625</v>
      </c>
    </row>
    <row r="847" spans="1:5">
      <c r="A847" s="3">
        <v>84.5</v>
      </c>
      <c r="B847" s="3">
        <v>25</v>
      </c>
      <c r="C847" s="3">
        <f t="shared" si="39"/>
        <v>25</v>
      </c>
      <c r="D847" s="3">
        <f t="shared" si="41"/>
        <v>625</v>
      </c>
      <c r="E847" s="3">
        <f t="shared" si="40"/>
        <v>625</v>
      </c>
    </row>
    <row r="848" spans="1:5">
      <c r="A848" s="3">
        <v>84.6</v>
      </c>
      <c r="B848" s="3">
        <v>25</v>
      </c>
      <c r="C848" s="3">
        <f t="shared" si="39"/>
        <v>25</v>
      </c>
      <c r="D848" s="3">
        <f t="shared" si="41"/>
        <v>625</v>
      </c>
      <c r="E848" s="3">
        <f t="shared" si="40"/>
        <v>625</v>
      </c>
    </row>
    <row r="849" spans="1:5">
      <c r="A849" s="3">
        <v>84.7</v>
      </c>
      <c r="B849" s="3">
        <v>25</v>
      </c>
      <c r="C849" s="3">
        <f t="shared" si="39"/>
        <v>25</v>
      </c>
      <c r="D849" s="3">
        <f t="shared" si="41"/>
        <v>625</v>
      </c>
      <c r="E849" s="3">
        <f t="shared" si="40"/>
        <v>625</v>
      </c>
    </row>
    <row r="850" spans="1:5">
      <c r="A850" s="3">
        <v>84.8</v>
      </c>
      <c r="B850" s="3">
        <v>25</v>
      </c>
      <c r="C850" s="3">
        <f t="shared" si="39"/>
        <v>25</v>
      </c>
      <c r="D850" s="3">
        <f t="shared" si="41"/>
        <v>625</v>
      </c>
      <c r="E850" s="3">
        <f t="shared" si="40"/>
        <v>625</v>
      </c>
    </row>
    <row r="851" spans="1:5">
      <c r="A851" s="3">
        <v>84.9</v>
      </c>
      <c r="B851" s="3">
        <v>25</v>
      </c>
      <c r="C851" s="3">
        <f t="shared" si="39"/>
        <v>25</v>
      </c>
      <c r="D851" s="3">
        <f t="shared" si="41"/>
        <v>625</v>
      </c>
      <c r="E851" s="3">
        <f t="shared" si="40"/>
        <v>625</v>
      </c>
    </row>
    <row r="852" spans="1:5">
      <c r="A852" s="3">
        <v>85</v>
      </c>
      <c r="B852" s="3">
        <v>25</v>
      </c>
      <c r="C852" s="3">
        <f t="shared" si="39"/>
        <v>25</v>
      </c>
      <c r="D852" s="3">
        <f t="shared" si="41"/>
        <v>625</v>
      </c>
      <c r="E852" s="3">
        <f t="shared" si="40"/>
        <v>625</v>
      </c>
    </row>
    <row r="853" spans="1:5">
      <c r="A853" s="3">
        <v>85.1</v>
      </c>
      <c r="B853" s="3">
        <v>25</v>
      </c>
      <c r="C853" s="3">
        <f t="shared" si="39"/>
        <v>25</v>
      </c>
      <c r="D853" s="3">
        <f t="shared" si="41"/>
        <v>625</v>
      </c>
      <c r="E853" s="3">
        <f t="shared" si="40"/>
        <v>625</v>
      </c>
    </row>
    <row r="854" spans="1:5">
      <c r="A854" s="3">
        <v>85.2</v>
      </c>
      <c r="B854" s="3">
        <v>25</v>
      </c>
      <c r="C854" s="3">
        <f t="shared" si="39"/>
        <v>25</v>
      </c>
      <c r="D854" s="3">
        <f t="shared" si="41"/>
        <v>625</v>
      </c>
      <c r="E854" s="3">
        <f t="shared" si="40"/>
        <v>625</v>
      </c>
    </row>
    <row r="855" spans="1:5">
      <c r="A855" s="3">
        <v>85.3</v>
      </c>
      <c r="B855" s="3">
        <v>25</v>
      </c>
      <c r="C855" s="3">
        <f t="shared" si="39"/>
        <v>25</v>
      </c>
      <c r="D855" s="3">
        <f t="shared" si="41"/>
        <v>625</v>
      </c>
      <c r="E855" s="3">
        <f t="shared" si="40"/>
        <v>625</v>
      </c>
    </row>
    <row r="856" spans="1:5">
      <c r="A856" s="3">
        <v>85.4</v>
      </c>
      <c r="B856" s="3">
        <v>25</v>
      </c>
      <c r="C856" s="3">
        <f t="shared" si="39"/>
        <v>25</v>
      </c>
      <c r="D856" s="3">
        <f t="shared" si="41"/>
        <v>625</v>
      </c>
      <c r="E856" s="3">
        <f t="shared" si="40"/>
        <v>625</v>
      </c>
    </row>
    <row r="857" spans="1:5">
      <c r="A857" s="3">
        <v>85.5</v>
      </c>
      <c r="B857" s="3">
        <v>25</v>
      </c>
      <c r="C857" s="3">
        <f t="shared" si="39"/>
        <v>25</v>
      </c>
      <c r="D857" s="3">
        <f t="shared" si="41"/>
        <v>625</v>
      </c>
      <c r="E857" s="3">
        <f t="shared" si="40"/>
        <v>625</v>
      </c>
    </row>
    <row r="858" spans="1:5">
      <c r="A858" s="3">
        <v>85.6</v>
      </c>
      <c r="B858" s="3">
        <v>25</v>
      </c>
      <c r="C858" s="3">
        <f t="shared" si="39"/>
        <v>25</v>
      </c>
      <c r="D858" s="3">
        <f t="shared" si="41"/>
        <v>625</v>
      </c>
      <c r="E858" s="3">
        <f t="shared" si="40"/>
        <v>625</v>
      </c>
    </row>
    <row r="859" spans="1:5">
      <c r="A859" s="3">
        <v>85.7</v>
      </c>
      <c r="B859" s="3">
        <v>25</v>
      </c>
      <c r="C859" s="3">
        <f t="shared" si="39"/>
        <v>25</v>
      </c>
      <c r="D859" s="3">
        <f t="shared" si="41"/>
        <v>625</v>
      </c>
      <c r="E859" s="3">
        <f t="shared" si="40"/>
        <v>625</v>
      </c>
    </row>
    <row r="860" spans="1:5">
      <c r="A860" s="3">
        <v>85.8</v>
      </c>
      <c r="B860" s="3">
        <v>25</v>
      </c>
      <c r="C860" s="3">
        <f t="shared" si="39"/>
        <v>25</v>
      </c>
      <c r="D860" s="3">
        <f t="shared" si="41"/>
        <v>625</v>
      </c>
      <c r="E860" s="3">
        <f t="shared" si="40"/>
        <v>625</v>
      </c>
    </row>
    <row r="861" spans="1:5">
      <c r="A861" s="3">
        <v>85.9</v>
      </c>
      <c r="B861" s="3">
        <v>25</v>
      </c>
      <c r="C861" s="3">
        <f t="shared" si="39"/>
        <v>25</v>
      </c>
      <c r="D861" s="3">
        <f t="shared" si="41"/>
        <v>625</v>
      </c>
      <c r="E861" s="3">
        <f t="shared" si="40"/>
        <v>625</v>
      </c>
    </row>
    <row r="862" spans="1:5">
      <c r="A862" s="3">
        <v>86</v>
      </c>
      <c r="B862" s="3">
        <v>25</v>
      </c>
      <c r="C862" s="3">
        <f t="shared" si="39"/>
        <v>25</v>
      </c>
      <c r="D862" s="3">
        <f t="shared" si="41"/>
        <v>625</v>
      </c>
      <c r="E862" s="3">
        <f t="shared" si="40"/>
        <v>625</v>
      </c>
    </row>
    <row r="863" spans="1:5">
      <c r="A863" s="3">
        <v>86.1</v>
      </c>
      <c r="B863" s="3">
        <v>25</v>
      </c>
      <c r="C863" s="3">
        <f t="shared" si="39"/>
        <v>25</v>
      </c>
      <c r="D863" s="3">
        <f t="shared" si="41"/>
        <v>625</v>
      </c>
      <c r="E863" s="3">
        <f t="shared" si="40"/>
        <v>625</v>
      </c>
    </row>
    <row r="864" spans="1:5">
      <c r="A864" s="3">
        <v>86.2</v>
      </c>
      <c r="B864" s="3">
        <v>25</v>
      </c>
      <c r="C864" s="3">
        <f t="shared" si="39"/>
        <v>25</v>
      </c>
      <c r="D864" s="3">
        <f t="shared" si="41"/>
        <v>625</v>
      </c>
      <c r="E864" s="3">
        <f t="shared" si="40"/>
        <v>625</v>
      </c>
    </row>
    <row r="865" spans="1:5">
      <c r="A865" s="3">
        <v>86.3</v>
      </c>
      <c r="B865" s="3">
        <v>25</v>
      </c>
      <c r="C865" s="3">
        <f t="shared" si="39"/>
        <v>25</v>
      </c>
      <c r="D865" s="3">
        <f t="shared" si="41"/>
        <v>625</v>
      </c>
      <c r="E865" s="3">
        <f t="shared" si="40"/>
        <v>625</v>
      </c>
    </row>
    <row r="866" spans="1:5">
      <c r="A866" s="3">
        <v>86.4</v>
      </c>
      <c r="B866" s="3">
        <v>25</v>
      </c>
      <c r="C866" s="3">
        <f t="shared" si="39"/>
        <v>25</v>
      </c>
      <c r="D866" s="3">
        <f t="shared" si="41"/>
        <v>625</v>
      </c>
      <c r="E866" s="3">
        <f t="shared" si="40"/>
        <v>625</v>
      </c>
    </row>
    <row r="867" spans="1:5">
      <c r="A867" s="3">
        <v>86.5</v>
      </c>
      <c r="B867" s="3">
        <v>25</v>
      </c>
      <c r="C867" s="3">
        <f t="shared" si="39"/>
        <v>25</v>
      </c>
      <c r="D867" s="3">
        <f t="shared" si="41"/>
        <v>625</v>
      </c>
      <c r="E867" s="3">
        <f t="shared" si="40"/>
        <v>625</v>
      </c>
    </row>
    <row r="868" spans="1:5">
      <c r="A868" s="3">
        <v>86.6</v>
      </c>
      <c r="B868" s="3">
        <v>25</v>
      </c>
      <c r="C868" s="3">
        <f t="shared" si="39"/>
        <v>25</v>
      </c>
      <c r="D868" s="3">
        <f t="shared" si="41"/>
        <v>625</v>
      </c>
      <c r="E868" s="3">
        <f t="shared" si="40"/>
        <v>625</v>
      </c>
    </row>
    <row r="869" spans="1:5">
      <c r="A869" s="3">
        <v>86.7</v>
      </c>
      <c r="B869" s="3">
        <v>25</v>
      </c>
      <c r="C869" s="3">
        <f t="shared" si="39"/>
        <v>25</v>
      </c>
      <c r="D869" s="3">
        <f t="shared" si="41"/>
        <v>625</v>
      </c>
      <c r="E869" s="3">
        <f t="shared" si="40"/>
        <v>625</v>
      </c>
    </row>
    <row r="870" spans="1:5">
      <c r="A870" s="3">
        <v>86.8</v>
      </c>
      <c r="B870" s="3">
        <v>25</v>
      </c>
      <c r="C870" s="3">
        <f t="shared" si="39"/>
        <v>25</v>
      </c>
      <c r="D870" s="3">
        <f t="shared" si="41"/>
        <v>625</v>
      </c>
      <c r="E870" s="3">
        <f t="shared" si="40"/>
        <v>625</v>
      </c>
    </row>
    <row r="871" spans="1:5">
      <c r="A871" s="3">
        <v>86.9</v>
      </c>
      <c r="B871" s="3">
        <v>25</v>
      </c>
      <c r="C871" s="3">
        <f t="shared" si="39"/>
        <v>25</v>
      </c>
      <c r="D871" s="3">
        <f t="shared" si="41"/>
        <v>625</v>
      </c>
      <c r="E871" s="3">
        <f t="shared" si="40"/>
        <v>625</v>
      </c>
    </row>
    <row r="872" spans="1:5">
      <c r="A872" s="3">
        <v>87</v>
      </c>
      <c r="B872" s="3">
        <v>25</v>
      </c>
      <c r="C872" s="3">
        <f t="shared" si="39"/>
        <v>25</v>
      </c>
      <c r="D872" s="3">
        <f t="shared" si="41"/>
        <v>625</v>
      </c>
      <c r="E872" s="3">
        <f t="shared" si="40"/>
        <v>625</v>
      </c>
    </row>
    <row r="873" spans="1:5">
      <c r="A873" s="3">
        <v>87.1</v>
      </c>
      <c r="B873" s="3">
        <v>25</v>
      </c>
      <c r="C873" s="3">
        <f t="shared" si="39"/>
        <v>25</v>
      </c>
      <c r="D873" s="3">
        <f t="shared" si="41"/>
        <v>625</v>
      </c>
      <c r="E873" s="3">
        <f t="shared" si="40"/>
        <v>625</v>
      </c>
    </row>
    <row r="874" spans="1:5">
      <c r="A874" s="3">
        <v>87.2</v>
      </c>
      <c r="B874" s="3">
        <v>25</v>
      </c>
      <c r="C874" s="3">
        <f t="shared" si="39"/>
        <v>25</v>
      </c>
      <c r="D874" s="3">
        <f t="shared" si="41"/>
        <v>625</v>
      </c>
      <c r="E874" s="3">
        <f t="shared" si="40"/>
        <v>625</v>
      </c>
    </row>
    <row r="875" spans="1:5">
      <c r="A875" s="3">
        <v>87.3</v>
      </c>
      <c r="B875" s="3">
        <v>25</v>
      </c>
      <c r="C875" s="3">
        <f t="shared" si="39"/>
        <v>25</v>
      </c>
      <c r="D875" s="3">
        <f t="shared" si="41"/>
        <v>625</v>
      </c>
      <c r="E875" s="3">
        <f t="shared" si="40"/>
        <v>625</v>
      </c>
    </row>
    <row r="876" spans="1:5">
      <c r="A876" s="3">
        <v>87.4</v>
      </c>
      <c r="B876" s="3">
        <v>25</v>
      </c>
      <c r="C876" s="3">
        <f t="shared" si="39"/>
        <v>25</v>
      </c>
      <c r="D876" s="3">
        <f t="shared" si="41"/>
        <v>625</v>
      </c>
      <c r="E876" s="3">
        <f t="shared" si="40"/>
        <v>625</v>
      </c>
    </row>
    <row r="877" spans="1:5">
      <c r="A877" s="3">
        <v>87.5</v>
      </c>
      <c r="B877" s="3">
        <v>25</v>
      </c>
      <c r="C877" s="3">
        <f t="shared" si="39"/>
        <v>25</v>
      </c>
      <c r="D877" s="3">
        <f t="shared" si="41"/>
        <v>625</v>
      </c>
      <c r="E877" s="3">
        <f t="shared" si="40"/>
        <v>625</v>
      </c>
    </row>
    <row r="878" spans="1:5">
      <c r="A878" s="3">
        <v>87.6</v>
      </c>
      <c r="B878" s="3">
        <v>25</v>
      </c>
      <c r="C878" s="3">
        <f t="shared" si="39"/>
        <v>25</v>
      </c>
      <c r="D878" s="3">
        <f t="shared" si="41"/>
        <v>625</v>
      </c>
      <c r="E878" s="3">
        <f t="shared" si="40"/>
        <v>625</v>
      </c>
    </row>
    <row r="879" spans="1:5">
      <c r="A879" s="3">
        <v>87.7</v>
      </c>
      <c r="B879" s="3">
        <v>25</v>
      </c>
      <c r="C879" s="3">
        <f t="shared" si="39"/>
        <v>25</v>
      </c>
      <c r="D879" s="3">
        <f t="shared" si="41"/>
        <v>625</v>
      </c>
      <c r="E879" s="3">
        <f t="shared" si="40"/>
        <v>625</v>
      </c>
    </row>
    <row r="880" spans="1:5">
      <c r="A880" s="3">
        <v>87.8</v>
      </c>
      <c r="B880" s="3">
        <v>25</v>
      </c>
      <c r="C880" s="3">
        <f t="shared" si="39"/>
        <v>25</v>
      </c>
      <c r="D880" s="3">
        <f t="shared" si="41"/>
        <v>625</v>
      </c>
      <c r="E880" s="3">
        <f t="shared" si="40"/>
        <v>625</v>
      </c>
    </row>
    <row r="881" spans="1:5">
      <c r="A881" s="3">
        <v>87.9</v>
      </c>
      <c r="B881" s="3">
        <v>25</v>
      </c>
      <c r="C881" s="3">
        <f t="shared" si="39"/>
        <v>25</v>
      </c>
      <c r="D881" s="3">
        <f t="shared" si="41"/>
        <v>625</v>
      </c>
      <c r="E881" s="3">
        <f t="shared" si="40"/>
        <v>625</v>
      </c>
    </row>
    <row r="882" spans="1:5">
      <c r="A882" s="3">
        <v>88</v>
      </c>
      <c r="B882" s="3">
        <v>25</v>
      </c>
      <c r="C882" s="3">
        <f t="shared" si="39"/>
        <v>25</v>
      </c>
      <c r="D882" s="3">
        <f t="shared" si="41"/>
        <v>625</v>
      </c>
      <c r="E882" s="3">
        <f t="shared" si="40"/>
        <v>625</v>
      </c>
    </row>
    <row r="883" spans="1:5">
      <c r="A883" s="3">
        <v>88.1</v>
      </c>
      <c r="B883" s="3">
        <v>25</v>
      </c>
      <c r="C883" s="3">
        <f t="shared" si="39"/>
        <v>25</v>
      </c>
      <c r="D883" s="3">
        <f t="shared" si="41"/>
        <v>625</v>
      </c>
      <c r="E883" s="3">
        <f t="shared" si="40"/>
        <v>625</v>
      </c>
    </row>
    <row r="884" spans="1:5">
      <c r="A884" s="3">
        <v>88.2</v>
      </c>
      <c r="B884" s="3">
        <v>25</v>
      </c>
      <c r="C884" s="3">
        <f t="shared" si="39"/>
        <v>25</v>
      </c>
      <c r="D884" s="3">
        <f t="shared" si="41"/>
        <v>625</v>
      </c>
      <c r="E884" s="3">
        <f t="shared" si="40"/>
        <v>625</v>
      </c>
    </row>
    <row r="885" spans="1:5">
      <c r="A885" s="3">
        <v>88.3</v>
      </c>
      <c r="B885" s="3">
        <v>25</v>
      </c>
      <c r="C885" s="3">
        <f t="shared" si="39"/>
        <v>25</v>
      </c>
      <c r="D885" s="3">
        <f t="shared" si="41"/>
        <v>625</v>
      </c>
      <c r="E885" s="3">
        <f t="shared" si="40"/>
        <v>625</v>
      </c>
    </row>
    <row r="886" spans="1:5">
      <c r="A886" s="3">
        <v>88.4</v>
      </c>
      <c r="B886" s="3">
        <v>25</v>
      </c>
      <c r="C886" s="3">
        <f t="shared" si="39"/>
        <v>25</v>
      </c>
      <c r="D886" s="3">
        <f t="shared" si="41"/>
        <v>625</v>
      </c>
      <c r="E886" s="3">
        <f t="shared" si="40"/>
        <v>625</v>
      </c>
    </row>
    <row r="887" spans="1:5">
      <c r="A887" s="3">
        <v>88.5</v>
      </c>
      <c r="B887" s="3">
        <v>25</v>
      </c>
      <c r="C887" s="3">
        <f t="shared" si="39"/>
        <v>25</v>
      </c>
      <c r="D887" s="3">
        <f t="shared" si="41"/>
        <v>625</v>
      </c>
      <c r="E887" s="3">
        <f t="shared" si="40"/>
        <v>625</v>
      </c>
    </row>
    <row r="888" spans="1:5">
      <c r="A888" s="3">
        <v>88.6</v>
      </c>
      <c r="B888" s="3">
        <v>25</v>
      </c>
      <c r="C888" s="3">
        <f t="shared" si="39"/>
        <v>25</v>
      </c>
      <c r="D888" s="3">
        <f t="shared" si="41"/>
        <v>625</v>
      </c>
      <c r="E888" s="3">
        <f t="shared" si="40"/>
        <v>625</v>
      </c>
    </row>
    <row r="889" spans="1:5">
      <c r="A889" s="3">
        <v>88.7</v>
      </c>
      <c r="B889" s="3">
        <v>25</v>
      </c>
      <c r="C889" s="3">
        <f t="shared" si="39"/>
        <v>25</v>
      </c>
      <c r="D889" s="3">
        <f t="shared" si="41"/>
        <v>625</v>
      </c>
      <c r="E889" s="3">
        <f t="shared" si="40"/>
        <v>625</v>
      </c>
    </row>
    <row r="890" spans="1:5">
      <c r="A890" s="3">
        <v>88.8</v>
      </c>
      <c r="B890" s="3">
        <v>25</v>
      </c>
      <c r="C890" s="3">
        <f t="shared" si="39"/>
        <v>25</v>
      </c>
      <c r="D890" s="3">
        <f t="shared" si="41"/>
        <v>625</v>
      </c>
      <c r="E890" s="3">
        <f t="shared" si="40"/>
        <v>625</v>
      </c>
    </row>
    <row r="891" spans="1:5">
      <c r="A891" s="3">
        <v>88.9</v>
      </c>
      <c r="B891" s="3">
        <v>25</v>
      </c>
      <c r="C891" s="3">
        <f t="shared" si="39"/>
        <v>25</v>
      </c>
      <c r="D891" s="3">
        <f t="shared" si="41"/>
        <v>625</v>
      </c>
      <c r="E891" s="3">
        <f t="shared" si="40"/>
        <v>625</v>
      </c>
    </row>
    <row r="892" spans="1:5">
      <c r="A892" s="3">
        <v>89</v>
      </c>
      <c r="B892" s="3">
        <v>25</v>
      </c>
      <c r="C892" s="3">
        <f t="shared" si="39"/>
        <v>25</v>
      </c>
      <c r="D892" s="3">
        <f t="shared" si="41"/>
        <v>625</v>
      </c>
      <c r="E892" s="3">
        <f t="shared" si="40"/>
        <v>625</v>
      </c>
    </row>
    <row r="893" spans="1:5">
      <c r="A893" s="3">
        <v>89.1</v>
      </c>
      <c r="B893" s="3">
        <v>25</v>
      </c>
      <c r="C893" s="3">
        <f t="shared" si="39"/>
        <v>25</v>
      </c>
      <c r="D893" s="3">
        <f t="shared" si="41"/>
        <v>625</v>
      </c>
      <c r="E893" s="3">
        <f t="shared" si="40"/>
        <v>625</v>
      </c>
    </row>
    <row r="894" spans="1:5">
      <c r="A894" s="3">
        <v>89.2</v>
      </c>
      <c r="B894" s="3">
        <v>25</v>
      </c>
      <c r="C894" s="3">
        <f t="shared" si="39"/>
        <v>25</v>
      </c>
      <c r="D894" s="3">
        <f t="shared" si="41"/>
        <v>625</v>
      </c>
      <c r="E894" s="3">
        <f t="shared" si="40"/>
        <v>625</v>
      </c>
    </row>
    <row r="895" spans="1:5">
      <c r="A895" s="3">
        <v>89.3</v>
      </c>
      <c r="B895" s="3">
        <v>25</v>
      </c>
      <c r="C895" s="3">
        <f t="shared" si="39"/>
        <v>25</v>
      </c>
      <c r="D895" s="3">
        <f t="shared" si="41"/>
        <v>625</v>
      </c>
      <c r="E895" s="3">
        <f t="shared" si="40"/>
        <v>625</v>
      </c>
    </row>
    <row r="896" spans="1:5">
      <c r="A896" s="3">
        <v>89.4</v>
      </c>
      <c r="B896" s="3">
        <v>25</v>
      </c>
      <c r="C896" s="3">
        <f t="shared" si="39"/>
        <v>25</v>
      </c>
      <c r="D896" s="3">
        <f t="shared" si="41"/>
        <v>625</v>
      </c>
      <c r="E896" s="3">
        <f t="shared" si="40"/>
        <v>625</v>
      </c>
    </row>
    <row r="897" spans="1:5">
      <c r="A897" s="3">
        <v>89.5</v>
      </c>
      <c r="B897" s="3">
        <v>25</v>
      </c>
      <c r="C897" s="3">
        <f t="shared" si="39"/>
        <v>25</v>
      </c>
      <c r="D897" s="3">
        <f t="shared" si="41"/>
        <v>625</v>
      </c>
      <c r="E897" s="3">
        <f t="shared" si="40"/>
        <v>625</v>
      </c>
    </row>
    <row r="898" spans="1:5">
      <c r="A898" s="3">
        <v>89.6</v>
      </c>
      <c r="B898" s="3">
        <v>25</v>
      </c>
      <c r="C898" s="3">
        <f t="shared" ref="C898:C961" si="42">ROUND(SQRT(E898),2)</f>
        <v>25</v>
      </c>
      <c r="D898" s="3">
        <f t="shared" si="41"/>
        <v>625</v>
      </c>
      <c r="E898" s="3">
        <f t="shared" ref="E898:E961" si="43">MIN(D898, E899+$H$4)</f>
        <v>625</v>
      </c>
    </row>
    <row r="899" spans="1:5">
      <c r="A899" s="3">
        <v>89.7</v>
      </c>
      <c r="B899" s="3">
        <v>25</v>
      </c>
      <c r="C899" s="3">
        <f t="shared" si="42"/>
        <v>25</v>
      </c>
      <c r="D899" s="3">
        <f t="shared" ref="D899:D962" si="44">MIN(B899^2, D898+$H$4)</f>
        <v>625</v>
      </c>
      <c r="E899" s="3">
        <f t="shared" si="43"/>
        <v>625</v>
      </c>
    </row>
    <row r="900" spans="1:5">
      <c r="A900" s="3">
        <v>89.8</v>
      </c>
      <c r="B900" s="3">
        <v>25</v>
      </c>
      <c r="C900" s="3">
        <f t="shared" si="42"/>
        <v>25</v>
      </c>
      <c r="D900" s="3">
        <f t="shared" si="44"/>
        <v>625</v>
      </c>
      <c r="E900" s="3">
        <f t="shared" si="43"/>
        <v>625</v>
      </c>
    </row>
    <row r="901" spans="1:5">
      <c r="A901" s="3">
        <v>89.9</v>
      </c>
      <c r="B901" s="3">
        <v>25</v>
      </c>
      <c r="C901" s="3">
        <f t="shared" si="42"/>
        <v>25</v>
      </c>
      <c r="D901" s="3">
        <f t="shared" si="44"/>
        <v>625</v>
      </c>
      <c r="E901" s="3">
        <f t="shared" si="43"/>
        <v>625</v>
      </c>
    </row>
    <row r="902" spans="1:5">
      <c r="A902" s="3">
        <v>90</v>
      </c>
      <c r="B902" s="3">
        <v>25</v>
      </c>
      <c r="C902" s="3">
        <f t="shared" si="42"/>
        <v>25</v>
      </c>
      <c r="D902" s="3">
        <f t="shared" si="44"/>
        <v>625</v>
      </c>
      <c r="E902" s="3">
        <f t="shared" si="43"/>
        <v>625</v>
      </c>
    </row>
    <row r="903" spans="1:5">
      <c r="A903" s="3">
        <v>90.1</v>
      </c>
      <c r="B903" s="3">
        <v>25</v>
      </c>
      <c r="C903" s="3">
        <f t="shared" si="42"/>
        <v>25</v>
      </c>
      <c r="D903" s="3">
        <f t="shared" si="44"/>
        <v>625</v>
      </c>
      <c r="E903" s="3">
        <f t="shared" si="43"/>
        <v>625</v>
      </c>
    </row>
    <row r="904" spans="1:5">
      <c r="A904" s="3">
        <v>90.2</v>
      </c>
      <c r="B904" s="3">
        <v>25</v>
      </c>
      <c r="C904" s="3">
        <f t="shared" si="42"/>
        <v>25</v>
      </c>
      <c r="D904" s="3">
        <f t="shared" si="44"/>
        <v>625</v>
      </c>
      <c r="E904" s="3">
        <f t="shared" si="43"/>
        <v>625</v>
      </c>
    </row>
    <row r="905" spans="1:5">
      <c r="A905" s="3">
        <v>90.3</v>
      </c>
      <c r="B905" s="3">
        <v>25</v>
      </c>
      <c r="C905" s="3">
        <f t="shared" si="42"/>
        <v>25</v>
      </c>
      <c r="D905" s="3">
        <f t="shared" si="44"/>
        <v>625</v>
      </c>
      <c r="E905" s="3">
        <f t="shared" si="43"/>
        <v>625</v>
      </c>
    </row>
    <row r="906" spans="1:5">
      <c r="A906" s="3">
        <v>90.4</v>
      </c>
      <c r="B906" s="3">
        <v>25</v>
      </c>
      <c r="C906" s="3">
        <f t="shared" si="42"/>
        <v>25</v>
      </c>
      <c r="D906" s="3">
        <f t="shared" si="44"/>
        <v>625</v>
      </c>
      <c r="E906" s="3">
        <f t="shared" si="43"/>
        <v>625</v>
      </c>
    </row>
    <row r="907" spans="1:5">
      <c r="A907" s="3">
        <v>90.5</v>
      </c>
      <c r="B907" s="3">
        <v>25</v>
      </c>
      <c r="C907" s="3">
        <f t="shared" si="42"/>
        <v>25</v>
      </c>
      <c r="D907" s="3">
        <f t="shared" si="44"/>
        <v>625</v>
      </c>
      <c r="E907" s="3">
        <f t="shared" si="43"/>
        <v>625</v>
      </c>
    </row>
    <row r="908" spans="1:5">
      <c r="A908" s="3">
        <v>90.6</v>
      </c>
      <c r="B908" s="3">
        <v>25</v>
      </c>
      <c r="C908" s="3">
        <f t="shared" si="42"/>
        <v>25</v>
      </c>
      <c r="D908" s="3">
        <f t="shared" si="44"/>
        <v>625</v>
      </c>
      <c r="E908" s="3">
        <f t="shared" si="43"/>
        <v>625</v>
      </c>
    </row>
    <row r="909" spans="1:5">
      <c r="A909" s="3">
        <v>90.7</v>
      </c>
      <c r="B909" s="3">
        <v>25</v>
      </c>
      <c r="C909" s="3">
        <f t="shared" si="42"/>
        <v>25</v>
      </c>
      <c r="D909" s="3">
        <f t="shared" si="44"/>
        <v>625</v>
      </c>
      <c r="E909" s="3">
        <f t="shared" si="43"/>
        <v>625</v>
      </c>
    </row>
    <row r="910" spans="1:5">
      <c r="A910" s="3">
        <v>90.8</v>
      </c>
      <c r="B910" s="3">
        <v>25</v>
      </c>
      <c r="C910" s="3">
        <f t="shared" si="42"/>
        <v>25</v>
      </c>
      <c r="D910" s="3">
        <f t="shared" si="44"/>
        <v>625</v>
      </c>
      <c r="E910" s="3">
        <f t="shared" si="43"/>
        <v>625</v>
      </c>
    </row>
    <row r="911" spans="1:5">
      <c r="A911" s="3">
        <v>90.9</v>
      </c>
      <c r="B911" s="3">
        <v>25</v>
      </c>
      <c r="C911" s="3">
        <f t="shared" si="42"/>
        <v>25</v>
      </c>
      <c r="D911" s="3">
        <f t="shared" si="44"/>
        <v>625</v>
      </c>
      <c r="E911" s="3">
        <f t="shared" si="43"/>
        <v>625</v>
      </c>
    </row>
    <row r="912" spans="1:5">
      <c r="A912" s="3">
        <v>91</v>
      </c>
      <c r="B912" s="3">
        <v>25</v>
      </c>
      <c r="C912" s="3">
        <f t="shared" si="42"/>
        <v>25</v>
      </c>
      <c r="D912" s="3">
        <f t="shared" si="44"/>
        <v>625</v>
      </c>
      <c r="E912" s="3">
        <f t="shared" si="43"/>
        <v>625</v>
      </c>
    </row>
    <row r="913" spans="1:5">
      <c r="A913" s="3">
        <v>91.1</v>
      </c>
      <c r="B913" s="3">
        <v>25</v>
      </c>
      <c r="C913" s="3">
        <f t="shared" si="42"/>
        <v>21.45</v>
      </c>
      <c r="D913" s="3">
        <f t="shared" si="44"/>
        <v>625</v>
      </c>
      <c r="E913" s="3">
        <f t="shared" si="43"/>
        <v>460</v>
      </c>
    </row>
    <row r="914" spans="1:5">
      <c r="A914" s="3">
        <v>91.2</v>
      </c>
      <c r="B914" s="3">
        <v>25</v>
      </c>
      <c r="C914" s="3">
        <f t="shared" si="42"/>
        <v>16.73</v>
      </c>
      <c r="D914" s="3">
        <f t="shared" si="44"/>
        <v>625</v>
      </c>
      <c r="E914" s="3">
        <f t="shared" si="43"/>
        <v>280</v>
      </c>
    </row>
    <row r="915" spans="1:5">
      <c r="A915" s="3">
        <v>91.3</v>
      </c>
      <c r="B915" s="3">
        <v>10</v>
      </c>
      <c r="C915" s="3">
        <f t="shared" si="42"/>
        <v>10</v>
      </c>
      <c r="D915" s="3">
        <f t="shared" si="44"/>
        <v>100</v>
      </c>
      <c r="E915" s="3">
        <f t="shared" si="43"/>
        <v>100</v>
      </c>
    </row>
    <row r="916" spans="1:5">
      <c r="A916" s="3">
        <v>91.4</v>
      </c>
      <c r="B916" s="3">
        <v>10</v>
      </c>
      <c r="C916" s="3">
        <f t="shared" si="42"/>
        <v>10</v>
      </c>
      <c r="D916" s="3">
        <f t="shared" si="44"/>
        <v>100</v>
      </c>
      <c r="E916" s="3">
        <f t="shared" si="43"/>
        <v>100</v>
      </c>
    </row>
    <row r="917" spans="1:5">
      <c r="A917" s="3">
        <v>91.5</v>
      </c>
      <c r="B917" s="3">
        <v>10</v>
      </c>
      <c r="C917" s="3">
        <f t="shared" si="42"/>
        <v>10</v>
      </c>
      <c r="D917" s="3">
        <f t="shared" si="44"/>
        <v>100</v>
      </c>
      <c r="E917" s="3">
        <f t="shared" si="43"/>
        <v>100</v>
      </c>
    </row>
    <row r="918" spans="1:5">
      <c r="A918" s="3">
        <v>91.6</v>
      </c>
      <c r="B918" s="3">
        <v>10</v>
      </c>
      <c r="C918" s="3">
        <f t="shared" si="42"/>
        <v>10</v>
      </c>
      <c r="D918" s="3">
        <f t="shared" si="44"/>
        <v>100</v>
      </c>
      <c r="E918" s="3">
        <f t="shared" si="43"/>
        <v>100</v>
      </c>
    </row>
    <row r="919" spans="1:5">
      <c r="A919" s="3">
        <v>91.7</v>
      </c>
      <c r="B919" s="3">
        <v>10</v>
      </c>
      <c r="C919" s="3">
        <f t="shared" si="42"/>
        <v>10</v>
      </c>
      <c r="D919" s="3">
        <f t="shared" si="44"/>
        <v>100</v>
      </c>
      <c r="E919" s="3">
        <f t="shared" si="43"/>
        <v>100</v>
      </c>
    </row>
    <row r="920" spans="1:5">
      <c r="A920" s="3">
        <v>91.8</v>
      </c>
      <c r="B920" s="3">
        <v>10</v>
      </c>
      <c r="C920" s="3">
        <f t="shared" si="42"/>
        <v>10</v>
      </c>
      <c r="D920" s="3">
        <f t="shared" si="44"/>
        <v>100</v>
      </c>
      <c r="E920" s="3">
        <f t="shared" si="43"/>
        <v>100</v>
      </c>
    </row>
    <row r="921" spans="1:5">
      <c r="A921" s="3">
        <v>91.9</v>
      </c>
      <c r="B921" s="3">
        <v>10</v>
      </c>
      <c r="C921" s="3">
        <f t="shared" si="42"/>
        <v>10</v>
      </c>
      <c r="D921" s="3">
        <f t="shared" si="44"/>
        <v>100</v>
      </c>
      <c r="E921" s="3">
        <f t="shared" si="43"/>
        <v>100</v>
      </c>
    </row>
    <row r="922" spans="1:5">
      <c r="A922" s="3">
        <v>92</v>
      </c>
      <c r="B922" s="3">
        <v>10</v>
      </c>
      <c r="C922" s="3">
        <f t="shared" si="42"/>
        <v>10</v>
      </c>
      <c r="D922" s="3">
        <f t="shared" si="44"/>
        <v>100</v>
      </c>
      <c r="E922" s="3">
        <f t="shared" si="43"/>
        <v>100</v>
      </c>
    </row>
    <row r="923" spans="1:5">
      <c r="A923" s="3">
        <v>92.1</v>
      </c>
      <c r="B923" s="3">
        <v>10</v>
      </c>
      <c r="C923" s="3">
        <f t="shared" si="42"/>
        <v>10</v>
      </c>
      <c r="D923" s="3">
        <f t="shared" si="44"/>
        <v>100</v>
      </c>
      <c r="E923" s="3">
        <f t="shared" si="43"/>
        <v>100</v>
      </c>
    </row>
    <row r="924" spans="1:5">
      <c r="A924" s="3">
        <v>92.2</v>
      </c>
      <c r="B924" s="3">
        <v>10</v>
      </c>
      <c r="C924" s="3">
        <f t="shared" si="42"/>
        <v>10</v>
      </c>
      <c r="D924" s="3">
        <f t="shared" si="44"/>
        <v>100</v>
      </c>
      <c r="E924" s="3">
        <f t="shared" si="43"/>
        <v>100</v>
      </c>
    </row>
    <row r="925" spans="1:5">
      <c r="A925" s="3">
        <v>92.3</v>
      </c>
      <c r="B925" s="3">
        <v>10</v>
      </c>
      <c r="C925" s="3">
        <f t="shared" si="42"/>
        <v>10</v>
      </c>
      <c r="D925" s="3">
        <f t="shared" si="44"/>
        <v>100</v>
      </c>
      <c r="E925" s="3">
        <f t="shared" si="43"/>
        <v>100</v>
      </c>
    </row>
    <row r="926" spans="1:5">
      <c r="A926" s="3">
        <v>92.4</v>
      </c>
      <c r="B926" s="3">
        <v>10</v>
      </c>
      <c r="C926" s="3">
        <f t="shared" si="42"/>
        <v>10</v>
      </c>
      <c r="D926" s="3">
        <f t="shared" si="44"/>
        <v>100</v>
      </c>
      <c r="E926" s="3">
        <f t="shared" si="43"/>
        <v>100</v>
      </c>
    </row>
    <row r="927" spans="1:5">
      <c r="A927" s="3">
        <v>92.5</v>
      </c>
      <c r="B927" s="3">
        <v>10</v>
      </c>
      <c r="C927" s="3">
        <f t="shared" si="42"/>
        <v>10</v>
      </c>
      <c r="D927" s="3">
        <f t="shared" si="44"/>
        <v>100</v>
      </c>
      <c r="E927" s="3">
        <f t="shared" si="43"/>
        <v>100</v>
      </c>
    </row>
    <row r="928" spans="1:5">
      <c r="A928" s="3">
        <v>92.6</v>
      </c>
      <c r="B928" s="3">
        <v>10</v>
      </c>
      <c r="C928" s="3">
        <f t="shared" si="42"/>
        <v>10</v>
      </c>
      <c r="D928" s="3">
        <f t="shared" si="44"/>
        <v>100</v>
      </c>
      <c r="E928" s="3">
        <f t="shared" si="43"/>
        <v>100</v>
      </c>
    </row>
    <row r="929" spans="1:5">
      <c r="A929" s="3">
        <v>92.7</v>
      </c>
      <c r="B929" s="3">
        <v>10</v>
      </c>
      <c r="C929" s="3">
        <f t="shared" si="42"/>
        <v>10</v>
      </c>
      <c r="D929" s="3">
        <f t="shared" si="44"/>
        <v>100</v>
      </c>
      <c r="E929" s="3">
        <f t="shared" si="43"/>
        <v>100</v>
      </c>
    </row>
    <row r="930" spans="1:5">
      <c r="A930" s="3">
        <v>92.8</v>
      </c>
      <c r="B930" s="3">
        <v>10</v>
      </c>
      <c r="C930" s="3">
        <f t="shared" si="42"/>
        <v>10</v>
      </c>
      <c r="D930" s="3">
        <f t="shared" si="44"/>
        <v>100</v>
      </c>
      <c r="E930" s="3">
        <f t="shared" si="43"/>
        <v>100</v>
      </c>
    </row>
    <row r="931" spans="1:5">
      <c r="A931" s="3">
        <v>92.9</v>
      </c>
      <c r="B931" s="3">
        <v>10</v>
      </c>
      <c r="C931" s="3">
        <f t="shared" si="42"/>
        <v>10</v>
      </c>
      <c r="D931" s="3">
        <f t="shared" si="44"/>
        <v>100</v>
      </c>
      <c r="E931" s="3">
        <f t="shared" si="43"/>
        <v>100</v>
      </c>
    </row>
    <row r="932" spans="1:5">
      <c r="A932" s="3">
        <v>93</v>
      </c>
      <c r="B932" s="3">
        <v>10</v>
      </c>
      <c r="C932" s="3">
        <f t="shared" si="42"/>
        <v>10</v>
      </c>
      <c r="D932" s="3">
        <f t="shared" si="44"/>
        <v>100</v>
      </c>
      <c r="E932" s="3">
        <f t="shared" si="43"/>
        <v>100</v>
      </c>
    </row>
    <row r="933" spans="1:5">
      <c r="A933" s="3">
        <v>93.1</v>
      </c>
      <c r="B933" s="3">
        <v>10</v>
      </c>
      <c r="C933" s="3">
        <f t="shared" si="42"/>
        <v>10</v>
      </c>
      <c r="D933" s="3">
        <f t="shared" si="44"/>
        <v>100</v>
      </c>
      <c r="E933" s="3">
        <f t="shared" si="43"/>
        <v>100</v>
      </c>
    </row>
    <row r="934" spans="1:5">
      <c r="A934" s="3">
        <v>93.2</v>
      </c>
      <c r="B934" s="3">
        <v>10</v>
      </c>
      <c r="C934" s="3">
        <f t="shared" si="42"/>
        <v>10</v>
      </c>
      <c r="D934" s="3">
        <f t="shared" si="44"/>
        <v>100</v>
      </c>
      <c r="E934" s="3">
        <f t="shared" si="43"/>
        <v>100</v>
      </c>
    </row>
    <row r="935" spans="1:5">
      <c r="A935" s="3">
        <v>93.3</v>
      </c>
      <c r="B935" s="3">
        <v>10</v>
      </c>
      <c r="C935" s="3">
        <f t="shared" si="42"/>
        <v>10</v>
      </c>
      <c r="D935" s="3">
        <f t="shared" si="44"/>
        <v>100</v>
      </c>
      <c r="E935" s="3">
        <f t="shared" si="43"/>
        <v>100</v>
      </c>
    </row>
    <row r="936" spans="1:5">
      <c r="A936" s="3">
        <v>93.4</v>
      </c>
      <c r="B936" s="3">
        <v>10</v>
      </c>
      <c r="C936" s="3">
        <f t="shared" si="42"/>
        <v>10</v>
      </c>
      <c r="D936" s="3">
        <f t="shared" si="44"/>
        <v>100</v>
      </c>
      <c r="E936" s="3">
        <f t="shared" si="43"/>
        <v>100</v>
      </c>
    </row>
    <row r="937" spans="1:5">
      <c r="A937" s="3">
        <v>93.5</v>
      </c>
      <c r="B937" s="3">
        <v>10</v>
      </c>
      <c r="C937" s="3">
        <f t="shared" si="42"/>
        <v>10</v>
      </c>
      <c r="D937" s="3">
        <f t="shared" si="44"/>
        <v>100</v>
      </c>
      <c r="E937" s="3">
        <f t="shared" si="43"/>
        <v>100</v>
      </c>
    </row>
    <row r="938" spans="1:5">
      <c r="A938" s="3">
        <v>93.6</v>
      </c>
      <c r="B938" s="3">
        <v>10</v>
      </c>
      <c r="C938" s="3">
        <f t="shared" si="42"/>
        <v>10</v>
      </c>
      <c r="D938" s="3">
        <f t="shared" si="44"/>
        <v>100</v>
      </c>
      <c r="E938" s="3">
        <f t="shared" si="43"/>
        <v>100</v>
      </c>
    </row>
    <row r="939" spans="1:5">
      <c r="A939" s="3">
        <v>93.7</v>
      </c>
      <c r="B939" s="3">
        <v>10</v>
      </c>
      <c r="C939" s="3">
        <f t="shared" si="42"/>
        <v>10</v>
      </c>
      <c r="D939" s="3">
        <f t="shared" si="44"/>
        <v>100</v>
      </c>
      <c r="E939" s="3">
        <f t="shared" si="43"/>
        <v>100</v>
      </c>
    </row>
    <row r="940" spans="1:5">
      <c r="A940" s="3">
        <v>93.8</v>
      </c>
      <c r="B940" s="3">
        <v>10</v>
      </c>
      <c r="C940" s="3">
        <f t="shared" si="42"/>
        <v>10</v>
      </c>
      <c r="D940" s="3">
        <f t="shared" si="44"/>
        <v>100</v>
      </c>
      <c r="E940" s="3">
        <f t="shared" si="43"/>
        <v>100</v>
      </c>
    </row>
    <row r="941" spans="1:5">
      <c r="A941" s="3">
        <v>93.9</v>
      </c>
      <c r="B941" s="3">
        <v>10</v>
      </c>
      <c r="C941" s="3">
        <f t="shared" si="42"/>
        <v>10</v>
      </c>
      <c r="D941" s="3">
        <f t="shared" si="44"/>
        <v>100</v>
      </c>
      <c r="E941" s="3">
        <f t="shared" si="43"/>
        <v>100</v>
      </c>
    </row>
    <row r="942" spans="1:5">
      <c r="A942" s="3">
        <v>94</v>
      </c>
      <c r="B942" s="3">
        <v>10</v>
      </c>
      <c r="C942" s="3">
        <f t="shared" si="42"/>
        <v>10</v>
      </c>
      <c r="D942" s="3">
        <f t="shared" si="44"/>
        <v>100</v>
      </c>
      <c r="E942" s="3">
        <f t="shared" si="43"/>
        <v>100</v>
      </c>
    </row>
    <row r="943" spans="1:5">
      <c r="A943" s="3">
        <v>94.1</v>
      </c>
      <c r="B943" s="3">
        <v>10</v>
      </c>
      <c r="C943" s="3">
        <f t="shared" si="42"/>
        <v>10</v>
      </c>
      <c r="D943" s="3">
        <f t="shared" si="44"/>
        <v>100</v>
      </c>
      <c r="E943" s="3">
        <f t="shared" si="43"/>
        <v>100</v>
      </c>
    </row>
    <row r="944" spans="1:5">
      <c r="A944" s="3">
        <v>94.2</v>
      </c>
      <c r="B944" s="3">
        <v>10</v>
      </c>
      <c r="C944" s="3">
        <f t="shared" si="42"/>
        <v>10</v>
      </c>
      <c r="D944" s="3">
        <f t="shared" si="44"/>
        <v>100</v>
      </c>
      <c r="E944" s="3">
        <f t="shared" si="43"/>
        <v>100</v>
      </c>
    </row>
    <row r="945" spans="1:7">
      <c r="A945" s="3">
        <v>94.3</v>
      </c>
      <c r="B945" s="3">
        <v>10</v>
      </c>
      <c r="C945" s="3">
        <f t="shared" si="42"/>
        <v>10</v>
      </c>
      <c r="D945" s="3">
        <f t="shared" si="44"/>
        <v>100</v>
      </c>
      <c r="E945" s="3">
        <f t="shared" si="43"/>
        <v>100</v>
      </c>
    </row>
    <row r="946" spans="1:7">
      <c r="A946" s="3">
        <v>94.4</v>
      </c>
      <c r="B946" s="3">
        <v>10</v>
      </c>
      <c r="C946" s="3">
        <f t="shared" si="42"/>
        <v>10</v>
      </c>
      <c r="D946" s="3">
        <f t="shared" si="44"/>
        <v>100</v>
      </c>
      <c r="E946" s="3">
        <f t="shared" si="43"/>
        <v>100</v>
      </c>
    </row>
    <row r="947" spans="1:7">
      <c r="A947" s="3">
        <v>94.5</v>
      </c>
      <c r="B947" s="3">
        <v>0</v>
      </c>
      <c r="C947" s="3">
        <f t="shared" si="42"/>
        <v>0</v>
      </c>
      <c r="D947" s="3">
        <f t="shared" si="44"/>
        <v>0</v>
      </c>
      <c r="E947" s="3">
        <f t="shared" si="43"/>
        <v>0</v>
      </c>
      <c r="G947" s="3" t="s">
        <v>103</v>
      </c>
    </row>
    <row r="948" spans="1:7">
      <c r="A948" s="3">
        <v>94.6</v>
      </c>
      <c r="B948" s="3">
        <v>25</v>
      </c>
      <c r="C948" s="3">
        <f t="shared" si="42"/>
        <v>13.42</v>
      </c>
      <c r="D948" s="3">
        <f t="shared" si="44"/>
        <v>180</v>
      </c>
      <c r="E948" s="3">
        <f t="shared" si="43"/>
        <v>180</v>
      </c>
    </row>
    <row r="949" spans="1:7">
      <c r="A949" s="3">
        <v>94.7</v>
      </c>
      <c r="B949" s="3">
        <v>25</v>
      </c>
      <c r="C949" s="3">
        <f t="shared" si="42"/>
        <v>18.97</v>
      </c>
      <c r="D949" s="3">
        <f t="shared" si="44"/>
        <v>360</v>
      </c>
      <c r="E949" s="3">
        <f t="shared" si="43"/>
        <v>360</v>
      </c>
    </row>
    <row r="950" spans="1:7">
      <c r="A950" s="3">
        <v>94.8</v>
      </c>
      <c r="B950" s="3">
        <v>25</v>
      </c>
      <c r="C950" s="3">
        <f t="shared" si="42"/>
        <v>23.24</v>
      </c>
      <c r="D950" s="3">
        <f t="shared" si="44"/>
        <v>540</v>
      </c>
      <c r="E950" s="3">
        <f t="shared" si="43"/>
        <v>540</v>
      </c>
    </row>
    <row r="951" spans="1:7">
      <c r="A951" s="3">
        <v>94.9</v>
      </c>
      <c r="B951" s="3">
        <v>25</v>
      </c>
      <c r="C951" s="3">
        <f t="shared" si="42"/>
        <v>25</v>
      </c>
      <c r="D951" s="3">
        <f t="shared" si="44"/>
        <v>625</v>
      </c>
      <c r="E951" s="3">
        <f t="shared" si="43"/>
        <v>625</v>
      </c>
    </row>
    <row r="952" spans="1:7">
      <c r="A952" s="3">
        <v>95</v>
      </c>
      <c r="B952" s="3">
        <v>25</v>
      </c>
      <c r="C952" s="3">
        <f t="shared" si="42"/>
        <v>25</v>
      </c>
      <c r="D952" s="3">
        <f t="shared" si="44"/>
        <v>625</v>
      </c>
      <c r="E952" s="3">
        <f t="shared" si="43"/>
        <v>625</v>
      </c>
    </row>
    <row r="953" spans="1:7">
      <c r="A953" s="3">
        <v>95.1</v>
      </c>
      <c r="B953" s="3">
        <v>25</v>
      </c>
      <c r="C953" s="3">
        <f t="shared" si="42"/>
        <v>25</v>
      </c>
      <c r="D953" s="3">
        <f t="shared" si="44"/>
        <v>625</v>
      </c>
      <c r="E953" s="3">
        <f t="shared" si="43"/>
        <v>625</v>
      </c>
    </row>
    <row r="954" spans="1:7">
      <c r="A954" s="3">
        <v>95.2</v>
      </c>
      <c r="B954" s="3">
        <v>25</v>
      </c>
      <c r="C954" s="3">
        <f t="shared" si="42"/>
        <v>25</v>
      </c>
      <c r="D954" s="3">
        <f t="shared" si="44"/>
        <v>625</v>
      </c>
      <c r="E954" s="3">
        <f t="shared" si="43"/>
        <v>625</v>
      </c>
    </row>
    <row r="955" spans="1:7">
      <c r="A955" s="3">
        <v>95.3</v>
      </c>
      <c r="B955" s="3">
        <v>25</v>
      </c>
      <c r="C955" s="3">
        <f t="shared" si="42"/>
        <v>25</v>
      </c>
      <c r="D955" s="3">
        <f t="shared" si="44"/>
        <v>625</v>
      </c>
      <c r="E955" s="3">
        <f t="shared" si="43"/>
        <v>625</v>
      </c>
    </row>
    <row r="956" spans="1:7">
      <c r="A956" s="3">
        <v>95.4</v>
      </c>
      <c r="B956" s="3">
        <v>25</v>
      </c>
      <c r="C956" s="3">
        <f t="shared" si="42"/>
        <v>25</v>
      </c>
      <c r="D956" s="3">
        <f t="shared" si="44"/>
        <v>625</v>
      </c>
      <c r="E956" s="3">
        <f t="shared" si="43"/>
        <v>625</v>
      </c>
    </row>
    <row r="957" spans="1:7">
      <c r="A957" s="3">
        <v>95.5</v>
      </c>
      <c r="B957" s="3">
        <v>25</v>
      </c>
      <c r="C957" s="3">
        <f t="shared" si="42"/>
        <v>25</v>
      </c>
      <c r="D957" s="3">
        <f t="shared" si="44"/>
        <v>625</v>
      </c>
      <c r="E957" s="3">
        <f t="shared" si="43"/>
        <v>625</v>
      </c>
    </row>
    <row r="958" spans="1:7">
      <c r="A958" s="3">
        <v>95.6</v>
      </c>
      <c r="B958" s="3">
        <v>25</v>
      </c>
      <c r="C958" s="3">
        <f t="shared" si="42"/>
        <v>25</v>
      </c>
      <c r="D958" s="3">
        <f t="shared" si="44"/>
        <v>625</v>
      </c>
      <c r="E958" s="3">
        <f t="shared" si="43"/>
        <v>625</v>
      </c>
    </row>
    <row r="959" spans="1:7">
      <c r="A959" s="3">
        <v>95.7</v>
      </c>
      <c r="B959" s="3">
        <v>25</v>
      </c>
      <c r="C959" s="3">
        <f t="shared" si="42"/>
        <v>25</v>
      </c>
      <c r="D959" s="3">
        <f t="shared" si="44"/>
        <v>625</v>
      </c>
      <c r="E959" s="3">
        <f t="shared" si="43"/>
        <v>625</v>
      </c>
    </row>
    <row r="960" spans="1:7">
      <c r="A960" s="3">
        <v>95.8</v>
      </c>
      <c r="B960" s="3">
        <v>25</v>
      </c>
      <c r="C960" s="3">
        <f t="shared" si="42"/>
        <v>25</v>
      </c>
      <c r="D960" s="3">
        <f t="shared" si="44"/>
        <v>625</v>
      </c>
      <c r="E960" s="3">
        <f t="shared" si="43"/>
        <v>625</v>
      </c>
    </row>
    <row r="961" spans="1:5">
      <c r="A961" s="3">
        <v>95.9</v>
      </c>
      <c r="B961" s="3">
        <v>25</v>
      </c>
      <c r="C961" s="3">
        <f t="shared" si="42"/>
        <v>25</v>
      </c>
      <c r="D961" s="3">
        <f t="shared" si="44"/>
        <v>625</v>
      </c>
      <c r="E961" s="3">
        <f t="shared" si="43"/>
        <v>625</v>
      </c>
    </row>
    <row r="962" spans="1:5">
      <c r="A962" s="3">
        <v>96</v>
      </c>
      <c r="B962" s="3">
        <v>25</v>
      </c>
      <c r="C962" s="3">
        <f t="shared" ref="C962:C1025" si="45">ROUND(SQRT(E962),2)</f>
        <v>25</v>
      </c>
      <c r="D962" s="3">
        <f t="shared" si="44"/>
        <v>625</v>
      </c>
      <c r="E962" s="3">
        <f t="shared" ref="E962:E1025" si="46">MIN(D962, E963+$H$4)</f>
        <v>625</v>
      </c>
    </row>
    <row r="963" spans="1:5">
      <c r="A963" s="3">
        <v>96.1</v>
      </c>
      <c r="B963" s="3">
        <v>25</v>
      </c>
      <c r="C963" s="3">
        <f t="shared" si="45"/>
        <v>25</v>
      </c>
      <c r="D963" s="3">
        <f t="shared" ref="D963:D1026" si="47">MIN(B963^2, D962+$H$4)</f>
        <v>625</v>
      </c>
      <c r="E963" s="3">
        <f t="shared" si="46"/>
        <v>625</v>
      </c>
    </row>
    <row r="964" spans="1:5">
      <c r="A964" s="3">
        <v>96.2</v>
      </c>
      <c r="B964" s="3">
        <v>25</v>
      </c>
      <c r="C964" s="3">
        <f t="shared" si="45"/>
        <v>25</v>
      </c>
      <c r="D964" s="3">
        <f t="shared" si="47"/>
        <v>625</v>
      </c>
      <c r="E964" s="3">
        <f t="shared" si="46"/>
        <v>625</v>
      </c>
    </row>
    <row r="965" spans="1:5">
      <c r="A965" s="3">
        <v>96.3</v>
      </c>
      <c r="B965" s="3">
        <v>25</v>
      </c>
      <c r="C965" s="3">
        <f t="shared" si="45"/>
        <v>25</v>
      </c>
      <c r="D965" s="3">
        <f t="shared" si="47"/>
        <v>625</v>
      </c>
      <c r="E965" s="3">
        <f t="shared" si="46"/>
        <v>625</v>
      </c>
    </row>
    <row r="966" spans="1:5">
      <c r="A966" s="3">
        <v>96.4</v>
      </c>
      <c r="B966" s="3">
        <v>25</v>
      </c>
      <c r="C966" s="3">
        <f t="shared" si="45"/>
        <v>25</v>
      </c>
      <c r="D966" s="3">
        <f t="shared" si="47"/>
        <v>625</v>
      </c>
      <c r="E966" s="3">
        <f t="shared" si="46"/>
        <v>625</v>
      </c>
    </row>
    <row r="967" spans="1:5">
      <c r="A967" s="3">
        <v>96.5</v>
      </c>
      <c r="B967" s="3">
        <v>25</v>
      </c>
      <c r="C967" s="3">
        <f t="shared" si="45"/>
        <v>25</v>
      </c>
      <c r="D967" s="3">
        <f t="shared" si="47"/>
        <v>625</v>
      </c>
      <c r="E967" s="3">
        <f t="shared" si="46"/>
        <v>625</v>
      </c>
    </row>
    <row r="968" spans="1:5">
      <c r="A968" s="3">
        <v>96.6</v>
      </c>
      <c r="B968" s="3">
        <v>25</v>
      </c>
      <c r="C968" s="3">
        <f t="shared" si="45"/>
        <v>25</v>
      </c>
      <c r="D968" s="3">
        <f t="shared" si="47"/>
        <v>625</v>
      </c>
      <c r="E968" s="3">
        <f t="shared" si="46"/>
        <v>625</v>
      </c>
    </row>
    <row r="969" spans="1:5">
      <c r="A969" s="3">
        <v>96.7</v>
      </c>
      <c r="B969" s="3">
        <v>25</v>
      </c>
      <c r="C969" s="3">
        <f t="shared" si="45"/>
        <v>25</v>
      </c>
      <c r="D969" s="3">
        <f t="shared" si="47"/>
        <v>625</v>
      </c>
      <c r="E969" s="3">
        <f t="shared" si="46"/>
        <v>625</v>
      </c>
    </row>
    <row r="970" spans="1:5">
      <c r="A970" s="3">
        <v>96.8</v>
      </c>
      <c r="B970" s="3">
        <v>25</v>
      </c>
      <c r="C970" s="3">
        <f t="shared" si="45"/>
        <v>25</v>
      </c>
      <c r="D970" s="3">
        <f t="shared" si="47"/>
        <v>625</v>
      </c>
      <c r="E970" s="3">
        <f t="shared" si="46"/>
        <v>625</v>
      </c>
    </row>
    <row r="971" spans="1:5">
      <c r="A971" s="3">
        <v>96.9</v>
      </c>
      <c r="B971" s="3">
        <v>25</v>
      </c>
      <c r="C971" s="3">
        <f t="shared" si="45"/>
        <v>25</v>
      </c>
      <c r="D971" s="3">
        <f t="shared" si="47"/>
        <v>625</v>
      </c>
      <c r="E971" s="3">
        <f t="shared" si="46"/>
        <v>625</v>
      </c>
    </row>
    <row r="972" spans="1:5">
      <c r="A972" s="3">
        <v>97</v>
      </c>
      <c r="B972" s="3">
        <v>25</v>
      </c>
      <c r="C972" s="3">
        <f t="shared" si="45"/>
        <v>25</v>
      </c>
      <c r="D972" s="3">
        <f t="shared" si="47"/>
        <v>625</v>
      </c>
      <c r="E972" s="3">
        <f t="shared" si="46"/>
        <v>625</v>
      </c>
    </row>
    <row r="973" spans="1:5">
      <c r="A973" s="3">
        <v>97.1</v>
      </c>
      <c r="B973" s="3">
        <v>25</v>
      </c>
      <c r="C973" s="3">
        <f t="shared" si="45"/>
        <v>25</v>
      </c>
      <c r="D973" s="3">
        <f t="shared" si="47"/>
        <v>625</v>
      </c>
      <c r="E973" s="3">
        <f t="shared" si="46"/>
        <v>625</v>
      </c>
    </row>
    <row r="974" spans="1:5">
      <c r="A974" s="3">
        <v>97.2</v>
      </c>
      <c r="B974" s="3">
        <v>25</v>
      </c>
      <c r="C974" s="3">
        <f t="shared" si="45"/>
        <v>25</v>
      </c>
      <c r="D974" s="3">
        <f t="shared" si="47"/>
        <v>625</v>
      </c>
      <c r="E974" s="3">
        <f t="shared" si="46"/>
        <v>625</v>
      </c>
    </row>
    <row r="975" spans="1:5">
      <c r="A975" s="3">
        <v>97.3</v>
      </c>
      <c r="B975" s="3">
        <v>25</v>
      </c>
      <c r="C975" s="3">
        <f t="shared" si="45"/>
        <v>25</v>
      </c>
      <c r="D975" s="3">
        <f t="shared" si="47"/>
        <v>625</v>
      </c>
      <c r="E975" s="3">
        <f t="shared" si="46"/>
        <v>625</v>
      </c>
    </row>
    <row r="976" spans="1:5">
      <c r="A976" s="3">
        <v>97.4</v>
      </c>
      <c r="B976" s="3">
        <v>25</v>
      </c>
      <c r="C976" s="3">
        <f t="shared" si="45"/>
        <v>25</v>
      </c>
      <c r="D976" s="3">
        <f t="shared" si="47"/>
        <v>625</v>
      </c>
      <c r="E976" s="3">
        <f t="shared" si="46"/>
        <v>625</v>
      </c>
    </row>
    <row r="977" spans="1:5">
      <c r="A977" s="3">
        <v>97.5</v>
      </c>
      <c r="B977" s="3">
        <v>25</v>
      </c>
      <c r="C977" s="3">
        <f t="shared" si="45"/>
        <v>25</v>
      </c>
      <c r="D977" s="3">
        <f t="shared" si="47"/>
        <v>625</v>
      </c>
      <c r="E977" s="3">
        <f t="shared" si="46"/>
        <v>625</v>
      </c>
    </row>
    <row r="978" spans="1:5">
      <c r="A978" s="3">
        <v>97.6</v>
      </c>
      <c r="B978" s="3">
        <v>25</v>
      </c>
      <c r="C978" s="3">
        <f t="shared" si="45"/>
        <v>25</v>
      </c>
      <c r="D978" s="3">
        <f t="shared" si="47"/>
        <v>625</v>
      </c>
      <c r="E978" s="3">
        <f t="shared" si="46"/>
        <v>625</v>
      </c>
    </row>
    <row r="979" spans="1:5">
      <c r="A979" s="3">
        <v>97.7</v>
      </c>
      <c r="B979" s="3">
        <v>25</v>
      </c>
      <c r="C979" s="3">
        <f t="shared" si="45"/>
        <v>25</v>
      </c>
      <c r="D979" s="3">
        <f t="shared" si="47"/>
        <v>625</v>
      </c>
      <c r="E979" s="3">
        <f t="shared" si="46"/>
        <v>625</v>
      </c>
    </row>
    <row r="980" spans="1:5">
      <c r="A980" s="3">
        <v>97.8</v>
      </c>
      <c r="B980" s="3">
        <v>25</v>
      </c>
      <c r="C980" s="3">
        <f t="shared" si="45"/>
        <v>25</v>
      </c>
      <c r="D980" s="3">
        <f t="shared" si="47"/>
        <v>625</v>
      </c>
      <c r="E980" s="3">
        <f t="shared" si="46"/>
        <v>625</v>
      </c>
    </row>
    <row r="981" spans="1:5">
      <c r="A981" s="3">
        <v>97.9</v>
      </c>
      <c r="B981" s="3">
        <v>25</v>
      </c>
      <c r="C981" s="3">
        <f t="shared" si="45"/>
        <v>25</v>
      </c>
      <c r="D981" s="3">
        <f t="shared" si="47"/>
        <v>625</v>
      </c>
      <c r="E981" s="3">
        <f t="shared" si="46"/>
        <v>625</v>
      </c>
    </row>
    <row r="982" spans="1:5">
      <c r="A982" s="3">
        <v>98</v>
      </c>
      <c r="B982" s="3">
        <v>25</v>
      </c>
      <c r="C982" s="3">
        <f t="shared" si="45"/>
        <v>25</v>
      </c>
      <c r="D982" s="3">
        <f t="shared" si="47"/>
        <v>625</v>
      </c>
      <c r="E982" s="3">
        <f t="shared" si="46"/>
        <v>625</v>
      </c>
    </row>
    <row r="983" spans="1:5">
      <c r="A983" s="3">
        <v>98.1</v>
      </c>
      <c r="B983" s="3">
        <v>25</v>
      </c>
      <c r="C983" s="3">
        <f t="shared" si="45"/>
        <v>25</v>
      </c>
      <c r="D983" s="3">
        <f t="shared" si="47"/>
        <v>625</v>
      </c>
      <c r="E983" s="3">
        <f t="shared" si="46"/>
        <v>625</v>
      </c>
    </row>
    <row r="984" spans="1:5">
      <c r="A984" s="3">
        <v>98.2</v>
      </c>
      <c r="B984" s="3">
        <v>25</v>
      </c>
      <c r="C984" s="3">
        <f t="shared" si="45"/>
        <v>25</v>
      </c>
      <c r="D984" s="3">
        <f t="shared" si="47"/>
        <v>625</v>
      </c>
      <c r="E984" s="3">
        <f t="shared" si="46"/>
        <v>625</v>
      </c>
    </row>
    <row r="985" spans="1:5">
      <c r="A985" s="3">
        <v>98.3</v>
      </c>
      <c r="B985" s="3">
        <v>25</v>
      </c>
      <c r="C985" s="3">
        <f t="shared" si="45"/>
        <v>25</v>
      </c>
      <c r="D985" s="3">
        <f t="shared" si="47"/>
        <v>625</v>
      </c>
      <c r="E985" s="3">
        <f t="shared" si="46"/>
        <v>625</v>
      </c>
    </row>
    <row r="986" spans="1:5">
      <c r="A986" s="3">
        <v>98.4</v>
      </c>
      <c r="B986" s="3">
        <v>25</v>
      </c>
      <c r="C986" s="3">
        <f t="shared" si="45"/>
        <v>25</v>
      </c>
      <c r="D986" s="3">
        <f t="shared" si="47"/>
        <v>625</v>
      </c>
      <c r="E986" s="3">
        <f t="shared" si="46"/>
        <v>625</v>
      </c>
    </row>
    <row r="987" spans="1:5">
      <c r="A987" s="3">
        <v>98.5</v>
      </c>
      <c r="B987" s="3">
        <v>25</v>
      </c>
      <c r="C987" s="3">
        <f t="shared" si="45"/>
        <v>25</v>
      </c>
      <c r="D987" s="3">
        <f t="shared" si="47"/>
        <v>625</v>
      </c>
      <c r="E987" s="3">
        <f t="shared" si="46"/>
        <v>625</v>
      </c>
    </row>
    <row r="988" spans="1:5">
      <c r="A988" s="3">
        <v>98.6</v>
      </c>
      <c r="B988" s="3">
        <v>25</v>
      </c>
      <c r="C988" s="3">
        <f t="shared" si="45"/>
        <v>25</v>
      </c>
      <c r="D988" s="3">
        <f t="shared" si="47"/>
        <v>625</v>
      </c>
      <c r="E988" s="3">
        <f t="shared" si="46"/>
        <v>625</v>
      </c>
    </row>
    <row r="989" spans="1:5">
      <c r="A989" s="3">
        <v>98.7</v>
      </c>
      <c r="B989" s="3">
        <v>25</v>
      </c>
      <c r="C989" s="3">
        <f t="shared" si="45"/>
        <v>25</v>
      </c>
      <c r="D989" s="3">
        <f t="shared" si="47"/>
        <v>625</v>
      </c>
      <c r="E989" s="3">
        <f t="shared" si="46"/>
        <v>625</v>
      </c>
    </row>
    <row r="990" spans="1:5">
      <c r="A990" s="3">
        <v>98.8</v>
      </c>
      <c r="B990" s="3">
        <v>25</v>
      </c>
      <c r="C990" s="3">
        <f t="shared" si="45"/>
        <v>25</v>
      </c>
      <c r="D990" s="3">
        <f t="shared" si="47"/>
        <v>625</v>
      </c>
      <c r="E990" s="3">
        <f t="shared" si="46"/>
        <v>625</v>
      </c>
    </row>
    <row r="991" spans="1:5">
      <c r="A991" s="3">
        <v>98.9</v>
      </c>
      <c r="B991" s="3">
        <v>25</v>
      </c>
      <c r="C991" s="3">
        <f t="shared" si="45"/>
        <v>25</v>
      </c>
      <c r="D991" s="3">
        <f t="shared" si="47"/>
        <v>625</v>
      </c>
      <c r="E991" s="3">
        <f t="shared" si="46"/>
        <v>625</v>
      </c>
    </row>
    <row r="992" spans="1:5">
      <c r="A992" s="3">
        <v>99</v>
      </c>
      <c r="B992" s="3">
        <v>25</v>
      </c>
      <c r="C992" s="3">
        <f t="shared" si="45"/>
        <v>25</v>
      </c>
      <c r="D992" s="3">
        <f t="shared" si="47"/>
        <v>625</v>
      </c>
      <c r="E992" s="3">
        <f t="shared" si="46"/>
        <v>625</v>
      </c>
    </row>
    <row r="993" spans="1:5">
      <c r="A993" s="3">
        <v>99.1</v>
      </c>
      <c r="B993" s="3">
        <v>25</v>
      </c>
      <c r="C993" s="3">
        <f t="shared" si="45"/>
        <v>25</v>
      </c>
      <c r="D993" s="3">
        <f t="shared" si="47"/>
        <v>625</v>
      </c>
      <c r="E993" s="3">
        <f t="shared" si="46"/>
        <v>625</v>
      </c>
    </row>
    <row r="994" spans="1:5">
      <c r="A994" s="3">
        <v>99.2</v>
      </c>
      <c r="B994" s="3">
        <v>25</v>
      </c>
      <c r="C994" s="3">
        <f t="shared" si="45"/>
        <v>25</v>
      </c>
      <c r="D994" s="3">
        <f t="shared" si="47"/>
        <v>625</v>
      </c>
      <c r="E994" s="3">
        <f t="shared" si="46"/>
        <v>625</v>
      </c>
    </row>
    <row r="995" spans="1:5">
      <c r="A995" s="3">
        <v>99.3</v>
      </c>
      <c r="B995" s="3">
        <v>25</v>
      </c>
      <c r="C995" s="3">
        <f t="shared" si="45"/>
        <v>25</v>
      </c>
      <c r="D995" s="3">
        <f t="shared" si="47"/>
        <v>625</v>
      </c>
      <c r="E995" s="3">
        <f t="shared" si="46"/>
        <v>625</v>
      </c>
    </row>
    <row r="996" spans="1:5">
      <c r="A996" s="3">
        <v>99.4</v>
      </c>
      <c r="B996" s="3">
        <v>25</v>
      </c>
      <c r="C996" s="3">
        <f t="shared" si="45"/>
        <v>25</v>
      </c>
      <c r="D996" s="3">
        <f t="shared" si="47"/>
        <v>625</v>
      </c>
      <c r="E996" s="3">
        <f t="shared" si="46"/>
        <v>625</v>
      </c>
    </row>
    <row r="997" spans="1:5">
      <c r="A997" s="3">
        <v>99.5</v>
      </c>
      <c r="B997" s="3">
        <v>25</v>
      </c>
      <c r="C997" s="3">
        <f t="shared" si="45"/>
        <v>25</v>
      </c>
      <c r="D997" s="3">
        <f t="shared" si="47"/>
        <v>625</v>
      </c>
      <c r="E997" s="3">
        <f t="shared" si="46"/>
        <v>625</v>
      </c>
    </row>
    <row r="998" spans="1:5">
      <c r="A998" s="3">
        <v>99.6</v>
      </c>
      <c r="B998" s="3">
        <v>25</v>
      </c>
      <c r="C998" s="3">
        <f t="shared" si="45"/>
        <v>25</v>
      </c>
      <c r="D998" s="3">
        <f t="shared" si="47"/>
        <v>625</v>
      </c>
      <c r="E998" s="3">
        <f t="shared" si="46"/>
        <v>625</v>
      </c>
    </row>
    <row r="999" spans="1:5">
      <c r="A999" s="3">
        <v>99.7</v>
      </c>
      <c r="B999" s="3">
        <v>25</v>
      </c>
      <c r="C999" s="3">
        <f t="shared" si="45"/>
        <v>25</v>
      </c>
      <c r="D999" s="3">
        <f t="shared" si="47"/>
        <v>625</v>
      </c>
      <c r="E999" s="3">
        <f t="shared" si="46"/>
        <v>625</v>
      </c>
    </row>
    <row r="1000" spans="1:5">
      <c r="A1000" s="3">
        <v>99.8</v>
      </c>
      <c r="B1000" s="3">
        <v>25</v>
      </c>
      <c r="C1000" s="3">
        <f t="shared" si="45"/>
        <v>25</v>
      </c>
      <c r="D1000" s="3">
        <f t="shared" si="47"/>
        <v>625</v>
      </c>
      <c r="E1000" s="3">
        <f t="shared" si="46"/>
        <v>625</v>
      </c>
    </row>
    <row r="1001" spans="1:5">
      <c r="A1001" s="3">
        <v>99.9</v>
      </c>
      <c r="B1001" s="3">
        <v>25</v>
      </c>
      <c r="C1001" s="3">
        <f t="shared" si="45"/>
        <v>25</v>
      </c>
      <c r="D1001" s="3">
        <f t="shared" si="47"/>
        <v>625</v>
      </c>
      <c r="E1001" s="3">
        <f t="shared" si="46"/>
        <v>625</v>
      </c>
    </row>
    <row r="1002" spans="1:5">
      <c r="A1002" s="3">
        <v>100</v>
      </c>
      <c r="B1002" s="3">
        <v>25</v>
      </c>
      <c r="C1002" s="3">
        <f t="shared" si="45"/>
        <v>25</v>
      </c>
      <c r="D1002" s="3">
        <f t="shared" si="47"/>
        <v>625</v>
      </c>
      <c r="E1002" s="3">
        <f t="shared" si="46"/>
        <v>625</v>
      </c>
    </row>
    <row r="1003" spans="1:5">
      <c r="A1003" s="3">
        <v>100.1</v>
      </c>
      <c r="B1003" s="3">
        <v>25</v>
      </c>
      <c r="C1003" s="3">
        <f t="shared" si="45"/>
        <v>25</v>
      </c>
      <c r="D1003" s="3">
        <f t="shared" si="47"/>
        <v>625</v>
      </c>
      <c r="E1003" s="3">
        <f t="shared" si="46"/>
        <v>625</v>
      </c>
    </row>
    <row r="1004" spans="1:5">
      <c r="A1004" s="3">
        <v>100.2</v>
      </c>
      <c r="B1004" s="3">
        <v>25</v>
      </c>
      <c r="C1004" s="3">
        <f t="shared" si="45"/>
        <v>25</v>
      </c>
      <c r="D1004" s="3">
        <f t="shared" si="47"/>
        <v>625</v>
      </c>
      <c r="E1004" s="3">
        <f t="shared" si="46"/>
        <v>625</v>
      </c>
    </row>
    <row r="1005" spans="1:5">
      <c r="A1005" s="3">
        <v>100.3</v>
      </c>
      <c r="B1005" s="3">
        <v>25</v>
      </c>
      <c r="C1005" s="3">
        <f t="shared" si="45"/>
        <v>25</v>
      </c>
      <c r="D1005" s="3">
        <f t="shared" si="47"/>
        <v>625</v>
      </c>
      <c r="E1005" s="3">
        <f t="shared" si="46"/>
        <v>625</v>
      </c>
    </row>
    <row r="1006" spans="1:5">
      <c r="A1006" s="3">
        <v>100.4</v>
      </c>
      <c r="B1006" s="3">
        <v>25</v>
      </c>
      <c r="C1006" s="3">
        <f t="shared" si="45"/>
        <v>25</v>
      </c>
      <c r="D1006" s="3">
        <f t="shared" si="47"/>
        <v>625</v>
      </c>
      <c r="E1006" s="3">
        <f t="shared" si="46"/>
        <v>625</v>
      </c>
    </row>
    <row r="1007" spans="1:5">
      <c r="A1007" s="3">
        <v>100.5</v>
      </c>
      <c r="B1007" s="3">
        <v>25</v>
      </c>
      <c r="C1007" s="3">
        <f t="shared" si="45"/>
        <v>25</v>
      </c>
      <c r="D1007" s="3">
        <f t="shared" si="47"/>
        <v>625</v>
      </c>
      <c r="E1007" s="3">
        <f t="shared" si="46"/>
        <v>625</v>
      </c>
    </row>
    <row r="1008" spans="1:5">
      <c r="A1008" s="3">
        <v>100.6</v>
      </c>
      <c r="B1008" s="3">
        <v>25</v>
      </c>
      <c r="C1008" s="3">
        <f t="shared" si="45"/>
        <v>25</v>
      </c>
      <c r="D1008" s="3">
        <f t="shared" si="47"/>
        <v>625</v>
      </c>
      <c r="E1008" s="3">
        <f t="shared" si="46"/>
        <v>625</v>
      </c>
    </row>
    <row r="1009" spans="1:5">
      <c r="A1009" s="3">
        <v>100.7</v>
      </c>
      <c r="B1009" s="3">
        <v>25</v>
      </c>
      <c r="C1009" s="3">
        <f t="shared" si="45"/>
        <v>25</v>
      </c>
      <c r="D1009" s="3">
        <f t="shared" si="47"/>
        <v>625</v>
      </c>
      <c r="E1009" s="3">
        <f t="shared" si="46"/>
        <v>625</v>
      </c>
    </row>
    <row r="1010" spans="1:5">
      <c r="A1010" s="3">
        <v>100.8</v>
      </c>
      <c r="B1010" s="3">
        <v>25</v>
      </c>
      <c r="C1010" s="3">
        <f t="shared" si="45"/>
        <v>25</v>
      </c>
      <c r="D1010" s="3">
        <f t="shared" si="47"/>
        <v>625</v>
      </c>
      <c r="E1010" s="3">
        <f t="shared" si="46"/>
        <v>625</v>
      </c>
    </row>
    <row r="1011" spans="1:5">
      <c r="A1011" s="3">
        <v>100.9</v>
      </c>
      <c r="B1011" s="3">
        <v>25</v>
      </c>
      <c r="C1011" s="3">
        <f t="shared" si="45"/>
        <v>25</v>
      </c>
      <c r="D1011" s="3">
        <f t="shared" si="47"/>
        <v>625</v>
      </c>
      <c r="E1011" s="3">
        <f t="shared" si="46"/>
        <v>625</v>
      </c>
    </row>
    <row r="1012" spans="1:5">
      <c r="A1012" s="3">
        <v>101</v>
      </c>
      <c r="B1012" s="3">
        <v>25</v>
      </c>
      <c r="C1012" s="3">
        <f t="shared" si="45"/>
        <v>25</v>
      </c>
      <c r="D1012" s="3">
        <f t="shared" si="47"/>
        <v>625</v>
      </c>
      <c r="E1012" s="3">
        <f t="shared" si="46"/>
        <v>625</v>
      </c>
    </row>
    <row r="1013" spans="1:5">
      <c r="A1013" s="3">
        <v>101.1</v>
      </c>
      <c r="B1013" s="3">
        <v>25</v>
      </c>
      <c r="C1013" s="3">
        <f t="shared" si="45"/>
        <v>25</v>
      </c>
      <c r="D1013" s="3">
        <f t="shared" si="47"/>
        <v>625</v>
      </c>
      <c r="E1013" s="3">
        <f t="shared" si="46"/>
        <v>625</v>
      </c>
    </row>
    <row r="1014" spans="1:5">
      <c r="A1014" s="3">
        <v>101.2</v>
      </c>
      <c r="B1014" s="3">
        <v>25</v>
      </c>
      <c r="C1014" s="3">
        <f t="shared" si="45"/>
        <v>25</v>
      </c>
      <c r="D1014" s="3">
        <f t="shared" si="47"/>
        <v>625</v>
      </c>
      <c r="E1014" s="3">
        <f t="shared" si="46"/>
        <v>625</v>
      </c>
    </row>
    <row r="1015" spans="1:5">
      <c r="A1015" s="3">
        <v>101.3</v>
      </c>
      <c r="B1015" s="3">
        <v>25</v>
      </c>
      <c r="C1015" s="3">
        <f t="shared" si="45"/>
        <v>25</v>
      </c>
      <c r="D1015" s="3">
        <f t="shared" si="47"/>
        <v>625</v>
      </c>
      <c r="E1015" s="3">
        <f t="shared" si="46"/>
        <v>625</v>
      </c>
    </row>
    <row r="1016" spans="1:5">
      <c r="A1016" s="3">
        <v>101.4</v>
      </c>
      <c r="B1016" s="3">
        <v>25</v>
      </c>
      <c r="C1016" s="3">
        <f t="shared" si="45"/>
        <v>25</v>
      </c>
      <c r="D1016" s="3">
        <f t="shared" si="47"/>
        <v>625</v>
      </c>
      <c r="E1016" s="3">
        <f t="shared" si="46"/>
        <v>625</v>
      </c>
    </row>
    <row r="1017" spans="1:5">
      <c r="A1017" s="3">
        <v>101.5</v>
      </c>
      <c r="B1017" s="3">
        <v>25</v>
      </c>
      <c r="C1017" s="3">
        <f t="shared" si="45"/>
        <v>25</v>
      </c>
      <c r="D1017" s="3">
        <f t="shared" si="47"/>
        <v>625</v>
      </c>
      <c r="E1017" s="3">
        <f t="shared" si="46"/>
        <v>625</v>
      </c>
    </row>
    <row r="1018" spans="1:5">
      <c r="A1018" s="3">
        <v>101.6</v>
      </c>
      <c r="B1018" s="3">
        <v>25</v>
      </c>
      <c r="C1018" s="3">
        <f t="shared" si="45"/>
        <v>25</v>
      </c>
      <c r="D1018" s="3">
        <f t="shared" si="47"/>
        <v>625</v>
      </c>
      <c r="E1018" s="3">
        <f t="shared" si="46"/>
        <v>625</v>
      </c>
    </row>
    <row r="1019" spans="1:5">
      <c r="A1019" s="3">
        <v>101.7</v>
      </c>
      <c r="B1019" s="3">
        <v>25</v>
      </c>
      <c r="C1019" s="3">
        <f t="shared" si="45"/>
        <v>25</v>
      </c>
      <c r="D1019" s="3">
        <f t="shared" si="47"/>
        <v>625</v>
      </c>
      <c r="E1019" s="3">
        <f t="shared" si="46"/>
        <v>625</v>
      </c>
    </row>
    <row r="1020" spans="1:5">
      <c r="A1020" s="3">
        <v>101.8</v>
      </c>
      <c r="B1020" s="3">
        <v>25</v>
      </c>
      <c r="C1020" s="3">
        <f t="shared" si="45"/>
        <v>25</v>
      </c>
      <c r="D1020" s="3">
        <f t="shared" si="47"/>
        <v>625</v>
      </c>
      <c r="E1020" s="3">
        <f t="shared" si="46"/>
        <v>625</v>
      </c>
    </row>
    <row r="1021" spans="1:5">
      <c r="A1021" s="3">
        <v>101.9</v>
      </c>
      <c r="B1021" s="3">
        <v>25</v>
      </c>
      <c r="C1021" s="3">
        <f t="shared" si="45"/>
        <v>25</v>
      </c>
      <c r="D1021" s="3">
        <f t="shared" si="47"/>
        <v>625</v>
      </c>
      <c r="E1021" s="3">
        <f t="shared" si="46"/>
        <v>625</v>
      </c>
    </row>
    <row r="1022" spans="1:5">
      <c r="A1022" s="3">
        <v>102</v>
      </c>
      <c r="B1022" s="3">
        <v>25</v>
      </c>
      <c r="C1022" s="3">
        <f t="shared" si="45"/>
        <v>25</v>
      </c>
      <c r="D1022" s="3">
        <f t="shared" si="47"/>
        <v>625</v>
      </c>
      <c r="E1022" s="3">
        <f t="shared" si="46"/>
        <v>625</v>
      </c>
    </row>
    <row r="1023" spans="1:5">
      <c r="A1023" s="3">
        <v>102.1</v>
      </c>
      <c r="B1023" s="3">
        <v>25</v>
      </c>
      <c r="C1023" s="3">
        <f t="shared" si="45"/>
        <v>25</v>
      </c>
      <c r="D1023" s="3">
        <f t="shared" si="47"/>
        <v>625</v>
      </c>
      <c r="E1023" s="3">
        <f t="shared" si="46"/>
        <v>625</v>
      </c>
    </row>
    <row r="1024" spans="1:5">
      <c r="A1024" s="3">
        <v>102.2</v>
      </c>
      <c r="B1024" s="3">
        <v>25</v>
      </c>
      <c r="C1024" s="3">
        <f t="shared" si="45"/>
        <v>25</v>
      </c>
      <c r="D1024" s="3">
        <f t="shared" si="47"/>
        <v>625</v>
      </c>
      <c r="E1024" s="3">
        <f t="shared" si="46"/>
        <v>625</v>
      </c>
    </row>
    <row r="1025" spans="1:5">
      <c r="A1025" s="3">
        <v>102.3</v>
      </c>
      <c r="B1025" s="3">
        <v>25</v>
      </c>
      <c r="C1025" s="3">
        <f t="shared" si="45"/>
        <v>25</v>
      </c>
      <c r="D1025" s="3">
        <f t="shared" si="47"/>
        <v>625</v>
      </c>
      <c r="E1025" s="3">
        <f t="shared" si="46"/>
        <v>625</v>
      </c>
    </row>
    <row r="1026" spans="1:5">
      <c r="A1026" s="3">
        <v>102.4</v>
      </c>
      <c r="B1026" s="3">
        <v>25</v>
      </c>
      <c r="C1026" s="3">
        <f t="shared" ref="C1026:C1089" si="48">ROUND(SQRT(E1026),2)</f>
        <v>25</v>
      </c>
      <c r="D1026" s="3">
        <f t="shared" si="47"/>
        <v>625</v>
      </c>
      <c r="E1026" s="3">
        <f t="shared" ref="E1026:E1089" si="49">MIN(D1026, E1027+$H$4)</f>
        <v>625</v>
      </c>
    </row>
    <row r="1027" spans="1:5">
      <c r="A1027" s="3">
        <v>102.5</v>
      </c>
      <c r="B1027" s="3">
        <v>25</v>
      </c>
      <c r="C1027" s="3">
        <f t="shared" si="48"/>
        <v>25</v>
      </c>
      <c r="D1027" s="3">
        <f t="shared" ref="D1027:D1090" si="50">MIN(B1027^2, D1026+$H$4)</f>
        <v>625</v>
      </c>
      <c r="E1027" s="3">
        <f t="shared" si="49"/>
        <v>625</v>
      </c>
    </row>
    <row r="1028" spans="1:5">
      <c r="A1028" s="3">
        <v>102.6</v>
      </c>
      <c r="B1028" s="3">
        <v>25</v>
      </c>
      <c r="C1028" s="3">
        <f t="shared" si="48"/>
        <v>25</v>
      </c>
      <c r="D1028" s="3">
        <f t="shared" si="50"/>
        <v>625</v>
      </c>
      <c r="E1028" s="3">
        <f t="shared" si="49"/>
        <v>625</v>
      </c>
    </row>
    <row r="1029" spans="1:5">
      <c r="A1029" s="3">
        <v>102.7</v>
      </c>
      <c r="B1029" s="3">
        <v>25</v>
      </c>
      <c r="C1029" s="3">
        <f t="shared" si="48"/>
        <v>25</v>
      </c>
      <c r="D1029" s="3">
        <f t="shared" si="50"/>
        <v>625</v>
      </c>
      <c r="E1029" s="3">
        <f t="shared" si="49"/>
        <v>625</v>
      </c>
    </row>
    <row r="1030" spans="1:5">
      <c r="A1030" s="3">
        <v>102.8</v>
      </c>
      <c r="B1030" s="3">
        <v>25</v>
      </c>
      <c r="C1030" s="3">
        <f t="shared" si="48"/>
        <v>25</v>
      </c>
      <c r="D1030" s="3">
        <f t="shared" si="50"/>
        <v>625</v>
      </c>
      <c r="E1030" s="3">
        <f t="shared" si="49"/>
        <v>625</v>
      </c>
    </row>
    <row r="1031" spans="1:5">
      <c r="A1031" s="3">
        <v>102.9</v>
      </c>
      <c r="B1031" s="3">
        <v>25</v>
      </c>
      <c r="C1031" s="3">
        <f t="shared" si="48"/>
        <v>25</v>
      </c>
      <c r="D1031" s="3">
        <f t="shared" si="50"/>
        <v>625</v>
      </c>
      <c r="E1031" s="3">
        <f t="shared" si="49"/>
        <v>625</v>
      </c>
    </row>
    <row r="1032" spans="1:5">
      <c r="A1032" s="3">
        <v>103</v>
      </c>
      <c r="B1032" s="3">
        <v>25</v>
      </c>
      <c r="C1032" s="3">
        <f t="shared" si="48"/>
        <v>25</v>
      </c>
      <c r="D1032" s="3">
        <f t="shared" si="50"/>
        <v>625</v>
      </c>
      <c r="E1032" s="3">
        <f t="shared" si="49"/>
        <v>625</v>
      </c>
    </row>
    <row r="1033" spans="1:5">
      <c r="A1033" s="3">
        <v>103.1</v>
      </c>
      <c r="B1033" s="3">
        <v>25</v>
      </c>
      <c r="C1033" s="3">
        <f t="shared" si="48"/>
        <v>25</v>
      </c>
      <c r="D1033" s="3">
        <f t="shared" si="50"/>
        <v>625</v>
      </c>
      <c r="E1033" s="3">
        <f t="shared" si="49"/>
        <v>625</v>
      </c>
    </row>
    <row r="1034" spans="1:5">
      <c r="A1034" s="3">
        <v>103.2</v>
      </c>
      <c r="B1034" s="3">
        <v>25</v>
      </c>
      <c r="C1034" s="3">
        <f t="shared" si="48"/>
        <v>25</v>
      </c>
      <c r="D1034" s="3">
        <f t="shared" si="50"/>
        <v>625</v>
      </c>
      <c r="E1034" s="3">
        <f t="shared" si="49"/>
        <v>625</v>
      </c>
    </row>
    <row r="1035" spans="1:5">
      <c r="A1035" s="3">
        <v>103.3</v>
      </c>
      <c r="B1035" s="3">
        <v>25</v>
      </c>
      <c r="C1035" s="3">
        <f t="shared" si="48"/>
        <v>25</v>
      </c>
      <c r="D1035" s="3">
        <f t="shared" si="50"/>
        <v>625</v>
      </c>
      <c r="E1035" s="3">
        <f t="shared" si="49"/>
        <v>625</v>
      </c>
    </row>
    <row r="1036" spans="1:5">
      <c r="A1036" s="3">
        <v>103.4</v>
      </c>
      <c r="B1036" s="3">
        <v>25</v>
      </c>
      <c r="C1036" s="3">
        <f t="shared" si="48"/>
        <v>25</v>
      </c>
      <c r="D1036" s="3">
        <f t="shared" si="50"/>
        <v>625</v>
      </c>
      <c r="E1036" s="3">
        <f t="shared" si="49"/>
        <v>625</v>
      </c>
    </row>
    <row r="1037" spans="1:5">
      <c r="A1037" s="3">
        <v>103.5</v>
      </c>
      <c r="B1037" s="3">
        <v>25</v>
      </c>
      <c r="C1037" s="3">
        <f t="shared" si="48"/>
        <v>25</v>
      </c>
      <c r="D1037" s="3">
        <f t="shared" si="50"/>
        <v>625</v>
      </c>
      <c r="E1037" s="3">
        <f t="shared" si="49"/>
        <v>625</v>
      </c>
    </row>
    <row r="1038" spans="1:5">
      <c r="A1038" s="3">
        <v>103.6</v>
      </c>
      <c r="B1038" s="3">
        <v>25</v>
      </c>
      <c r="C1038" s="3">
        <f t="shared" si="48"/>
        <v>25</v>
      </c>
      <c r="D1038" s="3">
        <f t="shared" si="50"/>
        <v>625</v>
      </c>
      <c r="E1038" s="3">
        <f t="shared" si="49"/>
        <v>625</v>
      </c>
    </row>
    <row r="1039" spans="1:5">
      <c r="A1039" s="3">
        <v>103.7</v>
      </c>
      <c r="B1039" s="3">
        <v>25</v>
      </c>
      <c r="C1039" s="3">
        <f t="shared" si="48"/>
        <v>25</v>
      </c>
      <c r="D1039" s="3">
        <f t="shared" si="50"/>
        <v>625</v>
      </c>
      <c r="E1039" s="3">
        <f t="shared" si="49"/>
        <v>625</v>
      </c>
    </row>
    <row r="1040" spans="1:5">
      <c r="A1040" s="3">
        <v>103.8</v>
      </c>
      <c r="B1040" s="3">
        <v>25</v>
      </c>
      <c r="C1040" s="3">
        <f t="shared" si="48"/>
        <v>25</v>
      </c>
      <c r="D1040" s="3">
        <f t="shared" si="50"/>
        <v>625</v>
      </c>
      <c r="E1040" s="3">
        <f t="shared" si="49"/>
        <v>625</v>
      </c>
    </row>
    <row r="1041" spans="1:5">
      <c r="A1041" s="3">
        <v>103.9</v>
      </c>
      <c r="B1041" s="3">
        <v>25</v>
      </c>
      <c r="C1041" s="3">
        <f t="shared" si="48"/>
        <v>25</v>
      </c>
      <c r="D1041" s="3">
        <f t="shared" si="50"/>
        <v>625</v>
      </c>
      <c r="E1041" s="3">
        <f t="shared" si="49"/>
        <v>625</v>
      </c>
    </row>
    <row r="1042" spans="1:5">
      <c r="A1042" s="3">
        <v>104</v>
      </c>
      <c r="B1042" s="3">
        <v>25</v>
      </c>
      <c r="C1042" s="3">
        <f t="shared" si="48"/>
        <v>25</v>
      </c>
      <c r="D1042" s="3">
        <f t="shared" si="50"/>
        <v>625</v>
      </c>
      <c r="E1042" s="3">
        <f t="shared" si="49"/>
        <v>625</v>
      </c>
    </row>
    <row r="1043" spans="1:5">
      <c r="A1043" s="3">
        <v>104.1</v>
      </c>
      <c r="B1043" s="3">
        <v>25</v>
      </c>
      <c r="C1043" s="3">
        <f t="shared" si="48"/>
        <v>25</v>
      </c>
      <c r="D1043" s="3">
        <f t="shared" si="50"/>
        <v>625</v>
      </c>
      <c r="E1043" s="3">
        <f t="shared" si="49"/>
        <v>625</v>
      </c>
    </row>
    <row r="1044" spans="1:5">
      <c r="A1044" s="3">
        <v>104.2</v>
      </c>
      <c r="B1044" s="3">
        <v>25</v>
      </c>
      <c r="C1044" s="3">
        <f t="shared" si="48"/>
        <v>25</v>
      </c>
      <c r="D1044" s="3">
        <f t="shared" si="50"/>
        <v>625</v>
      </c>
      <c r="E1044" s="3">
        <f t="shared" si="49"/>
        <v>625</v>
      </c>
    </row>
    <row r="1045" spans="1:5">
      <c r="A1045" s="3">
        <v>104.3</v>
      </c>
      <c r="B1045" s="3">
        <v>25</v>
      </c>
      <c r="C1045" s="3">
        <f t="shared" si="48"/>
        <v>25</v>
      </c>
      <c r="D1045" s="3">
        <f t="shared" si="50"/>
        <v>625</v>
      </c>
      <c r="E1045" s="3">
        <f t="shared" si="49"/>
        <v>625</v>
      </c>
    </row>
    <row r="1046" spans="1:5">
      <c r="A1046" s="3">
        <v>104.4</v>
      </c>
      <c r="B1046" s="3">
        <v>25</v>
      </c>
      <c r="C1046" s="3">
        <f t="shared" si="48"/>
        <v>25</v>
      </c>
      <c r="D1046" s="3">
        <f t="shared" si="50"/>
        <v>625</v>
      </c>
      <c r="E1046" s="3">
        <f t="shared" si="49"/>
        <v>625</v>
      </c>
    </row>
    <row r="1047" spans="1:5">
      <c r="A1047" s="3">
        <v>104.5</v>
      </c>
      <c r="B1047" s="3">
        <v>25</v>
      </c>
      <c r="C1047" s="3">
        <f t="shared" si="48"/>
        <v>25</v>
      </c>
      <c r="D1047" s="3">
        <f t="shared" si="50"/>
        <v>625</v>
      </c>
      <c r="E1047" s="3">
        <f t="shared" si="49"/>
        <v>625</v>
      </c>
    </row>
    <row r="1048" spans="1:5">
      <c r="A1048" s="3">
        <v>104.6</v>
      </c>
      <c r="B1048" s="3">
        <v>25</v>
      </c>
      <c r="C1048" s="3">
        <f t="shared" si="48"/>
        <v>25</v>
      </c>
      <c r="D1048" s="3">
        <f t="shared" si="50"/>
        <v>625</v>
      </c>
      <c r="E1048" s="3">
        <f t="shared" si="49"/>
        <v>625</v>
      </c>
    </row>
    <row r="1049" spans="1:5">
      <c r="A1049" s="3">
        <v>104.7</v>
      </c>
      <c r="B1049" s="3">
        <v>25</v>
      </c>
      <c r="C1049" s="3">
        <f t="shared" si="48"/>
        <v>25</v>
      </c>
      <c r="D1049" s="3">
        <f t="shared" si="50"/>
        <v>625</v>
      </c>
      <c r="E1049" s="3">
        <f t="shared" si="49"/>
        <v>625</v>
      </c>
    </row>
    <row r="1050" spans="1:5">
      <c r="A1050" s="3">
        <v>104.8</v>
      </c>
      <c r="B1050" s="3">
        <v>25</v>
      </c>
      <c r="C1050" s="3">
        <f t="shared" si="48"/>
        <v>25</v>
      </c>
      <c r="D1050" s="3">
        <f t="shared" si="50"/>
        <v>625</v>
      </c>
      <c r="E1050" s="3">
        <f t="shared" si="49"/>
        <v>625</v>
      </c>
    </row>
    <row r="1051" spans="1:5">
      <c r="A1051" s="3">
        <v>104.9</v>
      </c>
      <c r="B1051" s="3">
        <v>25</v>
      </c>
      <c r="C1051" s="3">
        <f t="shared" si="48"/>
        <v>25</v>
      </c>
      <c r="D1051" s="3">
        <f t="shared" si="50"/>
        <v>625</v>
      </c>
      <c r="E1051" s="3">
        <f t="shared" si="49"/>
        <v>625</v>
      </c>
    </row>
    <row r="1052" spans="1:5">
      <c r="A1052" s="3">
        <v>105</v>
      </c>
      <c r="B1052" s="3">
        <v>25</v>
      </c>
      <c r="C1052" s="3">
        <f t="shared" si="48"/>
        <v>25</v>
      </c>
      <c r="D1052" s="3">
        <f t="shared" si="50"/>
        <v>625</v>
      </c>
      <c r="E1052" s="3">
        <f t="shared" si="49"/>
        <v>625</v>
      </c>
    </row>
    <row r="1053" spans="1:5">
      <c r="A1053" s="3">
        <v>105.1</v>
      </c>
      <c r="B1053" s="3">
        <v>25</v>
      </c>
      <c r="C1053" s="3">
        <f t="shared" si="48"/>
        <v>25</v>
      </c>
      <c r="D1053" s="3">
        <f t="shared" si="50"/>
        <v>625</v>
      </c>
      <c r="E1053" s="3">
        <f t="shared" si="49"/>
        <v>625</v>
      </c>
    </row>
    <row r="1054" spans="1:5">
      <c r="A1054" s="3">
        <v>105.2</v>
      </c>
      <c r="B1054" s="3">
        <v>25</v>
      </c>
      <c r="C1054" s="3">
        <f t="shared" si="48"/>
        <v>25</v>
      </c>
      <c r="D1054" s="3">
        <f t="shared" si="50"/>
        <v>625</v>
      </c>
      <c r="E1054" s="3">
        <f t="shared" si="49"/>
        <v>625</v>
      </c>
    </row>
    <row r="1055" spans="1:5">
      <c r="A1055" s="3">
        <v>105.3</v>
      </c>
      <c r="B1055" s="3">
        <v>25</v>
      </c>
      <c r="C1055" s="3">
        <f t="shared" si="48"/>
        <v>25</v>
      </c>
      <c r="D1055" s="3">
        <f t="shared" si="50"/>
        <v>625</v>
      </c>
      <c r="E1055" s="3">
        <f t="shared" si="49"/>
        <v>625</v>
      </c>
    </row>
    <row r="1056" spans="1:5">
      <c r="A1056" s="3">
        <v>105.4</v>
      </c>
      <c r="B1056" s="3">
        <v>25</v>
      </c>
      <c r="C1056" s="3">
        <f t="shared" si="48"/>
        <v>25</v>
      </c>
      <c r="D1056" s="3">
        <f t="shared" si="50"/>
        <v>625</v>
      </c>
      <c r="E1056" s="3">
        <f t="shared" si="49"/>
        <v>625</v>
      </c>
    </row>
    <row r="1057" spans="1:5">
      <c r="A1057" s="3">
        <v>105.5</v>
      </c>
      <c r="B1057" s="3">
        <v>25</v>
      </c>
      <c r="C1057" s="3">
        <f t="shared" si="48"/>
        <v>25</v>
      </c>
      <c r="D1057" s="3">
        <f t="shared" si="50"/>
        <v>625</v>
      </c>
      <c r="E1057" s="3">
        <f t="shared" si="49"/>
        <v>625</v>
      </c>
    </row>
    <row r="1058" spans="1:5">
      <c r="A1058" s="3">
        <v>105.6</v>
      </c>
      <c r="B1058" s="3">
        <v>25</v>
      </c>
      <c r="C1058" s="3">
        <f t="shared" si="48"/>
        <v>25</v>
      </c>
      <c r="D1058" s="3">
        <f t="shared" si="50"/>
        <v>625</v>
      </c>
      <c r="E1058" s="3">
        <f t="shared" si="49"/>
        <v>625</v>
      </c>
    </row>
    <row r="1059" spans="1:5">
      <c r="A1059" s="3">
        <v>105.7</v>
      </c>
      <c r="B1059" s="3">
        <v>25</v>
      </c>
      <c r="C1059" s="3">
        <f t="shared" si="48"/>
        <v>25</v>
      </c>
      <c r="D1059" s="3">
        <f t="shared" si="50"/>
        <v>625</v>
      </c>
      <c r="E1059" s="3">
        <f t="shared" si="49"/>
        <v>625</v>
      </c>
    </row>
    <row r="1060" spans="1:5">
      <c r="A1060" s="3">
        <v>105.8</v>
      </c>
      <c r="B1060" s="3">
        <v>25</v>
      </c>
      <c r="C1060" s="3">
        <f t="shared" si="48"/>
        <v>25</v>
      </c>
      <c r="D1060" s="3">
        <f t="shared" si="50"/>
        <v>625</v>
      </c>
      <c r="E1060" s="3">
        <f t="shared" si="49"/>
        <v>625</v>
      </c>
    </row>
    <row r="1061" spans="1:5">
      <c r="A1061" s="3">
        <v>105.9</v>
      </c>
      <c r="B1061" s="3">
        <v>25</v>
      </c>
      <c r="C1061" s="3">
        <f t="shared" si="48"/>
        <v>25</v>
      </c>
      <c r="D1061" s="3">
        <f t="shared" si="50"/>
        <v>625</v>
      </c>
      <c r="E1061" s="3">
        <f t="shared" si="49"/>
        <v>625</v>
      </c>
    </row>
    <row r="1062" spans="1:5">
      <c r="A1062" s="3">
        <v>106</v>
      </c>
      <c r="B1062" s="3">
        <v>25</v>
      </c>
      <c r="C1062" s="3">
        <f t="shared" si="48"/>
        <v>25</v>
      </c>
      <c r="D1062" s="3">
        <f t="shared" si="50"/>
        <v>625</v>
      </c>
      <c r="E1062" s="3">
        <f t="shared" si="49"/>
        <v>625</v>
      </c>
    </row>
    <row r="1063" spans="1:5">
      <c r="A1063" s="3">
        <v>106.1</v>
      </c>
      <c r="B1063" s="3">
        <v>25</v>
      </c>
      <c r="C1063" s="3">
        <f t="shared" si="48"/>
        <v>25</v>
      </c>
      <c r="D1063" s="3">
        <f t="shared" si="50"/>
        <v>625</v>
      </c>
      <c r="E1063" s="3">
        <f t="shared" si="49"/>
        <v>625</v>
      </c>
    </row>
    <row r="1064" spans="1:5">
      <c r="A1064" s="3">
        <v>106.2</v>
      </c>
      <c r="B1064" s="3">
        <v>25</v>
      </c>
      <c r="C1064" s="3">
        <f t="shared" si="48"/>
        <v>25</v>
      </c>
      <c r="D1064" s="3">
        <f t="shared" si="50"/>
        <v>625</v>
      </c>
      <c r="E1064" s="3">
        <f t="shared" si="49"/>
        <v>625</v>
      </c>
    </row>
    <row r="1065" spans="1:5">
      <c r="A1065" s="3">
        <v>106.3</v>
      </c>
      <c r="B1065" s="3">
        <v>25</v>
      </c>
      <c r="C1065" s="3">
        <f t="shared" si="48"/>
        <v>25</v>
      </c>
      <c r="D1065" s="3">
        <f t="shared" si="50"/>
        <v>625</v>
      </c>
      <c r="E1065" s="3">
        <f t="shared" si="49"/>
        <v>625</v>
      </c>
    </row>
    <row r="1066" spans="1:5">
      <c r="A1066" s="3">
        <v>106.4</v>
      </c>
      <c r="B1066" s="3">
        <v>25</v>
      </c>
      <c r="C1066" s="3">
        <f t="shared" si="48"/>
        <v>25</v>
      </c>
      <c r="D1066" s="3">
        <f t="shared" si="50"/>
        <v>625</v>
      </c>
      <c r="E1066" s="3">
        <f t="shared" si="49"/>
        <v>625</v>
      </c>
    </row>
    <row r="1067" spans="1:5">
      <c r="A1067" s="3">
        <v>106.5</v>
      </c>
      <c r="B1067" s="3">
        <v>25</v>
      </c>
      <c r="C1067" s="3">
        <f t="shared" si="48"/>
        <v>25</v>
      </c>
      <c r="D1067" s="3">
        <f t="shared" si="50"/>
        <v>625</v>
      </c>
      <c r="E1067" s="3">
        <f t="shared" si="49"/>
        <v>625</v>
      </c>
    </row>
    <row r="1068" spans="1:5">
      <c r="A1068" s="3">
        <v>106.6</v>
      </c>
      <c r="B1068" s="3">
        <v>25</v>
      </c>
      <c r="C1068" s="3">
        <f t="shared" si="48"/>
        <v>25</v>
      </c>
      <c r="D1068" s="3">
        <f t="shared" si="50"/>
        <v>625</v>
      </c>
      <c r="E1068" s="3">
        <f t="shared" si="49"/>
        <v>625</v>
      </c>
    </row>
    <row r="1069" spans="1:5">
      <c r="A1069" s="3">
        <v>106.7</v>
      </c>
      <c r="B1069" s="3">
        <v>25</v>
      </c>
      <c r="C1069" s="3">
        <f t="shared" si="48"/>
        <v>25</v>
      </c>
      <c r="D1069" s="3">
        <f t="shared" si="50"/>
        <v>625</v>
      </c>
      <c r="E1069" s="3">
        <f t="shared" si="49"/>
        <v>625</v>
      </c>
    </row>
    <row r="1070" spans="1:5">
      <c r="A1070" s="3">
        <v>106.8</v>
      </c>
      <c r="B1070" s="3">
        <v>25</v>
      </c>
      <c r="C1070" s="3">
        <f t="shared" si="48"/>
        <v>25</v>
      </c>
      <c r="D1070" s="3">
        <f t="shared" si="50"/>
        <v>625</v>
      </c>
      <c r="E1070" s="3">
        <f t="shared" si="49"/>
        <v>625</v>
      </c>
    </row>
    <row r="1071" spans="1:5">
      <c r="A1071" s="3">
        <v>106.9</v>
      </c>
      <c r="B1071" s="3">
        <v>25</v>
      </c>
      <c r="C1071" s="3">
        <f t="shared" si="48"/>
        <v>25</v>
      </c>
      <c r="D1071" s="3">
        <f t="shared" si="50"/>
        <v>625</v>
      </c>
      <c r="E1071" s="3">
        <f t="shared" si="49"/>
        <v>625</v>
      </c>
    </row>
    <row r="1072" spans="1:5">
      <c r="A1072" s="3">
        <v>107</v>
      </c>
      <c r="B1072" s="3">
        <v>25</v>
      </c>
      <c r="C1072" s="3">
        <f t="shared" si="48"/>
        <v>25</v>
      </c>
      <c r="D1072" s="3">
        <f t="shared" si="50"/>
        <v>625</v>
      </c>
      <c r="E1072" s="3">
        <f t="shared" si="49"/>
        <v>625</v>
      </c>
    </row>
    <row r="1073" spans="1:5">
      <c r="A1073" s="3">
        <v>107.1</v>
      </c>
      <c r="B1073" s="3">
        <v>25</v>
      </c>
      <c r="C1073" s="3">
        <f t="shared" si="48"/>
        <v>25</v>
      </c>
      <c r="D1073" s="3">
        <f t="shared" si="50"/>
        <v>625</v>
      </c>
      <c r="E1073" s="3">
        <f t="shared" si="49"/>
        <v>625</v>
      </c>
    </row>
    <row r="1074" spans="1:5">
      <c r="A1074" s="3">
        <v>107.2</v>
      </c>
      <c r="B1074" s="3">
        <v>25</v>
      </c>
      <c r="C1074" s="3">
        <f t="shared" si="48"/>
        <v>25</v>
      </c>
      <c r="D1074" s="3">
        <f t="shared" si="50"/>
        <v>625</v>
      </c>
      <c r="E1074" s="3">
        <f t="shared" si="49"/>
        <v>625</v>
      </c>
    </row>
    <row r="1075" spans="1:5">
      <c r="A1075" s="3">
        <v>107.3</v>
      </c>
      <c r="B1075" s="3">
        <v>25</v>
      </c>
      <c r="C1075" s="3">
        <f t="shared" si="48"/>
        <v>25</v>
      </c>
      <c r="D1075" s="3">
        <f t="shared" si="50"/>
        <v>625</v>
      </c>
      <c r="E1075" s="3">
        <f t="shared" si="49"/>
        <v>625</v>
      </c>
    </row>
    <row r="1076" spans="1:5">
      <c r="A1076" s="3">
        <v>107.4</v>
      </c>
      <c r="B1076" s="3">
        <v>25</v>
      </c>
      <c r="C1076" s="3">
        <f t="shared" si="48"/>
        <v>25</v>
      </c>
      <c r="D1076" s="3">
        <f t="shared" si="50"/>
        <v>625</v>
      </c>
      <c r="E1076" s="3">
        <f t="shared" si="49"/>
        <v>625</v>
      </c>
    </row>
    <row r="1077" spans="1:5">
      <c r="A1077" s="3">
        <v>107.5</v>
      </c>
      <c r="B1077" s="3">
        <v>25</v>
      </c>
      <c r="C1077" s="3">
        <f t="shared" si="48"/>
        <v>25</v>
      </c>
      <c r="D1077" s="3">
        <f t="shared" si="50"/>
        <v>625</v>
      </c>
      <c r="E1077" s="3">
        <f t="shared" si="49"/>
        <v>625</v>
      </c>
    </row>
    <row r="1078" spans="1:5">
      <c r="A1078" s="3">
        <v>107.6</v>
      </c>
      <c r="B1078" s="3">
        <v>25</v>
      </c>
      <c r="C1078" s="3">
        <f t="shared" si="48"/>
        <v>25</v>
      </c>
      <c r="D1078" s="3">
        <f t="shared" si="50"/>
        <v>625</v>
      </c>
      <c r="E1078" s="3">
        <f t="shared" si="49"/>
        <v>625</v>
      </c>
    </row>
    <row r="1079" spans="1:5">
      <c r="A1079" s="3">
        <v>107.7</v>
      </c>
      <c r="B1079" s="3">
        <v>25</v>
      </c>
      <c r="C1079" s="3">
        <f t="shared" si="48"/>
        <v>25</v>
      </c>
      <c r="D1079" s="3">
        <f t="shared" si="50"/>
        <v>625</v>
      </c>
      <c r="E1079" s="3">
        <f t="shared" si="49"/>
        <v>625</v>
      </c>
    </row>
    <row r="1080" spans="1:5">
      <c r="A1080" s="3">
        <v>107.8</v>
      </c>
      <c r="B1080" s="3">
        <v>25</v>
      </c>
      <c r="C1080" s="3">
        <f t="shared" si="48"/>
        <v>25</v>
      </c>
      <c r="D1080" s="3">
        <f t="shared" si="50"/>
        <v>625</v>
      </c>
      <c r="E1080" s="3">
        <f t="shared" si="49"/>
        <v>625</v>
      </c>
    </row>
    <row r="1081" spans="1:5">
      <c r="A1081" s="3">
        <v>107.9</v>
      </c>
      <c r="B1081" s="3">
        <v>25</v>
      </c>
      <c r="C1081" s="3">
        <f t="shared" si="48"/>
        <v>25</v>
      </c>
      <c r="D1081" s="3">
        <f t="shared" si="50"/>
        <v>625</v>
      </c>
      <c r="E1081" s="3">
        <f t="shared" si="49"/>
        <v>625</v>
      </c>
    </row>
    <row r="1082" spans="1:5">
      <c r="A1082" s="3">
        <v>108</v>
      </c>
      <c r="B1082" s="3">
        <v>25</v>
      </c>
      <c r="C1082" s="3">
        <f t="shared" si="48"/>
        <v>25</v>
      </c>
      <c r="D1082" s="3">
        <f t="shared" si="50"/>
        <v>625</v>
      </c>
      <c r="E1082" s="3">
        <f t="shared" si="49"/>
        <v>625</v>
      </c>
    </row>
    <row r="1083" spans="1:5">
      <c r="A1083" s="3">
        <v>108.1</v>
      </c>
      <c r="B1083" s="3">
        <v>25</v>
      </c>
      <c r="C1083" s="3">
        <f t="shared" si="48"/>
        <v>25</v>
      </c>
      <c r="D1083" s="3">
        <f t="shared" si="50"/>
        <v>625</v>
      </c>
      <c r="E1083" s="3">
        <f t="shared" si="49"/>
        <v>625</v>
      </c>
    </row>
    <row r="1084" spans="1:5">
      <c r="A1084" s="3">
        <v>108.2</v>
      </c>
      <c r="B1084" s="3">
        <v>25</v>
      </c>
      <c r="C1084" s="3">
        <f t="shared" si="48"/>
        <v>25</v>
      </c>
      <c r="D1084" s="3">
        <f t="shared" si="50"/>
        <v>625</v>
      </c>
      <c r="E1084" s="3">
        <f t="shared" si="49"/>
        <v>625</v>
      </c>
    </row>
    <row r="1085" spans="1:5">
      <c r="A1085" s="3">
        <v>108.3</v>
      </c>
      <c r="B1085" s="3">
        <v>25</v>
      </c>
      <c r="C1085" s="3">
        <f t="shared" si="48"/>
        <v>25</v>
      </c>
      <c r="D1085" s="3">
        <f t="shared" si="50"/>
        <v>625</v>
      </c>
      <c r="E1085" s="3">
        <f t="shared" si="49"/>
        <v>625</v>
      </c>
    </row>
    <row r="1086" spans="1:5">
      <c r="A1086" s="3">
        <v>108.4</v>
      </c>
      <c r="B1086" s="3">
        <v>25</v>
      </c>
      <c r="C1086" s="3">
        <f t="shared" si="48"/>
        <v>25</v>
      </c>
      <c r="D1086" s="3">
        <f t="shared" si="50"/>
        <v>625</v>
      </c>
      <c r="E1086" s="3">
        <f t="shared" si="49"/>
        <v>625</v>
      </c>
    </row>
    <row r="1087" spans="1:5">
      <c r="A1087" s="3">
        <v>108.5</v>
      </c>
      <c r="B1087" s="3">
        <v>25</v>
      </c>
      <c r="C1087" s="3">
        <f t="shared" si="48"/>
        <v>25</v>
      </c>
      <c r="D1087" s="3">
        <f t="shared" si="50"/>
        <v>625</v>
      </c>
      <c r="E1087" s="3">
        <f t="shared" si="49"/>
        <v>625</v>
      </c>
    </row>
    <row r="1088" spans="1:5">
      <c r="A1088" s="3">
        <v>108.6</v>
      </c>
      <c r="B1088" s="3">
        <v>25</v>
      </c>
      <c r="C1088" s="3">
        <f t="shared" si="48"/>
        <v>25</v>
      </c>
      <c r="D1088" s="3">
        <f t="shared" si="50"/>
        <v>625</v>
      </c>
      <c r="E1088" s="3">
        <f t="shared" si="49"/>
        <v>625</v>
      </c>
    </row>
    <row r="1089" spans="1:5">
      <c r="A1089" s="3">
        <v>108.7</v>
      </c>
      <c r="B1089" s="3">
        <v>25</v>
      </c>
      <c r="C1089" s="3">
        <f t="shared" si="48"/>
        <v>25</v>
      </c>
      <c r="D1089" s="3">
        <f t="shared" si="50"/>
        <v>625</v>
      </c>
      <c r="E1089" s="3">
        <f t="shared" si="49"/>
        <v>625</v>
      </c>
    </row>
    <row r="1090" spans="1:5">
      <c r="A1090" s="3">
        <v>108.8</v>
      </c>
      <c r="B1090" s="3">
        <v>25</v>
      </c>
      <c r="C1090" s="3">
        <f t="shared" ref="C1090:C1153" si="51">ROUND(SQRT(E1090),2)</f>
        <v>25</v>
      </c>
      <c r="D1090" s="3">
        <f t="shared" si="50"/>
        <v>625</v>
      </c>
      <c r="E1090" s="3">
        <f t="shared" ref="E1090:E1153" si="52">MIN(D1090, E1091+$H$4)</f>
        <v>625</v>
      </c>
    </row>
    <row r="1091" spans="1:5">
      <c r="A1091" s="3">
        <v>108.9</v>
      </c>
      <c r="B1091" s="3">
        <v>25</v>
      </c>
      <c r="C1091" s="3">
        <f t="shared" si="51"/>
        <v>25</v>
      </c>
      <c r="D1091" s="3">
        <f t="shared" ref="D1091:D1154" si="53">MIN(B1091^2, D1090+$H$4)</f>
        <v>625</v>
      </c>
      <c r="E1091" s="3">
        <f t="shared" si="52"/>
        <v>625</v>
      </c>
    </row>
    <row r="1092" spans="1:5">
      <c r="A1092" s="3">
        <v>109</v>
      </c>
      <c r="B1092" s="3">
        <v>25</v>
      </c>
      <c r="C1092" s="3">
        <f t="shared" si="51"/>
        <v>25</v>
      </c>
      <c r="D1092" s="3">
        <f t="shared" si="53"/>
        <v>625</v>
      </c>
      <c r="E1092" s="3">
        <f t="shared" si="52"/>
        <v>625</v>
      </c>
    </row>
    <row r="1093" spans="1:5">
      <c r="A1093" s="3">
        <v>109.1</v>
      </c>
      <c r="B1093" s="3">
        <v>25</v>
      </c>
      <c r="C1093" s="3">
        <f t="shared" si="51"/>
        <v>25</v>
      </c>
      <c r="D1093" s="3">
        <f t="shared" si="53"/>
        <v>625</v>
      </c>
      <c r="E1093" s="3">
        <f t="shared" si="52"/>
        <v>625</v>
      </c>
    </row>
    <row r="1094" spans="1:5">
      <c r="A1094" s="3">
        <v>109.2</v>
      </c>
      <c r="B1094" s="3">
        <v>25</v>
      </c>
      <c r="C1094" s="3">
        <f t="shared" si="51"/>
        <v>25</v>
      </c>
      <c r="D1094" s="3">
        <f t="shared" si="53"/>
        <v>625</v>
      </c>
      <c r="E1094" s="3">
        <f t="shared" si="52"/>
        <v>625</v>
      </c>
    </row>
    <row r="1095" spans="1:5">
      <c r="A1095" s="3">
        <v>109.3</v>
      </c>
      <c r="B1095" s="3">
        <v>25</v>
      </c>
      <c r="C1095" s="3">
        <f t="shared" si="51"/>
        <v>25</v>
      </c>
      <c r="D1095" s="3">
        <f t="shared" si="53"/>
        <v>625</v>
      </c>
      <c r="E1095" s="3">
        <f t="shared" si="52"/>
        <v>625</v>
      </c>
    </row>
    <row r="1096" spans="1:5">
      <c r="A1096" s="3">
        <v>109.4</v>
      </c>
      <c r="B1096" s="3">
        <v>25</v>
      </c>
      <c r="C1096" s="3">
        <f t="shared" si="51"/>
        <v>25</v>
      </c>
      <c r="D1096" s="3">
        <f t="shared" si="53"/>
        <v>625</v>
      </c>
      <c r="E1096" s="3">
        <f t="shared" si="52"/>
        <v>625</v>
      </c>
    </row>
    <row r="1097" spans="1:5">
      <c r="A1097" s="3">
        <v>109.5</v>
      </c>
      <c r="B1097" s="3">
        <v>25</v>
      </c>
      <c r="C1097" s="3">
        <f t="shared" si="51"/>
        <v>25</v>
      </c>
      <c r="D1097" s="3">
        <f t="shared" si="53"/>
        <v>625</v>
      </c>
      <c r="E1097" s="3">
        <f t="shared" si="52"/>
        <v>625</v>
      </c>
    </row>
    <row r="1098" spans="1:5">
      <c r="A1098" s="3">
        <v>109.6</v>
      </c>
      <c r="B1098" s="3">
        <v>25</v>
      </c>
      <c r="C1098" s="3">
        <f t="shared" si="51"/>
        <v>25</v>
      </c>
      <c r="D1098" s="3">
        <f t="shared" si="53"/>
        <v>625</v>
      </c>
      <c r="E1098" s="3">
        <f t="shared" si="52"/>
        <v>625</v>
      </c>
    </row>
    <row r="1099" spans="1:5">
      <c r="A1099" s="3">
        <v>109.7</v>
      </c>
      <c r="B1099" s="3">
        <v>25</v>
      </c>
      <c r="C1099" s="3">
        <f t="shared" si="51"/>
        <v>25</v>
      </c>
      <c r="D1099" s="3">
        <f t="shared" si="53"/>
        <v>625</v>
      </c>
      <c r="E1099" s="3">
        <f t="shared" si="52"/>
        <v>625</v>
      </c>
    </row>
    <row r="1100" spans="1:5">
      <c r="A1100" s="3">
        <v>109.8</v>
      </c>
      <c r="B1100" s="3">
        <v>25</v>
      </c>
      <c r="C1100" s="3">
        <f t="shared" si="51"/>
        <v>25</v>
      </c>
      <c r="D1100" s="3">
        <f t="shared" si="53"/>
        <v>625</v>
      </c>
      <c r="E1100" s="3">
        <f t="shared" si="52"/>
        <v>625</v>
      </c>
    </row>
    <row r="1101" spans="1:5">
      <c r="A1101" s="3">
        <v>109.9</v>
      </c>
      <c r="B1101" s="3">
        <v>25</v>
      </c>
      <c r="C1101" s="3">
        <f t="shared" si="51"/>
        <v>25</v>
      </c>
      <c r="D1101" s="3">
        <f t="shared" si="53"/>
        <v>625</v>
      </c>
      <c r="E1101" s="3">
        <f t="shared" si="52"/>
        <v>625</v>
      </c>
    </row>
    <row r="1102" spans="1:5">
      <c r="A1102" s="3">
        <v>110</v>
      </c>
      <c r="B1102" s="3">
        <v>25</v>
      </c>
      <c r="C1102" s="3">
        <f t="shared" si="51"/>
        <v>25</v>
      </c>
      <c r="D1102" s="3">
        <f t="shared" si="53"/>
        <v>625</v>
      </c>
      <c r="E1102" s="3">
        <f t="shared" si="52"/>
        <v>625</v>
      </c>
    </row>
    <row r="1103" spans="1:5">
      <c r="A1103" s="3">
        <v>110.1</v>
      </c>
      <c r="B1103" s="3">
        <v>25</v>
      </c>
      <c r="C1103" s="3">
        <f t="shared" si="51"/>
        <v>25</v>
      </c>
      <c r="D1103" s="3">
        <f t="shared" si="53"/>
        <v>625</v>
      </c>
      <c r="E1103" s="3">
        <f t="shared" si="52"/>
        <v>625</v>
      </c>
    </row>
    <row r="1104" spans="1:5">
      <c r="A1104" s="3">
        <v>110.2</v>
      </c>
      <c r="B1104" s="3">
        <v>25</v>
      </c>
      <c r="C1104" s="3">
        <f t="shared" si="51"/>
        <v>25</v>
      </c>
      <c r="D1104" s="3">
        <f t="shared" si="53"/>
        <v>625</v>
      </c>
      <c r="E1104" s="3">
        <f t="shared" si="52"/>
        <v>625</v>
      </c>
    </row>
    <row r="1105" spans="1:5">
      <c r="A1105" s="3">
        <v>110.3</v>
      </c>
      <c r="B1105" s="3">
        <v>25</v>
      </c>
      <c r="C1105" s="3">
        <f t="shared" si="51"/>
        <v>25</v>
      </c>
      <c r="D1105" s="3">
        <f t="shared" si="53"/>
        <v>625</v>
      </c>
      <c r="E1105" s="3">
        <f t="shared" si="52"/>
        <v>625</v>
      </c>
    </row>
    <row r="1106" spans="1:5">
      <c r="A1106" s="3">
        <v>110.4</v>
      </c>
      <c r="B1106" s="3">
        <v>25</v>
      </c>
      <c r="C1106" s="3">
        <f t="shared" si="51"/>
        <v>25</v>
      </c>
      <c r="D1106" s="3">
        <f t="shared" si="53"/>
        <v>625</v>
      </c>
      <c r="E1106" s="3">
        <f t="shared" si="52"/>
        <v>625</v>
      </c>
    </row>
    <row r="1107" spans="1:5">
      <c r="A1107" s="3">
        <v>110.5</v>
      </c>
      <c r="B1107" s="3">
        <v>25</v>
      </c>
      <c r="C1107" s="3">
        <f t="shared" si="51"/>
        <v>25</v>
      </c>
      <c r="D1107" s="3">
        <f t="shared" si="53"/>
        <v>625</v>
      </c>
      <c r="E1107" s="3">
        <f t="shared" si="52"/>
        <v>625</v>
      </c>
    </row>
    <row r="1108" spans="1:5">
      <c r="A1108" s="3">
        <v>110.6</v>
      </c>
      <c r="B1108" s="3">
        <v>25</v>
      </c>
      <c r="C1108" s="3">
        <f t="shared" si="51"/>
        <v>25</v>
      </c>
      <c r="D1108" s="3">
        <f t="shared" si="53"/>
        <v>625</v>
      </c>
      <c r="E1108" s="3">
        <f t="shared" si="52"/>
        <v>625</v>
      </c>
    </row>
    <row r="1109" spans="1:5">
      <c r="A1109" s="3">
        <v>110.7</v>
      </c>
      <c r="B1109" s="3">
        <v>25</v>
      </c>
      <c r="C1109" s="3">
        <f t="shared" si="51"/>
        <v>25</v>
      </c>
      <c r="D1109" s="3">
        <f t="shared" si="53"/>
        <v>625</v>
      </c>
      <c r="E1109" s="3">
        <f t="shared" si="52"/>
        <v>625</v>
      </c>
    </row>
    <row r="1110" spans="1:5">
      <c r="A1110" s="3">
        <v>110.8</v>
      </c>
      <c r="B1110" s="3">
        <v>25</v>
      </c>
      <c r="C1110" s="3">
        <f t="shared" si="51"/>
        <v>25</v>
      </c>
      <c r="D1110" s="3">
        <f t="shared" si="53"/>
        <v>625</v>
      </c>
      <c r="E1110" s="3">
        <f t="shared" si="52"/>
        <v>625</v>
      </c>
    </row>
    <row r="1111" spans="1:5">
      <c r="A1111" s="3">
        <v>110.9</v>
      </c>
      <c r="B1111" s="3">
        <v>25</v>
      </c>
      <c r="C1111" s="3">
        <f t="shared" si="51"/>
        <v>25</v>
      </c>
      <c r="D1111" s="3">
        <f t="shared" si="53"/>
        <v>625</v>
      </c>
      <c r="E1111" s="3">
        <f t="shared" si="52"/>
        <v>625</v>
      </c>
    </row>
    <row r="1112" spans="1:5">
      <c r="A1112" s="3">
        <v>111</v>
      </c>
      <c r="B1112" s="3">
        <v>25</v>
      </c>
      <c r="C1112" s="3">
        <f t="shared" si="51"/>
        <v>25</v>
      </c>
      <c r="D1112" s="3">
        <f t="shared" si="53"/>
        <v>625</v>
      </c>
      <c r="E1112" s="3">
        <f t="shared" si="52"/>
        <v>625</v>
      </c>
    </row>
    <row r="1113" spans="1:5">
      <c r="A1113" s="3">
        <v>111.1</v>
      </c>
      <c r="B1113" s="3">
        <v>25</v>
      </c>
      <c r="C1113" s="3">
        <f t="shared" si="51"/>
        <v>25</v>
      </c>
      <c r="D1113" s="3">
        <f t="shared" si="53"/>
        <v>625</v>
      </c>
      <c r="E1113" s="3">
        <f t="shared" si="52"/>
        <v>625</v>
      </c>
    </row>
    <row r="1114" spans="1:5">
      <c r="A1114" s="3">
        <v>111.2</v>
      </c>
      <c r="B1114" s="3">
        <v>25</v>
      </c>
      <c r="C1114" s="3">
        <f t="shared" si="51"/>
        <v>25</v>
      </c>
      <c r="D1114" s="3">
        <f t="shared" si="53"/>
        <v>625</v>
      </c>
      <c r="E1114" s="3">
        <f t="shared" si="52"/>
        <v>625</v>
      </c>
    </row>
    <row r="1115" spans="1:5">
      <c r="A1115" s="3">
        <v>111.3</v>
      </c>
      <c r="B1115" s="3">
        <v>25</v>
      </c>
      <c r="C1115" s="3">
        <f t="shared" si="51"/>
        <v>25</v>
      </c>
      <c r="D1115" s="3">
        <f t="shared" si="53"/>
        <v>625</v>
      </c>
      <c r="E1115" s="3">
        <f t="shared" si="52"/>
        <v>625</v>
      </c>
    </row>
    <row r="1116" spans="1:5">
      <c r="A1116" s="3">
        <v>111.4</v>
      </c>
      <c r="B1116" s="3">
        <v>25</v>
      </c>
      <c r="C1116" s="3">
        <f t="shared" si="51"/>
        <v>25</v>
      </c>
      <c r="D1116" s="3">
        <f t="shared" si="53"/>
        <v>625</v>
      </c>
      <c r="E1116" s="3">
        <f t="shared" si="52"/>
        <v>625</v>
      </c>
    </row>
    <row r="1117" spans="1:5">
      <c r="A1117" s="3">
        <v>111.5</v>
      </c>
      <c r="B1117" s="3">
        <v>25</v>
      </c>
      <c r="C1117" s="3">
        <f t="shared" si="51"/>
        <v>25</v>
      </c>
      <c r="D1117" s="3">
        <f t="shared" si="53"/>
        <v>625</v>
      </c>
      <c r="E1117" s="3">
        <f t="shared" si="52"/>
        <v>625</v>
      </c>
    </row>
    <row r="1118" spans="1:5">
      <c r="A1118" s="3">
        <v>111.6</v>
      </c>
      <c r="B1118" s="3">
        <v>25</v>
      </c>
      <c r="C1118" s="3">
        <f t="shared" si="51"/>
        <v>25</v>
      </c>
      <c r="D1118" s="3">
        <f t="shared" si="53"/>
        <v>625</v>
      </c>
      <c r="E1118" s="3">
        <f t="shared" si="52"/>
        <v>625</v>
      </c>
    </row>
    <row r="1119" spans="1:5">
      <c r="A1119" s="3">
        <v>111.7</v>
      </c>
      <c r="B1119" s="3">
        <v>25</v>
      </c>
      <c r="C1119" s="3">
        <f t="shared" si="51"/>
        <v>25</v>
      </c>
      <c r="D1119" s="3">
        <f t="shared" si="53"/>
        <v>625</v>
      </c>
      <c r="E1119" s="3">
        <f t="shared" si="52"/>
        <v>625</v>
      </c>
    </row>
    <row r="1120" spans="1:5">
      <c r="A1120" s="3">
        <v>111.8</v>
      </c>
      <c r="B1120" s="3">
        <v>25</v>
      </c>
      <c r="C1120" s="3">
        <f t="shared" si="51"/>
        <v>25</v>
      </c>
      <c r="D1120" s="3">
        <f t="shared" si="53"/>
        <v>625</v>
      </c>
      <c r="E1120" s="3">
        <f t="shared" si="52"/>
        <v>625</v>
      </c>
    </row>
    <row r="1121" spans="1:5">
      <c r="A1121" s="3">
        <v>111.9</v>
      </c>
      <c r="B1121" s="3">
        <v>25</v>
      </c>
      <c r="C1121" s="3">
        <f t="shared" si="51"/>
        <v>21.45</v>
      </c>
      <c r="D1121" s="3">
        <f t="shared" si="53"/>
        <v>625</v>
      </c>
      <c r="E1121" s="3">
        <f t="shared" si="52"/>
        <v>460</v>
      </c>
    </row>
    <row r="1122" spans="1:5">
      <c r="A1122" s="3">
        <v>112</v>
      </c>
      <c r="B1122" s="3">
        <v>25</v>
      </c>
      <c r="C1122" s="3">
        <f t="shared" si="51"/>
        <v>16.73</v>
      </c>
      <c r="D1122" s="3">
        <f t="shared" si="53"/>
        <v>625</v>
      </c>
      <c r="E1122" s="3">
        <f t="shared" si="52"/>
        <v>280</v>
      </c>
    </row>
    <row r="1123" spans="1:5">
      <c r="A1123" s="3">
        <v>112.1</v>
      </c>
      <c r="B1123" s="3">
        <v>10</v>
      </c>
      <c r="C1123" s="3">
        <f t="shared" si="51"/>
        <v>10</v>
      </c>
      <c r="D1123" s="3">
        <f t="shared" si="53"/>
        <v>100</v>
      </c>
      <c r="E1123" s="3">
        <f t="shared" si="52"/>
        <v>100</v>
      </c>
    </row>
    <row r="1124" spans="1:5">
      <c r="A1124" s="3">
        <v>112.2</v>
      </c>
      <c r="B1124" s="3">
        <v>10</v>
      </c>
      <c r="C1124" s="3">
        <f t="shared" si="51"/>
        <v>10</v>
      </c>
      <c r="D1124" s="3">
        <f t="shared" si="53"/>
        <v>100</v>
      </c>
      <c r="E1124" s="3">
        <f t="shared" si="52"/>
        <v>100</v>
      </c>
    </row>
    <row r="1125" spans="1:5">
      <c r="A1125" s="3">
        <v>112.3</v>
      </c>
      <c r="B1125" s="3">
        <v>10</v>
      </c>
      <c r="C1125" s="3">
        <f t="shared" si="51"/>
        <v>10</v>
      </c>
      <c r="D1125" s="3">
        <f t="shared" si="53"/>
        <v>100</v>
      </c>
      <c r="E1125" s="3">
        <f t="shared" si="52"/>
        <v>100</v>
      </c>
    </row>
    <row r="1126" spans="1:5">
      <c r="A1126" s="3">
        <v>112.4</v>
      </c>
      <c r="B1126" s="3">
        <v>10</v>
      </c>
      <c r="C1126" s="3">
        <f t="shared" si="51"/>
        <v>10</v>
      </c>
      <c r="D1126" s="3">
        <f t="shared" si="53"/>
        <v>100</v>
      </c>
      <c r="E1126" s="3">
        <f t="shared" si="52"/>
        <v>100</v>
      </c>
    </row>
    <row r="1127" spans="1:5">
      <c r="A1127" s="3">
        <v>112.5</v>
      </c>
      <c r="B1127" s="3">
        <v>10</v>
      </c>
      <c r="C1127" s="3">
        <f t="shared" si="51"/>
        <v>10</v>
      </c>
      <c r="D1127" s="3">
        <f t="shared" si="53"/>
        <v>100</v>
      </c>
      <c r="E1127" s="3">
        <f t="shared" si="52"/>
        <v>100</v>
      </c>
    </row>
    <row r="1128" spans="1:5">
      <c r="A1128" s="3">
        <v>112.6</v>
      </c>
      <c r="B1128" s="3">
        <v>10</v>
      </c>
      <c r="C1128" s="3">
        <f t="shared" si="51"/>
        <v>10</v>
      </c>
      <c r="D1128" s="3">
        <f t="shared" si="53"/>
        <v>100</v>
      </c>
      <c r="E1128" s="3">
        <f t="shared" si="52"/>
        <v>100</v>
      </c>
    </row>
    <row r="1129" spans="1:5">
      <c r="A1129" s="3">
        <v>112.7</v>
      </c>
      <c r="B1129" s="3">
        <v>10</v>
      </c>
      <c r="C1129" s="3">
        <f t="shared" si="51"/>
        <v>10</v>
      </c>
      <c r="D1129" s="3">
        <f t="shared" si="53"/>
        <v>100</v>
      </c>
      <c r="E1129" s="3">
        <f t="shared" si="52"/>
        <v>100</v>
      </c>
    </row>
    <row r="1130" spans="1:5">
      <c r="A1130" s="3">
        <v>112.8</v>
      </c>
      <c r="B1130" s="3">
        <v>10</v>
      </c>
      <c r="C1130" s="3">
        <f t="shared" si="51"/>
        <v>10</v>
      </c>
      <c r="D1130" s="3">
        <f t="shared" si="53"/>
        <v>100</v>
      </c>
      <c r="E1130" s="3">
        <f t="shared" si="52"/>
        <v>100</v>
      </c>
    </row>
    <row r="1131" spans="1:5">
      <c r="A1131" s="3">
        <v>112.9</v>
      </c>
      <c r="B1131" s="3">
        <v>10</v>
      </c>
      <c r="C1131" s="3">
        <f t="shared" si="51"/>
        <v>10</v>
      </c>
      <c r="D1131" s="3">
        <f t="shared" si="53"/>
        <v>100</v>
      </c>
      <c r="E1131" s="3">
        <f t="shared" si="52"/>
        <v>100</v>
      </c>
    </row>
    <row r="1132" spans="1:5">
      <c r="A1132" s="3">
        <v>113</v>
      </c>
      <c r="B1132" s="3">
        <v>10</v>
      </c>
      <c r="C1132" s="3">
        <f t="shared" si="51"/>
        <v>10</v>
      </c>
      <c r="D1132" s="3">
        <f t="shared" si="53"/>
        <v>100</v>
      </c>
      <c r="E1132" s="3">
        <f t="shared" si="52"/>
        <v>100</v>
      </c>
    </row>
    <row r="1133" spans="1:5">
      <c r="A1133" s="3">
        <v>113.1</v>
      </c>
      <c r="B1133" s="3">
        <v>10</v>
      </c>
      <c r="C1133" s="3">
        <f t="shared" si="51"/>
        <v>10</v>
      </c>
      <c r="D1133" s="3">
        <f t="shared" si="53"/>
        <v>100</v>
      </c>
      <c r="E1133" s="3">
        <f t="shared" si="52"/>
        <v>100</v>
      </c>
    </row>
    <row r="1134" spans="1:5">
      <c r="A1134" s="3">
        <v>113.2</v>
      </c>
      <c r="B1134" s="3">
        <v>10</v>
      </c>
      <c r="C1134" s="3">
        <f t="shared" si="51"/>
        <v>10</v>
      </c>
      <c r="D1134" s="3">
        <f t="shared" si="53"/>
        <v>100</v>
      </c>
      <c r="E1134" s="3">
        <f t="shared" si="52"/>
        <v>100</v>
      </c>
    </row>
    <row r="1135" spans="1:5">
      <c r="A1135" s="3">
        <v>113.3</v>
      </c>
      <c r="B1135" s="3">
        <v>10</v>
      </c>
      <c r="C1135" s="3">
        <f t="shared" si="51"/>
        <v>10</v>
      </c>
      <c r="D1135" s="3">
        <f t="shared" si="53"/>
        <v>100</v>
      </c>
      <c r="E1135" s="3">
        <f t="shared" si="52"/>
        <v>100</v>
      </c>
    </row>
    <row r="1136" spans="1:5">
      <c r="A1136" s="3">
        <v>113.4</v>
      </c>
      <c r="B1136" s="3">
        <v>10</v>
      </c>
      <c r="C1136" s="3">
        <f t="shared" si="51"/>
        <v>10</v>
      </c>
      <c r="D1136" s="3">
        <f t="shared" si="53"/>
        <v>100</v>
      </c>
      <c r="E1136" s="3">
        <f t="shared" si="52"/>
        <v>100</v>
      </c>
    </row>
    <row r="1137" spans="1:5">
      <c r="A1137" s="3">
        <v>113.5</v>
      </c>
      <c r="B1137" s="3">
        <v>10</v>
      </c>
      <c r="C1137" s="3">
        <f t="shared" si="51"/>
        <v>10</v>
      </c>
      <c r="D1137" s="3">
        <f t="shared" si="53"/>
        <v>100</v>
      </c>
      <c r="E1137" s="3">
        <f t="shared" si="52"/>
        <v>100</v>
      </c>
    </row>
    <row r="1138" spans="1:5">
      <c r="A1138" s="3">
        <v>113.6</v>
      </c>
      <c r="B1138" s="3">
        <v>10</v>
      </c>
      <c r="C1138" s="3">
        <f t="shared" si="51"/>
        <v>10</v>
      </c>
      <c r="D1138" s="3">
        <f t="shared" si="53"/>
        <v>100</v>
      </c>
      <c r="E1138" s="3">
        <f t="shared" si="52"/>
        <v>100</v>
      </c>
    </row>
    <row r="1139" spans="1:5">
      <c r="A1139" s="3">
        <v>113.7</v>
      </c>
      <c r="B1139" s="3">
        <v>10</v>
      </c>
      <c r="C1139" s="3">
        <f t="shared" si="51"/>
        <v>10</v>
      </c>
      <c r="D1139" s="3">
        <f t="shared" si="53"/>
        <v>100</v>
      </c>
      <c r="E1139" s="3">
        <f t="shared" si="52"/>
        <v>100</v>
      </c>
    </row>
    <row r="1140" spans="1:5">
      <c r="A1140" s="3">
        <v>113.8</v>
      </c>
      <c r="B1140" s="3">
        <v>10</v>
      </c>
      <c r="C1140" s="3">
        <f t="shared" si="51"/>
        <v>10</v>
      </c>
      <c r="D1140" s="3">
        <f t="shared" si="53"/>
        <v>100</v>
      </c>
      <c r="E1140" s="3">
        <f t="shared" si="52"/>
        <v>100</v>
      </c>
    </row>
    <row r="1141" spans="1:5">
      <c r="A1141" s="3">
        <v>113.9</v>
      </c>
      <c r="B1141" s="3">
        <v>10</v>
      </c>
      <c r="C1141" s="3">
        <f t="shared" si="51"/>
        <v>10</v>
      </c>
      <c r="D1141" s="3">
        <f t="shared" si="53"/>
        <v>100</v>
      </c>
      <c r="E1141" s="3">
        <f t="shared" si="52"/>
        <v>100</v>
      </c>
    </row>
    <row r="1142" spans="1:5">
      <c r="A1142" s="3">
        <v>114</v>
      </c>
      <c r="B1142" s="3">
        <v>10</v>
      </c>
      <c r="C1142" s="3">
        <f t="shared" si="51"/>
        <v>10</v>
      </c>
      <c r="D1142" s="3">
        <f t="shared" si="53"/>
        <v>100</v>
      </c>
      <c r="E1142" s="3">
        <f t="shared" si="52"/>
        <v>100</v>
      </c>
    </row>
    <row r="1143" spans="1:5">
      <c r="A1143" s="3">
        <v>114.1</v>
      </c>
      <c r="B1143" s="3">
        <v>10</v>
      </c>
      <c r="C1143" s="3">
        <f t="shared" si="51"/>
        <v>10</v>
      </c>
      <c r="D1143" s="3">
        <f t="shared" si="53"/>
        <v>100</v>
      </c>
      <c r="E1143" s="3">
        <f t="shared" si="52"/>
        <v>100</v>
      </c>
    </row>
    <row r="1144" spans="1:5">
      <c r="A1144" s="3">
        <v>114.2</v>
      </c>
      <c r="B1144" s="3">
        <v>25</v>
      </c>
      <c r="C1144" s="3">
        <f t="shared" si="51"/>
        <v>16.73</v>
      </c>
      <c r="D1144" s="3">
        <f t="shared" si="53"/>
        <v>280</v>
      </c>
      <c r="E1144" s="3">
        <f t="shared" si="52"/>
        <v>280</v>
      </c>
    </row>
    <row r="1145" spans="1:5">
      <c r="A1145" s="3">
        <v>114.3</v>
      </c>
      <c r="B1145" s="3">
        <v>25</v>
      </c>
      <c r="C1145" s="3">
        <f t="shared" si="51"/>
        <v>21.45</v>
      </c>
      <c r="D1145" s="3">
        <f t="shared" si="53"/>
        <v>460</v>
      </c>
      <c r="E1145" s="3">
        <f t="shared" si="52"/>
        <v>460</v>
      </c>
    </row>
    <row r="1146" spans="1:5">
      <c r="A1146" s="3">
        <v>114.4</v>
      </c>
      <c r="B1146" s="3">
        <v>25</v>
      </c>
      <c r="C1146" s="3">
        <f t="shared" si="51"/>
        <v>25</v>
      </c>
      <c r="D1146" s="3">
        <f t="shared" si="53"/>
        <v>625</v>
      </c>
      <c r="E1146" s="3">
        <f t="shared" si="52"/>
        <v>625</v>
      </c>
    </row>
    <row r="1147" spans="1:5">
      <c r="A1147" s="3">
        <v>114.5</v>
      </c>
      <c r="B1147" s="3">
        <v>25</v>
      </c>
      <c r="C1147" s="3">
        <f t="shared" si="51"/>
        <v>25</v>
      </c>
      <c r="D1147" s="3">
        <f t="shared" si="53"/>
        <v>625</v>
      </c>
      <c r="E1147" s="3">
        <f t="shared" si="52"/>
        <v>625</v>
      </c>
    </row>
    <row r="1148" spans="1:5">
      <c r="A1148" s="3">
        <v>114.6</v>
      </c>
      <c r="B1148" s="3">
        <v>25</v>
      </c>
      <c r="C1148" s="3">
        <f t="shared" si="51"/>
        <v>25</v>
      </c>
      <c r="D1148" s="3">
        <f t="shared" si="53"/>
        <v>625</v>
      </c>
      <c r="E1148" s="3">
        <f t="shared" si="52"/>
        <v>625</v>
      </c>
    </row>
    <row r="1149" spans="1:5">
      <c r="A1149" s="3">
        <v>114.7</v>
      </c>
      <c r="B1149" s="3">
        <v>25</v>
      </c>
      <c r="C1149" s="3">
        <f t="shared" si="51"/>
        <v>25</v>
      </c>
      <c r="D1149" s="3">
        <f t="shared" si="53"/>
        <v>625</v>
      </c>
      <c r="E1149" s="3">
        <f t="shared" si="52"/>
        <v>625</v>
      </c>
    </row>
    <row r="1150" spans="1:5">
      <c r="A1150" s="3">
        <v>114.8</v>
      </c>
      <c r="B1150" s="3">
        <v>25</v>
      </c>
      <c r="C1150" s="3">
        <f t="shared" si="51"/>
        <v>25</v>
      </c>
      <c r="D1150" s="3">
        <f t="shared" si="53"/>
        <v>625</v>
      </c>
      <c r="E1150" s="3">
        <f t="shared" si="52"/>
        <v>625</v>
      </c>
    </row>
    <row r="1151" spans="1:5">
      <c r="A1151" s="3">
        <v>114.9</v>
      </c>
      <c r="B1151" s="3">
        <v>25</v>
      </c>
      <c r="C1151" s="3">
        <f t="shared" si="51"/>
        <v>25</v>
      </c>
      <c r="D1151" s="3">
        <f t="shared" si="53"/>
        <v>625</v>
      </c>
      <c r="E1151" s="3">
        <f t="shared" si="52"/>
        <v>625</v>
      </c>
    </row>
    <row r="1152" spans="1:5">
      <c r="A1152" s="3">
        <v>115</v>
      </c>
      <c r="B1152" s="3">
        <v>25</v>
      </c>
      <c r="C1152" s="3">
        <f t="shared" si="51"/>
        <v>25</v>
      </c>
      <c r="D1152" s="3">
        <f t="shared" si="53"/>
        <v>625</v>
      </c>
      <c r="E1152" s="3">
        <f t="shared" si="52"/>
        <v>625</v>
      </c>
    </row>
    <row r="1153" spans="1:5">
      <c r="A1153" s="3">
        <v>115.1</v>
      </c>
      <c r="B1153" s="3">
        <v>25</v>
      </c>
      <c r="C1153" s="3">
        <f t="shared" si="51"/>
        <v>25</v>
      </c>
      <c r="D1153" s="3">
        <f t="shared" si="53"/>
        <v>625</v>
      </c>
      <c r="E1153" s="3">
        <f t="shared" si="52"/>
        <v>625</v>
      </c>
    </row>
    <row r="1154" spans="1:5">
      <c r="A1154" s="3">
        <v>115.2</v>
      </c>
      <c r="B1154" s="3">
        <v>25</v>
      </c>
      <c r="C1154" s="3">
        <f t="shared" ref="C1154:C1217" si="54">ROUND(SQRT(E1154),2)</f>
        <v>25</v>
      </c>
      <c r="D1154" s="3">
        <f t="shared" si="53"/>
        <v>625</v>
      </c>
      <c r="E1154" s="3">
        <f t="shared" ref="E1154:E1217" si="55">MIN(D1154, E1155+$H$4)</f>
        <v>625</v>
      </c>
    </row>
    <row r="1155" spans="1:5">
      <c r="A1155" s="3">
        <v>115.3</v>
      </c>
      <c r="B1155" s="3">
        <v>25</v>
      </c>
      <c r="C1155" s="3">
        <f t="shared" si="54"/>
        <v>25</v>
      </c>
      <c r="D1155" s="3">
        <f t="shared" ref="D1155:D1218" si="56">MIN(B1155^2, D1154+$H$4)</f>
        <v>625</v>
      </c>
      <c r="E1155" s="3">
        <f t="shared" si="55"/>
        <v>625</v>
      </c>
    </row>
    <row r="1156" spans="1:5">
      <c r="A1156" s="3">
        <v>115.4</v>
      </c>
      <c r="B1156" s="3">
        <v>25</v>
      </c>
      <c r="C1156" s="3">
        <f t="shared" si="54"/>
        <v>25</v>
      </c>
      <c r="D1156" s="3">
        <f t="shared" si="56"/>
        <v>625</v>
      </c>
      <c r="E1156" s="3">
        <f t="shared" si="55"/>
        <v>625</v>
      </c>
    </row>
    <row r="1157" spans="1:5">
      <c r="A1157" s="3">
        <v>115.5</v>
      </c>
      <c r="B1157" s="3">
        <v>25</v>
      </c>
      <c r="C1157" s="3">
        <f t="shared" si="54"/>
        <v>25</v>
      </c>
      <c r="D1157" s="3">
        <f t="shared" si="56"/>
        <v>625</v>
      </c>
      <c r="E1157" s="3">
        <f t="shared" si="55"/>
        <v>625</v>
      </c>
    </row>
    <row r="1158" spans="1:5">
      <c r="A1158" s="3">
        <v>115.6</v>
      </c>
      <c r="B1158" s="3">
        <v>25</v>
      </c>
      <c r="C1158" s="3">
        <f t="shared" si="54"/>
        <v>25</v>
      </c>
      <c r="D1158" s="3">
        <f t="shared" si="56"/>
        <v>625</v>
      </c>
      <c r="E1158" s="3">
        <f t="shared" si="55"/>
        <v>625</v>
      </c>
    </row>
    <row r="1159" spans="1:5">
      <c r="A1159" s="3">
        <v>115.7</v>
      </c>
      <c r="B1159" s="3">
        <v>25</v>
      </c>
      <c r="C1159" s="3">
        <f t="shared" si="54"/>
        <v>25</v>
      </c>
      <c r="D1159" s="3">
        <f t="shared" si="56"/>
        <v>625</v>
      </c>
      <c r="E1159" s="3">
        <f t="shared" si="55"/>
        <v>625</v>
      </c>
    </row>
    <row r="1160" spans="1:5">
      <c r="A1160" s="3">
        <v>115.8</v>
      </c>
      <c r="B1160" s="3">
        <v>25</v>
      </c>
      <c r="C1160" s="3">
        <f t="shared" si="54"/>
        <v>25</v>
      </c>
      <c r="D1160" s="3">
        <f t="shared" si="56"/>
        <v>625</v>
      </c>
      <c r="E1160" s="3">
        <f t="shared" si="55"/>
        <v>625</v>
      </c>
    </row>
    <row r="1161" spans="1:5">
      <c r="A1161" s="3">
        <v>115.9</v>
      </c>
      <c r="B1161" s="3">
        <v>25</v>
      </c>
      <c r="C1161" s="3">
        <f t="shared" si="54"/>
        <v>25</v>
      </c>
      <c r="D1161" s="3">
        <f t="shared" si="56"/>
        <v>625</v>
      </c>
      <c r="E1161" s="3">
        <f t="shared" si="55"/>
        <v>625</v>
      </c>
    </row>
    <row r="1162" spans="1:5">
      <c r="A1162" s="3">
        <v>116</v>
      </c>
      <c r="B1162" s="3">
        <v>25</v>
      </c>
      <c r="C1162" s="3">
        <f t="shared" si="54"/>
        <v>25</v>
      </c>
      <c r="D1162" s="3">
        <f t="shared" si="56"/>
        <v>625</v>
      </c>
      <c r="E1162" s="3">
        <f t="shared" si="55"/>
        <v>625</v>
      </c>
    </row>
    <row r="1163" spans="1:5">
      <c r="A1163" s="3">
        <v>116.1</v>
      </c>
      <c r="B1163" s="3">
        <v>25</v>
      </c>
      <c r="C1163" s="3">
        <f t="shared" si="54"/>
        <v>25</v>
      </c>
      <c r="D1163" s="3">
        <f t="shared" si="56"/>
        <v>625</v>
      </c>
      <c r="E1163" s="3">
        <f t="shared" si="55"/>
        <v>625</v>
      </c>
    </row>
    <row r="1164" spans="1:5">
      <c r="A1164" s="3">
        <v>116.2</v>
      </c>
      <c r="B1164" s="3">
        <v>25</v>
      </c>
      <c r="C1164" s="3">
        <f t="shared" si="54"/>
        <v>25</v>
      </c>
      <c r="D1164" s="3">
        <f t="shared" si="56"/>
        <v>625</v>
      </c>
      <c r="E1164" s="3">
        <f t="shared" si="55"/>
        <v>625</v>
      </c>
    </row>
    <row r="1165" spans="1:5">
      <c r="A1165" s="3">
        <v>116.3</v>
      </c>
      <c r="B1165" s="3">
        <v>25</v>
      </c>
      <c r="C1165" s="3">
        <f t="shared" si="54"/>
        <v>25</v>
      </c>
      <c r="D1165" s="3">
        <f t="shared" si="56"/>
        <v>625</v>
      </c>
      <c r="E1165" s="3">
        <f t="shared" si="55"/>
        <v>625</v>
      </c>
    </row>
    <row r="1166" spans="1:5">
      <c r="A1166" s="3">
        <v>116.4</v>
      </c>
      <c r="B1166" s="3">
        <v>25</v>
      </c>
      <c r="C1166" s="3">
        <f t="shared" si="54"/>
        <v>25</v>
      </c>
      <c r="D1166" s="3">
        <f t="shared" si="56"/>
        <v>625</v>
      </c>
      <c r="E1166" s="3">
        <f t="shared" si="55"/>
        <v>625</v>
      </c>
    </row>
    <row r="1167" spans="1:5">
      <c r="A1167" s="3">
        <v>116.5</v>
      </c>
      <c r="B1167" s="3">
        <v>25</v>
      </c>
      <c r="C1167" s="3">
        <f t="shared" si="54"/>
        <v>25</v>
      </c>
      <c r="D1167" s="3">
        <f t="shared" si="56"/>
        <v>625</v>
      </c>
      <c r="E1167" s="3">
        <f t="shared" si="55"/>
        <v>625</v>
      </c>
    </row>
    <row r="1168" spans="1:5">
      <c r="A1168" s="3">
        <v>116.6</v>
      </c>
      <c r="B1168" s="3">
        <v>25</v>
      </c>
      <c r="C1168" s="3">
        <f t="shared" si="54"/>
        <v>25</v>
      </c>
      <c r="D1168" s="3">
        <f t="shared" si="56"/>
        <v>625</v>
      </c>
      <c r="E1168" s="3">
        <f t="shared" si="55"/>
        <v>625</v>
      </c>
    </row>
    <row r="1169" spans="1:5">
      <c r="A1169" s="3">
        <v>116.7</v>
      </c>
      <c r="B1169" s="3">
        <v>25</v>
      </c>
      <c r="C1169" s="3">
        <f t="shared" si="54"/>
        <v>25</v>
      </c>
      <c r="D1169" s="3">
        <f t="shared" si="56"/>
        <v>625</v>
      </c>
      <c r="E1169" s="3">
        <f t="shared" si="55"/>
        <v>625</v>
      </c>
    </row>
    <row r="1170" spans="1:5">
      <c r="A1170" s="3">
        <v>116.8</v>
      </c>
      <c r="B1170" s="3">
        <v>25</v>
      </c>
      <c r="C1170" s="3">
        <f t="shared" si="54"/>
        <v>25</v>
      </c>
      <c r="D1170" s="3">
        <f t="shared" si="56"/>
        <v>625</v>
      </c>
      <c r="E1170" s="3">
        <f t="shared" si="55"/>
        <v>625</v>
      </c>
    </row>
    <row r="1171" spans="1:5">
      <c r="A1171" s="3">
        <v>116.9</v>
      </c>
      <c r="B1171" s="3">
        <v>25</v>
      </c>
      <c r="C1171" s="3">
        <f t="shared" si="54"/>
        <v>25</v>
      </c>
      <c r="D1171" s="3">
        <f t="shared" si="56"/>
        <v>625</v>
      </c>
      <c r="E1171" s="3">
        <f t="shared" si="55"/>
        <v>625</v>
      </c>
    </row>
    <row r="1172" spans="1:5">
      <c r="A1172" s="3">
        <v>117</v>
      </c>
      <c r="B1172" s="3">
        <v>25</v>
      </c>
      <c r="C1172" s="3">
        <f t="shared" si="54"/>
        <v>25</v>
      </c>
      <c r="D1172" s="3">
        <f t="shared" si="56"/>
        <v>625</v>
      </c>
      <c r="E1172" s="3">
        <f t="shared" si="55"/>
        <v>625</v>
      </c>
    </row>
    <row r="1173" spans="1:5">
      <c r="A1173" s="3">
        <v>117.1</v>
      </c>
      <c r="B1173" s="3">
        <v>25</v>
      </c>
      <c r="C1173" s="3">
        <f t="shared" si="54"/>
        <v>25</v>
      </c>
      <c r="D1173" s="3">
        <f t="shared" si="56"/>
        <v>625</v>
      </c>
      <c r="E1173" s="3">
        <f t="shared" si="55"/>
        <v>625</v>
      </c>
    </row>
    <row r="1174" spans="1:5">
      <c r="A1174" s="3">
        <v>117.2</v>
      </c>
      <c r="B1174" s="3">
        <v>25</v>
      </c>
      <c r="C1174" s="3">
        <f t="shared" si="54"/>
        <v>25</v>
      </c>
      <c r="D1174" s="3">
        <f t="shared" si="56"/>
        <v>625</v>
      </c>
      <c r="E1174" s="3">
        <f t="shared" si="55"/>
        <v>625</v>
      </c>
    </row>
    <row r="1175" spans="1:5">
      <c r="A1175" s="3">
        <v>117.3</v>
      </c>
      <c r="B1175" s="3">
        <v>25</v>
      </c>
      <c r="C1175" s="3">
        <f t="shared" si="54"/>
        <v>25</v>
      </c>
      <c r="D1175" s="3">
        <f t="shared" si="56"/>
        <v>625</v>
      </c>
      <c r="E1175" s="3">
        <f t="shared" si="55"/>
        <v>625</v>
      </c>
    </row>
    <row r="1176" spans="1:5">
      <c r="A1176" s="3">
        <v>117.4</v>
      </c>
      <c r="B1176" s="3">
        <v>25</v>
      </c>
      <c r="C1176" s="3">
        <f t="shared" si="54"/>
        <v>25</v>
      </c>
      <c r="D1176" s="3">
        <f t="shared" si="56"/>
        <v>625</v>
      </c>
      <c r="E1176" s="3">
        <f t="shared" si="55"/>
        <v>625</v>
      </c>
    </row>
    <row r="1177" spans="1:5">
      <c r="A1177" s="3">
        <v>117.5</v>
      </c>
      <c r="B1177" s="3">
        <v>25</v>
      </c>
      <c r="C1177" s="3">
        <f t="shared" si="54"/>
        <v>25</v>
      </c>
      <c r="D1177" s="3">
        <f t="shared" si="56"/>
        <v>625</v>
      </c>
      <c r="E1177" s="3">
        <f t="shared" si="55"/>
        <v>625</v>
      </c>
    </row>
    <row r="1178" spans="1:5">
      <c r="A1178" s="3">
        <v>117.6</v>
      </c>
      <c r="B1178" s="3">
        <v>25</v>
      </c>
      <c r="C1178" s="3">
        <f t="shared" si="54"/>
        <v>25</v>
      </c>
      <c r="D1178" s="3">
        <f t="shared" si="56"/>
        <v>625</v>
      </c>
      <c r="E1178" s="3">
        <f t="shared" si="55"/>
        <v>625</v>
      </c>
    </row>
    <row r="1179" spans="1:5">
      <c r="A1179" s="3">
        <v>117.7</v>
      </c>
      <c r="B1179" s="3">
        <v>25</v>
      </c>
      <c r="C1179" s="3">
        <f t="shared" si="54"/>
        <v>25</v>
      </c>
      <c r="D1179" s="3">
        <f t="shared" si="56"/>
        <v>625</v>
      </c>
      <c r="E1179" s="3">
        <f t="shared" si="55"/>
        <v>625</v>
      </c>
    </row>
    <row r="1180" spans="1:5">
      <c r="A1180" s="3">
        <v>117.8</v>
      </c>
      <c r="B1180" s="3">
        <v>25</v>
      </c>
      <c r="C1180" s="3">
        <f t="shared" si="54"/>
        <v>25</v>
      </c>
      <c r="D1180" s="3">
        <f t="shared" si="56"/>
        <v>625</v>
      </c>
      <c r="E1180" s="3">
        <f t="shared" si="55"/>
        <v>625</v>
      </c>
    </row>
    <row r="1181" spans="1:5">
      <c r="A1181" s="3">
        <v>117.9</v>
      </c>
      <c r="B1181" s="3">
        <v>25</v>
      </c>
      <c r="C1181" s="3">
        <f t="shared" si="54"/>
        <v>25</v>
      </c>
      <c r="D1181" s="3">
        <f t="shared" si="56"/>
        <v>625</v>
      </c>
      <c r="E1181" s="3">
        <f t="shared" si="55"/>
        <v>625</v>
      </c>
    </row>
    <row r="1182" spans="1:5">
      <c r="A1182" s="3">
        <v>118</v>
      </c>
      <c r="B1182" s="3">
        <v>25</v>
      </c>
      <c r="C1182" s="3">
        <f t="shared" si="54"/>
        <v>25</v>
      </c>
      <c r="D1182" s="3">
        <f t="shared" si="56"/>
        <v>625</v>
      </c>
      <c r="E1182" s="3">
        <f t="shared" si="55"/>
        <v>625</v>
      </c>
    </row>
    <row r="1183" spans="1:5">
      <c r="A1183" s="3">
        <v>118.1</v>
      </c>
      <c r="B1183" s="3">
        <v>25</v>
      </c>
      <c r="C1183" s="3">
        <f t="shared" si="54"/>
        <v>25</v>
      </c>
      <c r="D1183" s="3">
        <f t="shared" si="56"/>
        <v>625</v>
      </c>
      <c r="E1183" s="3">
        <f t="shared" si="55"/>
        <v>625</v>
      </c>
    </row>
    <row r="1184" spans="1:5">
      <c r="A1184" s="3">
        <v>118.2</v>
      </c>
      <c r="B1184" s="3">
        <v>25</v>
      </c>
      <c r="C1184" s="3">
        <f t="shared" si="54"/>
        <v>25</v>
      </c>
      <c r="D1184" s="3">
        <f t="shared" si="56"/>
        <v>625</v>
      </c>
      <c r="E1184" s="3">
        <f t="shared" si="55"/>
        <v>625</v>
      </c>
    </row>
    <row r="1185" spans="1:5">
      <c r="A1185" s="3">
        <v>118.3</v>
      </c>
      <c r="B1185" s="3">
        <v>25</v>
      </c>
      <c r="C1185" s="3">
        <f t="shared" si="54"/>
        <v>25</v>
      </c>
      <c r="D1185" s="3">
        <f t="shared" si="56"/>
        <v>625</v>
      </c>
      <c r="E1185" s="3">
        <f t="shared" si="55"/>
        <v>625</v>
      </c>
    </row>
    <row r="1186" spans="1:5">
      <c r="A1186" s="3">
        <v>118.4</v>
      </c>
      <c r="B1186" s="3">
        <v>25</v>
      </c>
      <c r="C1186" s="3">
        <f t="shared" si="54"/>
        <v>25</v>
      </c>
      <c r="D1186" s="3">
        <f t="shared" si="56"/>
        <v>625</v>
      </c>
      <c r="E1186" s="3">
        <f t="shared" si="55"/>
        <v>625</v>
      </c>
    </row>
    <row r="1187" spans="1:5">
      <c r="A1187" s="3">
        <v>118.5</v>
      </c>
      <c r="B1187" s="3">
        <v>25</v>
      </c>
      <c r="C1187" s="3">
        <f t="shared" si="54"/>
        <v>25</v>
      </c>
      <c r="D1187" s="3">
        <f t="shared" si="56"/>
        <v>625</v>
      </c>
      <c r="E1187" s="3">
        <f t="shared" si="55"/>
        <v>625</v>
      </c>
    </row>
    <row r="1188" spans="1:5">
      <c r="A1188" s="3">
        <v>118.6</v>
      </c>
      <c r="B1188" s="3">
        <v>25</v>
      </c>
      <c r="C1188" s="3">
        <f t="shared" si="54"/>
        <v>25</v>
      </c>
      <c r="D1188" s="3">
        <f t="shared" si="56"/>
        <v>625</v>
      </c>
      <c r="E1188" s="3">
        <f t="shared" si="55"/>
        <v>625</v>
      </c>
    </row>
    <row r="1189" spans="1:5">
      <c r="A1189" s="3">
        <v>118.7</v>
      </c>
      <c r="B1189" s="3">
        <v>25</v>
      </c>
      <c r="C1189" s="3">
        <f t="shared" si="54"/>
        <v>25</v>
      </c>
      <c r="D1189" s="3">
        <f t="shared" si="56"/>
        <v>625</v>
      </c>
      <c r="E1189" s="3">
        <f t="shared" si="55"/>
        <v>625</v>
      </c>
    </row>
    <row r="1190" spans="1:5">
      <c r="A1190" s="3">
        <v>118.8</v>
      </c>
      <c r="B1190" s="3">
        <v>25</v>
      </c>
      <c r="C1190" s="3">
        <f t="shared" si="54"/>
        <v>25</v>
      </c>
      <c r="D1190" s="3">
        <f t="shared" si="56"/>
        <v>625</v>
      </c>
      <c r="E1190" s="3">
        <f t="shared" si="55"/>
        <v>625</v>
      </c>
    </row>
    <row r="1191" spans="1:5">
      <c r="A1191" s="3">
        <v>118.9</v>
      </c>
      <c r="B1191" s="3">
        <v>25</v>
      </c>
      <c r="C1191" s="3">
        <f t="shared" si="54"/>
        <v>25</v>
      </c>
      <c r="D1191" s="3">
        <f t="shared" si="56"/>
        <v>625</v>
      </c>
      <c r="E1191" s="3">
        <f t="shared" si="55"/>
        <v>625</v>
      </c>
    </row>
    <row r="1192" spans="1:5">
      <c r="A1192" s="3">
        <v>119</v>
      </c>
      <c r="B1192" s="3">
        <v>25</v>
      </c>
      <c r="C1192" s="3">
        <f t="shared" si="54"/>
        <v>25</v>
      </c>
      <c r="D1192" s="3">
        <f t="shared" si="56"/>
        <v>625</v>
      </c>
      <c r="E1192" s="3">
        <f t="shared" si="55"/>
        <v>625</v>
      </c>
    </row>
    <row r="1193" spans="1:5">
      <c r="A1193" s="3">
        <v>119.1</v>
      </c>
      <c r="B1193" s="3">
        <v>25</v>
      </c>
      <c r="C1193" s="3">
        <f t="shared" si="54"/>
        <v>25</v>
      </c>
      <c r="D1193" s="3">
        <f t="shared" si="56"/>
        <v>625</v>
      </c>
      <c r="E1193" s="3">
        <f t="shared" si="55"/>
        <v>625</v>
      </c>
    </row>
    <row r="1194" spans="1:5">
      <c r="A1194" s="3">
        <v>119.2</v>
      </c>
      <c r="B1194" s="3">
        <v>25</v>
      </c>
      <c r="C1194" s="3">
        <f t="shared" si="54"/>
        <v>25</v>
      </c>
      <c r="D1194" s="3">
        <f t="shared" si="56"/>
        <v>625</v>
      </c>
      <c r="E1194" s="3">
        <f t="shared" si="55"/>
        <v>625</v>
      </c>
    </row>
    <row r="1195" spans="1:5">
      <c r="A1195" s="3">
        <v>119.3</v>
      </c>
      <c r="B1195" s="3">
        <v>25</v>
      </c>
      <c r="C1195" s="3">
        <f t="shared" si="54"/>
        <v>25</v>
      </c>
      <c r="D1195" s="3">
        <f t="shared" si="56"/>
        <v>625</v>
      </c>
      <c r="E1195" s="3">
        <f t="shared" si="55"/>
        <v>625</v>
      </c>
    </row>
    <row r="1196" spans="1:5">
      <c r="A1196" s="3">
        <v>119.4</v>
      </c>
      <c r="B1196" s="3">
        <v>25</v>
      </c>
      <c r="C1196" s="3">
        <f t="shared" si="54"/>
        <v>25</v>
      </c>
      <c r="D1196" s="3">
        <f t="shared" si="56"/>
        <v>625</v>
      </c>
      <c r="E1196" s="3">
        <f t="shared" si="55"/>
        <v>625</v>
      </c>
    </row>
    <row r="1197" spans="1:5">
      <c r="A1197" s="3">
        <v>119.5</v>
      </c>
      <c r="B1197" s="3">
        <v>25</v>
      </c>
      <c r="C1197" s="3">
        <f t="shared" si="54"/>
        <v>25</v>
      </c>
      <c r="D1197" s="3">
        <f t="shared" si="56"/>
        <v>625</v>
      </c>
      <c r="E1197" s="3">
        <f t="shared" si="55"/>
        <v>625</v>
      </c>
    </row>
    <row r="1198" spans="1:5">
      <c r="A1198" s="3">
        <v>119.6</v>
      </c>
      <c r="B1198" s="3">
        <v>25</v>
      </c>
      <c r="C1198" s="3">
        <f t="shared" si="54"/>
        <v>25</v>
      </c>
      <c r="D1198" s="3">
        <f t="shared" si="56"/>
        <v>625</v>
      </c>
      <c r="E1198" s="3">
        <f t="shared" si="55"/>
        <v>625</v>
      </c>
    </row>
    <row r="1199" spans="1:5">
      <c r="A1199" s="3">
        <v>119.7</v>
      </c>
      <c r="B1199" s="3">
        <v>25</v>
      </c>
      <c r="C1199" s="3">
        <f t="shared" si="54"/>
        <v>25</v>
      </c>
      <c r="D1199" s="3">
        <f t="shared" si="56"/>
        <v>625</v>
      </c>
      <c r="E1199" s="3">
        <f t="shared" si="55"/>
        <v>625</v>
      </c>
    </row>
    <row r="1200" spans="1:5">
      <c r="A1200" s="3">
        <v>119.8</v>
      </c>
      <c r="B1200" s="3">
        <v>25</v>
      </c>
      <c r="C1200" s="3">
        <f t="shared" si="54"/>
        <v>25</v>
      </c>
      <c r="D1200" s="3">
        <f t="shared" si="56"/>
        <v>625</v>
      </c>
      <c r="E1200" s="3">
        <f t="shared" si="55"/>
        <v>625</v>
      </c>
    </row>
    <row r="1201" spans="1:5">
      <c r="A1201" s="3">
        <v>119.9</v>
      </c>
      <c r="B1201" s="3">
        <v>25</v>
      </c>
      <c r="C1201" s="3">
        <f t="shared" si="54"/>
        <v>25</v>
      </c>
      <c r="D1201" s="3">
        <f t="shared" si="56"/>
        <v>625</v>
      </c>
      <c r="E1201" s="3">
        <f t="shared" si="55"/>
        <v>625</v>
      </c>
    </row>
    <row r="1202" spans="1:5">
      <c r="A1202" s="3">
        <v>120</v>
      </c>
      <c r="B1202" s="3">
        <v>25</v>
      </c>
      <c r="C1202" s="3">
        <f t="shared" si="54"/>
        <v>25</v>
      </c>
      <c r="D1202" s="3">
        <f t="shared" si="56"/>
        <v>625</v>
      </c>
      <c r="E1202" s="3">
        <f t="shared" si="55"/>
        <v>625</v>
      </c>
    </row>
    <row r="1203" spans="1:5">
      <c r="A1203" s="3">
        <v>120.1</v>
      </c>
      <c r="B1203" s="3">
        <v>25</v>
      </c>
      <c r="C1203" s="3">
        <f t="shared" si="54"/>
        <v>25</v>
      </c>
      <c r="D1203" s="3">
        <f t="shared" si="56"/>
        <v>625</v>
      </c>
      <c r="E1203" s="3">
        <f t="shared" si="55"/>
        <v>625</v>
      </c>
    </row>
    <row r="1204" spans="1:5">
      <c r="A1204" s="3">
        <v>120.2</v>
      </c>
      <c r="B1204" s="3">
        <v>25</v>
      </c>
      <c r="C1204" s="3">
        <f t="shared" si="54"/>
        <v>25</v>
      </c>
      <c r="D1204" s="3">
        <f t="shared" si="56"/>
        <v>625</v>
      </c>
      <c r="E1204" s="3">
        <f t="shared" si="55"/>
        <v>625</v>
      </c>
    </row>
    <row r="1205" spans="1:5">
      <c r="A1205" s="3">
        <v>120.3</v>
      </c>
      <c r="B1205" s="3">
        <v>25</v>
      </c>
      <c r="C1205" s="3">
        <f t="shared" si="54"/>
        <v>25</v>
      </c>
      <c r="D1205" s="3">
        <f t="shared" si="56"/>
        <v>625</v>
      </c>
      <c r="E1205" s="3">
        <f t="shared" si="55"/>
        <v>625</v>
      </c>
    </row>
    <row r="1206" spans="1:5">
      <c r="A1206" s="3">
        <v>120.4</v>
      </c>
      <c r="B1206" s="3">
        <v>25</v>
      </c>
      <c r="C1206" s="3">
        <f t="shared" si="54"/>
        <v>25</v>
      </c>
      <c r="D1206" s="3">
        <f t="shared" si="56"/>
        <v>625</v>
      </c>
      <c r="E1206" s="3">
        <f t="shared" si="55"/>
        <v>625</v>
      </c>
    </row>
    <row r="1207" spans="1:5">
      <c r="A1207" s="3">
        <v>120.5</v>
      </c>
      <c r="B1207" s="3">
        <v>25</v>
      </c>
      <c r="C1207" s="3">
        <f t="shared" si="54"/>
        <v>25</v>
      </c>
      <c r="D1207" s="3">
        <f t="shared" si="56"/>
        <v>625</v>
      </c>
      <c r="E1207" s="3">
        <f t="shared" si="55"/>
        <v>625</v>
      </c>
    </row>
    <row r="1208" spans="1:5">
      <c r="A1208" s="3">
        <v>120.6</v>
      </c>
      <c r="B1208" s="3">
        <v>25</v>
      </c>
      <c r="C1208" s="3">
        <f t="shared" si="54"/>
        <v>25</v>
      </c>
      <c r="D1208" s="3">
        <f t="shared" si="56"/>
        <v>625</v>
      </c>
      <c r="E1208" s="3">
        <f t="shared" si="55"/>
        <v>625</v>
      </c>
    </row>
    <row r="1209" spans="1:5">
      <c r="A1209" s="3">
        <v>120.7</v>
      </c>
      <c r="B1209" s="3">
        <v>25</v>
      </c>
      <c r="C1209" s="3">
        <f t="shared" si="54"/>
        <v>25</v>
      </c>
      <c r="D1209" s="3">
        <f t="shared" si="56"/>
        <v>625</v>
      </c>
      <c r="E1209" s="3">
        <f t="shared" si="55"/>
        <v>625</v>
      </c>
    </row>
    <row r="1210" spans="1:5">
      <c r="A1210" s="3">
        <v>120.8</v>
      </c>
      <c r="B1210" s="3">
        <v>25</v>
      </c>
      <c r="C1210" s="3">
        <f t="shared" si="54"/>
        <v>25</v>
      </c>
      <c r="D1210" s="3">
        <f t="shared" si="56"/>
        <v>625</v>
      </c>
      <c r="E1210" s="3">
        <f t="shared" si="55"/>
        <v>625</v>
      </c>
    </row>
    <row r="1211" spans="1:5">
      <c r="A1211" s="3">
        <v>120.9</v>
      </c>
      <c r="B1211" s="3">
        <v>25</v>
      </c>
      <c r="C1211" s="3">
        <f t="shared" si="54"/>
        <v>25</v>
      </c>
      <c r="D1211" s="3">
        <f t="shared" si="56"/>
        <v>625</v>
      </c>
      <c r="E1211" s="3">
        <f t="shared" si="55"/>
        <v>625</v>
      </c>
    </row>
    <row r="1212" spans="1:5">
      <c r="A1212" s="3">
        <v>121</v>
      </c>
      <c r="B1212" s="3">
        <v>25</v>
      </c>
      <c r="C1212" s="3">
        <f t="shared" si="54"/>
        <v>25</v>
      </c>
      <c r="D1212" s="3">
        <f t="shared" si="56"/>
        <v>625</v>
      </c>
      <c r="E1212" s="3">
        <f t="shared" si="55"/>
        <v>625</v>
      </c>
    </row>
    <row r="1213" spans="1:5">
      <c r="A1213" s="3">
        <v>121.1</v>
      </c>
      <c r="B1213" s="3">
        <v>25</v>
      </c>
      <c r="C1213" s="3">
        <f t="shared" si="54"/>
        <v>25</v>
      </c>
      <c r="D1213" s="3">
        <f t="shared" si="56"/>
        <v>625</v>
      </c>
      <c r="E1213" s="3">
        <f t="shared" si="55"/>
        <v>625</v>
      </c>
    </row>
    <row r="1214" spans="1:5">
      <c r="A1214" s="3">
        <v>121.2</v>
      </c>
      <c r="B1214" s="3">
        <v>25</v>
      </c>
      <c r="C1214" s="3">
        <f t="shared" si="54"/>
        <v>25</v>
      </c>
      <c r="D1214" s="3">
        <f t="shared" si="56"/>
        <v>625</v>
      </c>
      <c r="E1214" s="3">
        <f t="shared" si="55"/>
        <v>625</v>
      </c>
    </row>
    <row r="1215" spans="1:5">
      <c r="A1215" s="3">
        <v>121.3</v>
      </c>
      <c r="B1215" s="3">
        <v>25</v>
      </c>
      <c r="C1215" s="3">
        <f t="shared" si="54"/>
        <v>25</v>
      </c>
      <c r="D1215" s="3">
        <f t="shared" si="56"/>
        <v>625</v>
      </c>
      <c r="E1215" s="3">
        <f t="shared" si="55"/>
        <v>625</v>
      </c>
    </row>
    <row r="1216" spans="1:5">
      <c r="A1216" s="3">
        <v>121.4</v>
      </c>
      <c r="B1216" s="3">
        <v>25</v>
      </c>
      <c r="C1216" s="3">
        <f t="shared" si="54"/>
        <v>25</v>
      </c>
      <c r="D1216" s="3">
        <f t="shared" si="56"/>
        <v>625</v>
      </c>
      <c r="E1216" s="3">
        <f t="shared" si="55"/>
        <v>625</v>
      </c>
    </row>
    <row r="1217" spans="1:5">
      <c r="A1217" s="3">
        <v>121.5</v>
      </c>
      <c r="B1217" s="3">
        <v>25</v>
      </c>
      <c r="C1217" s="3">
        <f t="shared" si="54"/>
        <v>25</v>
      </c>
      <c r="D1217" s="3">
        <f t="shared" si="56"/>
        <v>625</v>
      </c>
      <c r="E1217" s="3">
        <f t="shared" si="55"/>
        <v>625</v>
      </c>
    </row>
    <row r="1218" spans="1:5">
      <c r="A1218" s="3">
        <v>121.6</v>
      </c>
      <c r="B1218" s="3">
        <v>25</v>
      </c>
      <c r="C1218" s="3">
        <f t="shared" ref="C1218:C1281" si="57">ROUND(SQRT(E1218),2)</f>
        <v>25</v>
      </c>
      <c r="D1218" s="3">
        <f t="shared" si="56"/>
        <v>625</v>
      </c>
      <c r="E1218" s="3">
        <f t="shared" ref="E1218:E1281" si="58">MIN(D1218, E1219+$H$4)</f>
        <v>625</v>
      </c>
    </row>
    <row r="1219" spans="1:5">
      <c r="A1219" s="3">
        <v>121.7</v>
      </c>
      <c r="B1219" s="3">
        <v>25</v>
      </c>
      <c r="C1219" s="3">
        <f t="shared" si="57"/>
        <v>25</v>
      </c>
      <c r="D1219" s="3">
        <f t="shared" ref="D1219:D1282" si="59">MIN(B1219^2, D1218+$H$4)</f>
        <v>625</v>
      </c>
      <c r="E1219" s="3">
        <f t="shared" si="58"/>
        <v>625</v>
      </c>
    </row>
    <row r="1220" spans="1:5">
      <c r="A1220" s="3">
        <v>121.8</v>
      </c>
      <c r="B1220" s="3">
        <v>25</v>
      </c>
      <c r="C1220" s="3">
        <f t="shared" si="57"/>
        <v>25</v>
      </c>
      <c r="D1220" s="3">
        <f t="shared" si="59"/>
        <v>625</v>
      </c>
      <c r="E1220" s="3">
        <f t="shared" si="58"/>
        <v>625</v>
      </c>
    </row>
    <row r="1221" spans="1:5">
      <c r="A1221" s="3">
        <v>121.9</v>
      </c>
      <c r="B1221" s="3">
        <v>25</v>
      </c>
      <c r="C1221" s="3">
        <f t="shared" si="57"/>
        <v>25</v>
      </c>
      <c r="D1221" s="3">
        <f t="shared" si="59"/>
        <v>625</v>
      </c>
      <c r="E1221" s="3">
        <f t="shared" si="58"/>
        <v>625</v>
      </c>
    </row>
    <row r="1222" spans="1:5">
      <c r="A1222" s="3">
        <v>122</v>
      </c>
      <c r="B1222" s="3">
        <v>25</v>
      </c>
      <c r="C1222" s="3">
        <f t="shared" si="57"/>
        <v>25</v>
      </c>
      <c r="D1222" s="3">
        <f t="shared" si="59"/>
        <v>625</v>
      </c>
      <c r="E1222" s="3">
        <f t="shared" si="58"/>
        <v>625</v>
      </c>
    </row>
    <row r="1223" spans="1:5">
      <c r="A1223" s="3">
        <v>122.1</v>
      </c>
      <c r="B1223" s="3">
        <v>25</v>
      </c>
      <c r="C1223" s="3">
        <f t="shared" si="57"/>
        <v>25</v>
      </c>
      <c r="D1223" s="3">
        <f t="shared" si="59"/>
        <v>625</v>
      </c>
      <c r="E1223" s="3">
        <f t="shared" si="58"/>
        <v>625</v>
      </c>
    </row>
    <row r="1224" spans="1:5">
      <c r="A1224" s="3">
        <v>122.2</v>
      </c>
      <c r="B1224" s="3">
        <v>25</v>
      </c>
      <c r="C1224" s="3">
        <f t="shared" si="57"/>
        <v>25</v>
      </c>
      <c r="D1224" s="3">
        <f t="shared" si="59"/>
        <v>625</v>
      </c>
      <c r="E1224" s="3">
        <f t="shared" si="58"/>
        <v>625</v>
      </c>
    </row>
    <row r="1225" spans="1:5">
      <c r="A1225" s="3">
        <v>122.3</v>
      </c>
      <c r="B1225" s="3">
        <v>25</v>
      </c>
      <c r="C1225" s="3">
        <f t="shared" si="57"/>
        <v>25</v>
      </c>
      <c r="D1225" s="3">
        <f t="shared" si="59"/>
        <v>625</v>
      </c>
      <c r="E1225" s="3">
        <f t="shared" si="58"/>
        <v>625</v>
      </c>
    </row>
    <row r="1226" spans="1:5">
      <c r="A1226" s="3">
        <v>122.4</v>
      </c>
      <c r="B1226" s="3">
        <v>25</v>
      </c>
      <c r="C1226" s="3">
        <f t="shared" si="57"/>
        <v>25</v>
      </c>
      <c r="D1226" s="3">
        <f t="shared" si="59"/>
        <v>625</v>
      </c>
      <c r="E1226" s="3">
        <f t="shared" si="58"/>
        <v>625</v>
      </c>
    </row>
    <row r="1227" spans="1:5">
      <c r="A1227" s="3">
        <v>122.5</v>
      </c>
      <c r="B1227" s="3">
        <v>25</v>
      </c>
      <c r="C1227" s="3">
        <f t="shared" si="57"/>
        <v>25</v>
      </c>
      <c r="D1227" s="3">
        <f t="shared" si="59"/>
        <v>625</v>
      </c>
      <c r="E1227" s="3">
        <f t="shared" si="58"/>
        <v>625</v>
      </c>
    </row>
    <row r="1228" spans="1:5">
      <c r="A1228" s="3">
        <v>122.6</v>
      </c>
      <c r="B1228" s="3">
        <v>25</v>
      </c>
      <c r="C1228" s="3">
        <f t="shared" si="57"/>
        <v>25</v>
      </c>
      <c r="D1228" s="3">
        <f t="shared" si="59"/>
        <v>625</v>
      </c>
      <c r="E1228" s="3">
        <f t="shared" si="58"/>
        <v>625</v>
      </c>
    </row>
    <row r="1229" spans="1:5">
      <c r="A1229" s="3">
        <v>122.7</v>
      </c>
      <c r="B1229" s="3">
        <v>25</v>
      </c>
      <c r="C1229" s="3">
        <f t="shared" si="57"/>
        <v>25</v>
      </c>
      <c r="D1229" s="3">
        <f t="shared" si="59"/>
        <v>625</v>
      </c>
      <c r="E1229" s="3">
        <f t="shared" si="58"/>
        <v>625</v>
      </c>
    </row>
    <row r="1230" spans="1:5">
      <c r="A1230" s="3">
        <v>122.8</v>
      </c>
      <c r="B1230" s="3">
        <v>25</v>
      </c>
      <c r="C1230" s="3">
        <f t="shared" si="57"/>
        <v>25</v>
      </c>
      <c r="D1230" s="3">
        <f t="shared" si="59"/>
        <v>625</v>
      </c>
      <c r="E1230" s="3">
        <f t="shared" si="58"/>
        <v>625</v>
      </c>
    </row>
    <row r="1231" spans="1:5">
      <c r="A1231" s="3">
        <v>122.9</v>
      </c>
      <c r="B1231" s="3">
        <v>25</v>
      </c>
      <c r="C1231" s="3">
        <f t="shared" si="57"/>
        <v>25</v>
      </c>
      <c r="D1231" s="3">
        <f t="shared" si="59"/>
        <v>625</v>
      </c>
      <c r="E1231" s="3">
        <f t="shared" si="58"/>
        <v>625</v>
      </c>
    </row>
    <row r="1232" spans="1:5">
      <c r="A1232" s="3">
        <v>123</v>
      </c>
      <c r="B1232" s="3">
        <v>25</v>
      </c>
      <c r="C1232" s="3">
        <f t="shared" si="57"/>
        <v>25</v>
      </c>
      <c r="D1232" s="3">
        <f t="shared" si="59"/>
        <v>625</v>
      </c>
      <c r="E1232" s="3">
        <f t="shared" si="58"/>
        <v>625</v>
      </c>
    </row>
    <row r="1233" spans="1:5">
      <c r="A1233" s="3">
        <v>123.1</v>
      </c>
      <c r="B1233" s="3">
        <v>25</v>
      </c>
      <c r="C1233" s="3">
        <f t="shared" si="57"/>
        <v>25</v>
      </c>
      <c r="D1233" s="3">
        <f t="shared" si="59"/>
        <v>625</v>
      </c>
      <c r="E1233" s="3">
        <f t="shared" si="58"/>
        <v>625</v>
      </c>
    </row>
    <row r="1234" spans="1:5">
      <c r="A1234" s="3">
        <v>123.2</v>
      </c>
      <c r="B1234" s="3">
        <v>25</v>
      </c>
      <c r="C1234" s="3">
        <f t="shared" si="57"/>
        <v>25</v>
      </c>
      <c r="D1234" s="3">
        <f t="shared" si="59"/>
        <v>625</v>
      </c>
      <c r="E1234" s="3">
        <f t="shared" si="58"/>
        <v>625</v>
      </c>
    </row>
    <row r="1235" spans="1:5">
      <c r="A1235" s="3">
        <v>123.3</v>
      </c>
      <c r="B1235" s="3">
        <v>25</v>
      </c>
      <c r="C1235" s="3">
        <f t="shared" si="57"/>
        <v>25</v>
      </c>
      <c r="D1235" s="3">
        <f t="shared" si="59"/>
        <v>625</v>
      </c>
      <c r="E1235" s="3">
        <f t="shared" si="58"/>
        <v>625</v>
      </c>
    </row>
    <row r="1236" spans="1:5">
      <c r="A1236" s="3">
        <v>123.4</v>
      </c>
      <c r="B1236" s="3">
        <v>25</v>
      </c>
      <c r="C1236" s="3">
        <f t="shared" si="57"/>
        <v>25</v>
      </c>
      <c r="D1236" s="3">
        <f t="shared" si="59"/>
        <v>625</v>
      </c>
      <c r="E1236" s="3">
        <f t="shared" si="58"/>
        <v>625</v>
      </c>
    </row>
    <row r="1237" spans="1:5">
      <c r="A1237" s="3">
        <v>123.5</v>
      </c>
      <c r="B1237" s="3">
        <v>25</v>
      </c>
      <c r="C1237" s="3">
        <f t="shared" si="57"/>
        <v>25</v>
      </c>
      <c r="D1237" s="3">
        <f t="shared" si="59"/>
        <v>625</v>
      </c>
      <c r="E1237" s="3">
        <f t="shared" si="58"/>
        <v>625</v>
      </c>
    </row>
    <row r="1238" spans="1:5">
      <c r="A1238" s="3">
        <v>123.6</v>
      </c>
      <c r="B1238" s="3">
        <v>25</v>
      </c>
      <c r="C1238" s="3">
        <f t="shared" si="57"/>
        <v>25</v>
      </c>
      <c r="D1238" s="3">
        <f t="shared" si="59"/>
        <v>625</v>
      </c>
      <c r="E1238" s="3">
        <f t="shared" si="58"/>
        <v>625</v>
      </c>
    </row>
    <row r="1239" spans="1:5">
      <c r="A1239" s="3">
        <v>123.7</v>
      </c>
      <c r="B1239" s="3">
        <v>25</v>
      </c>
      <c r="C1239" s="3">
        <f t="shared" si="57"/>
        <v>25</v>
      </c>
      <c r="D1239" s="3">
        <f t="shared" si="59"/>
        <v>625</v>
      </c>
      <c r="E1239" s="3">
        <f t="shared" si="58"/>
        <v>625</v>
      </c>
    </row>
    <row r="1240" spans="1:5">
      <c r="A1240" s="3">
        <v>123.8</v>
      </c>
      <c r="B1240" s="3">
        <v>25</v>
      </c>
      <c r="C1240" s="3">
        <f t="shared" si="57"/>
        <v>25</v>
      </c>
      <c r="D1240" s="3">
        <f t="shared" si="59"/>
        <v>625</v>
      </c>
      <c r="E1240" s="3">
        <f t="shared" si="58"/>
        <v>625</v>
      </c>
    </row>
    <row r="1241" spans="1:5">
      <c r="A1241" s="3">
        <v>123.9</v>
      </c>
      <c r="B1241" s="3">
        <v>25</v>
      </c>
      <c r="C1241" s="3">
        <f t="shared" si="57"/>
        <v>25</v>
      </c>
      <c r="D1241" s="3">
        <f t="shared" si="59"/>
        <v>625</v>
      </c>
      <c r="E1241" s="3">
        <f t="shared" si="58"/>
        <v>625</v>
      </c>
    </row>
    <row r="1242" spans="1:5">
      <c r="A1242" s="3">
        <v>124</v>
      </c>
      <c r="B1242" s="3">
        <v>25</v>
      </c>
      <c r="C1242" s="3">
        <f t="shared" si="57"/>
        <v>25</v>
      </c>
      <c r="D1242" s="3">
        <f t="shared" si="59"/>
        <v>625</v>
      </c>
      <c r="E1242" s="3">
        <f t="shared" si="58"/>
        <v>625</v>
      </c>
    </row>
    <row r="1243" spans="1:5">
      <c r="A1243" s="3">
        <v>124.1</v>
      </c>
      <c r="B1243" s="3">
        <v>25</v>
      </c>
      <c r="C1243" s="3">
        <f t="shared" si="57"/>
        <v>25</v>
      </c>
      <c r="D1243" s="3">
        <f t="shared" si="59"/>
        <v>625</v>
      </c>
      <c r="E1243" s="3">
        <f t="shared" si="58"/>
        <v>625</v>
      </c>
    </row>
    <row r="1244" spans="1:5">
      <c r="A1244" s="3">
        <v>124.2</v>
      </c>
      <c r="B1244" s="3">
        <v>25</v>
      </c>
      <c r="C1244" s="3">
        <f t="shared" si="57"/>
        <v>25</v>
      </c>
      <c r="D1244" s="3">
        <f t="shared" si="59"/>
        <v>625</v>
      </c>
      <c r="E1244" s="3">
        <f t="shared" si="58"/>
        <v>625</v>
      </c>
    </row>
    <row r="1245" spans="1:5">
      <c r="A1245" s="3">
        <v>124.3</v>
      </c>
      <c r="B1245" s="3">
        <v>25</v>
      </c>
      <c r="C1245" s="3">
        <f t="shared" si="57"/>
        <v>25</v>
      </c>
      <c r="D1245" s="3">
        <f t="shared" si="59"/>
        <v>625</v>
      </c>
      <c r="E1245" s="3">
        <f t="shared" si="58"/>
        <v>625</v>
      </c>
    </row>
    <row r="1246" spans="1:5">
      <c r="A1246" s="3">
        <v>124.4</v>
      </c>
      <c r="B1246" s="3">
        <v>25</v>
      </c>
      <c r="C1246" s="3">
        <f t="shared" si="57"/>
        <v>25</v>
      </c>
      <c r="D1246" s="3">
        <f t="shared" si="59"/>
        <v>625</v>
      </c>
      <c r="E1246" s="3">
        <f t="shared" si="58"/>
        <v>625</v>
      </c>
    </row>
    <row r="1247" spans="1:5">
      <c r="A1247" s="3">
        <v>124.5</v>
      </c>
      <c r="B1247" s="3">
        <v>25</v>
      </c>
      <c r="C1247" s="3">
        <f t="shared" si="57"/>
        <v>25</v>
      </c>
      <c r="D1247" s="3">
        <f t="shared" si="59"/>
        <v>625</v>
      </c>
      <c r="E1247" s="3">
        <f t="shared" si="58"/>
        <v>625</v>
      </c>
    </row>
    <row r="1248" spans="1:5">
      <c r="A1248" s="3">
        <v>124.6</v>
      </c>
      <c r="B1248" s="3">
        <v>25</v>
      </c>
      <c r="C1248" s="3">
        <f t="shared" si="57"/>
        <v>25</v>
      </c>
      <c r="D1248" s="3">
        <f t="shared" si="59"/>
        <v>625</v>
      </c>
      <c r="E1248" s="3">
        <f t="shared" si="58"/>
        <v>625</v>
      </c>
    </row>
    <row r="1249" spans="1:5">
      <c r="A1249" s="3">
        <v>124.7</v>
      </c>
      <c r="B1249" s="3">
        <v>25</v>
      </c>
      <c r="C1249" s="3">
        <f t="shared" si="57"/>
        <v>25</v>
      </c>
      <c r="D1249" s="3">
        <f t="shared" si="59"/>
        <v>625</v>
      </c>
      <c r="E1249" s="3">
        <f t="shared" si="58"/>
        <v>625</v>
      </c>
    </row>
    <row r="1250" spans="1:5">
      <c r="A1250" s="3">
        <v>124.8</v>
      </c>
      <c r="B1250" s="3">
        <v>25</v>
      </c>
      <c r="C1250" s="3">
        <f t="shared" si="57"/>
        <v>25</v>
      </c>
      <c r="D1250" s="3">
        <f t="shared" si="59"/>
        <v>625</v>
      </c>
      <c r="E1250" s="3">
        <f t="shared" si="58"/>
        <v>625</v>
      </c>
    </row>
    <row r="1251" spans="1:5">
      <c r="A1251" s="3">
        <v>124.9</v>
      </c>
      <c r="B1251" s="3">
        <v>25</v>
      </c>
      <c r="C1251" s="3">
        <f t="shared" si="57"/>
        <v>25</v>
      </c>
      <c r="D1251" s="3">
        <f t="shared" si="59"/>
        <v>625</v>
      </c>
      <c r="E1251" s="3">
        <f t="shared" si="58"/>
        <v>625</v>
      </c>
    </row>
    <row r="1252" spans="1:5">
      <c r="A1252" s="3">
        <v>125</v>
      </c>
      <c r="B1252" s="3">
        <v>25</v>
      </c>
      <c r="C1252" s="3">
        <f t="shared" si="57"/>
        <v>25</v>
      </c>
      <c r="D1252" s="3">
        <f t="shared" si="59"/>
        <v>625</v>
      </c>
      <c r="E1252" s="3">
        <f t="shared" si="58"/>
        <v>625</v>
      </c>
    </row>
    <row r="1253" spans="1:5">
      <c r="A1253" s="3">
        <v>125.1</v>
      </c>
      <c r="B1253" s="3">
        <v>25</v>
      </c>
      <c r="C1253" s="3">
        <f t="shared" si="57"/>
        <v>25</v>
      </c>
      <c r="D1253" s="3">
        <f t="shared" si="59"/>
        <v>625</v>
      </c>
      <c r="E1253" s="3">
        <f t="shared" si="58"/>
        <v>625</v>
      </c>
    </row>
    <row r="1254" spans="1:5">
      <c r="A1254" s="3">
        <v>125.2</v>
      </c>
      <c r="B1254" s="3">
        <v>25</v>
      </c>
      <c r="C1254" s="3">
        <f t="shared" si="57"/>
        <v>25</v>
      </c>
      <c r="D1254" s="3">
        <f t="shared" si="59"/>
        <v>625</v>
      </c>
      <c r="E1254" s="3">
        <f t="shared" si="58"/>
        <v>625</v>
      </c>
    </row>
    <row r="1255" spans="1:5">
      <c r="A1255" s="3">
        <v>125.3</v>
      </c>
      <c r="B1255" s="3">
        <v>25</v>
      </c>
      <c r="C1255" s="3">
        <f t="shared" si="57"/>
        <v>25</v>
      </c>
      <c r="D1255" s="3">
        <f t="shared" si="59"/>
        <v>625</v>
      </c>
      <c r="E1255" s="3">
        <f t="shared" si="58"/>
        <v>625</v>
      </c>
    </row>
    <row r="1256" spans="1:5">
      <c r="A1256" s="3">
        <v>125.4</v>
      </c>
      <c r="B1256" s="3">
        <v>25</v>
      </c>
      <c r="C1256" s="3">
        <f t="shared" si="57"/>
        <v>25</v>
      </c>
      <c r="D1256" s="3">
        <f t="shared" si="59"/>
        <v>625</v>
      </c>
      <c r="E1256" s="3">
        <f t="shared" si="58"/>
        <v>625</v>
      </c>
    </row>
    <row r="1257" spans="1:5">
      <c r="A1257" s="3">
        <v>125.5</v>
      </c>
      <c r="B1257" s="3">
        <v>25</v>
      </c>
      <c r="C1257" s="3">
        <f t="shared" si="57"/>
        <v>25</v>
      </c>
      <c r="D1257" s="3">
        <f t="shared" si="59"/>
        <v>625</v>
      </c>
      <c r="E1257" s="3">
        <f t="shared" si="58"/>
        <v>625</v>
      </c>
    </row>
    <row r="1258" spans="1:5">
      <c r="A1258" s="3">
        <v>125.6</v>
      </c>
      <c r="B1258" s="3">
        <v>25</v>
      </c>
      <c r="C1258" s="3">
        <f t="shared" si="57"/>
        <v>25</v>
      </c>
      <c r="D1258" s="3">
        <f t="shared" si="59"/>
        <v>625</v>
      </c>
      <c r="E1258" s="3">
        <f t="shared" si="58"/>
        <v>625</v>
      </c>
    </row>
    <row r="1259" spans="1:5">
      <c r="A1259" s="3">
        <v>125.7</v>
      </c>
      <c r="B1259" s="3">
        <v>25</v>
      </c>
      <c r="C1259" s="3">
        <f t="shared" si="57"/>
        <v>25</v>
      </c>
      <c r="D1259" s="3">
        <f t="shared" si="59"/>
        <v>625</v>
      </c>
      <c r="E1259" s="3">
        <f t="shared" si="58"/>
        <v>625</v>
      </c>
    </row>
    <row r="1260" spans="1:5">
      <c r="A1260" s="3">
        <v>125.8</v>
      </c>
      <c r="B1260" s="3">
        <v>25</v>
      </c>
      <c r="C1260" s="3">
        <f t="shared" si="57"/>
        <v>25</v>
      </c>
      <c r="D1260" s="3">
        <f t="shared" si="59"/>
        <v>625</v>
      </c>
      <c r="E1260" s="3">
        <f t="shared" si="58"/>
        <v>625</v>
      </c>
    </row>
    <row r="1261" spans="1:5">
      <c r="A1261" s="3">
        <v>125.9</v>
      </c>
      <c r="B1261" s="3">
        <v>25</v>
      </c>
      <c r="C1261" s="3">
        <f t="shared" si="57"/>
        <v>25</v>
      </c>
      <c r="D1261" s="3">
        <f t="shared" si="59"/>
        <v>625</v>
      </c>
      <c r="E1261" s="3">
        <f t="shared" si="58"/>
        <v>625</v>
      </c>
    </row>
    <row r="1262" spans="1:5">
      <c r="A1262" s="3">
        <v>126</v>
      </c>
      <c r="B1262" s="3">
        <v>25</v>
      </c>
      <c r="C1262" s="3">
        <f t="shared" si="57"/>
        <v>25</v>
      </c>
      <c r="D1262" s="3">
        <f t="shared" si="59"/>
        <v>625</v>
      </c>
      <c r="E1262" s="3">
        <f t="shared" si="58"/>
        <v>625</v>
      </c>
    </row>
    <row r="1263" spans="1:5">
      <c r="A1263" s="3">
        <v>126.1</v>
      </c>
      <c r="B1263" s="3">
        <v>25</v>
      </c>
      <c r="C1263" s="3">
        <f t="shared" si="57"/>
        <v>25</v>
      </c>
      <c r="D1263" s="3">
        <f t="shared" si="59"/>
        <v>625</v>
      </c>
      <c r="E1263" s="3">
        <f t="shared" si="58"/>
        <v>625</v>
      </c>
    </row>
    <row r="1264" spans="1:5">
      <c r="A1264" s="3">
        <v>126.2</v>
      </c>
      <c r="B1264" s="3">
        <v>25</v>
      </c>
      <c r="C1264" s="3">
        <f t="shared" si="57"/>
        <v>25</v>
      </c>
      <c r="D1264" s="3">
        <f t="shared" si="59"/>
        <v>625</v>
      </c>
      <c r="E1264" s="3">
        <f t="shared" si="58"/>
        <v>625</v>
      </c>
    </row>
    <row r="1265" spans="1:5">
      <c r="A1265" s="3">
        <v>126.3</v>
      </c>
      <c r="B1265" s="3">
        <v>25</v>
      </c>
      <c r="C1265" s="3">
        <f t="shared" si="57"/>
        <v>25</v>
      </c>
      <c r="D1265" s="3">
        <f t="shared" si="59"/>
        <v>625</v>
      </c>
      <c r="E1265" s="3">
        <f t="shared" si="58"/>
        <v>625</v>
      </c>
    </row>
    <row r="1266" spans="1:5">
      <c r="A1266" s="3">
        <v>126.4</v>
      </c>
      <c r="B1266" s="3">
        <v>25</v>
      </c>
      <c r="C1266" s="3">
        <f t="shared" si="57"/>
        <v>25</v>
      </c>
      <c r="D1266" s="3">
        <f t="shared" si="59"/>
        <v>625</v>
      </c>
      <c r="E1266" s="3">
        <f t="shared" si="58"/>
        <v>625</v>
      </c>
    </row>
    <row r="1267" spans="1:5">
      <c r="A1267" s="3">
        <v>126.5</v>
      </c>
      <c r="B1267" s="3">
        <v>25</v>
      </c>
      <c r="C1267" s="3">
        <f t="shared" si="57"/>
        <v>25</v>
      </c>
      <c r="D1267" s="3">
        <f t="shared" si="59"/>
        <v>625</v>
      </c>
      <c r="E1267" s="3">
        <f t="shared" si="58"/>
        <v>625</v>
      </c>
    </row>
    <row r="1268" spans="1:5">
      <c r="A1268" s="3">
        <v>126.6</v>
      </c>
      <c r="B1268" s="3">
        <v>25</v>
      </c>
      <c r="C1268" s="3">
        <f t="shared" si="57"/>
        <v>25</v>
      </c>
      <c r="D1268" s="3">
        <f t="shared" si="59"/>
        <v>625</v>
      </c>
      <c r="E1268" s="3">
        <f t="shared" si="58"/>
        <v>625</v>
      </c>
    </row>
    <row r="1269" spans="1:5">
      <c r="A1269" s="3">
        <v>126.7</v>
      </c>
      <c r="B1269" s="3">
        <v>25</v>
      </c>
      <c r="C1269" s="3">
        <f t="shared" si="57"/>
        <v>25</v>
      </c>
      <c r="D1269" s="3">
        <f t="shared" si="59"/>
        <v>625</v>
      </c>
      <c r="E1269" s="3">
        <f t="shared" si="58"/>
        <v>625</v>
      </c>
    </row>
    <row r="1270" spans="1:5">
      <c r="A1270" s="3">
        <v>126.8</v>
      </c>
      <c r="B1270" s="3">
        <v>25</v>
      </c>
      <c r="C1270" s="3">
        <f t="shared" si="57"/>
        <v>25</v>
      </c>
      <c r="D1270" s="3">
        <f t="shared" si="59"/>
        <v>625</v>
      </c>
      <c r="E1270" s="3">
        <f t="shared" si="58"/>
        <v>625</v>
      </c>
    </row>
    <row r="1271" spans="1:5">
      <c r="A1271" s="3">
        <v>126.9</v>
      </c>
      <c r="B1271" s="3">
        <v>25</v>
      </c>
      <c r="C1271" s="3">
        <f t="shared" si="57"/>
        <v>25</v>
      </c>
      <c r="D1271" s="3">
        <f t="shared" si="59"/>
        <v>625</v>
      </c>
      <c r="E1271" s="3">
        <f t="shared" si="58"/>
        <v>625</v>
      </c>
    </row>
    <row r="1272" spans="1:5">
      <c r="A1272" s="3">
        <v>127</v>
      </c>
      <c r="B1272" s="3">
        <v>25</v>
      </c>
      <c r="C1272" s="3">
        <f t="shared" si="57"/>
        <v>25</v>
      </c>
      <c r="D1272" s="3">
        <f t="shared" si="59"/>
        <v>625</v>
      </c>
      <c r="E1272" s="3">
        <f t="shared" si="58"/>
        <v>625</v>
      </c>
    </row>
    <row r="1273" spans="1:5">
      <c r="A1273" s="3">
        <v>127.1</v>
      </c>
      <c r="B1273" s="3">
        <v>25</v>
      </c>
      <c r="C1273" s="3">
        <f t="shared" si="57"/>
        <v>25</v>
      </c>
      <c r="D1273" s="3">
        <f t="shared" si="59"/>
        <v>625</v>
      </c>
      <c r="E1273" s="3">
        <f t="shared" si="58"/>
        <v>625</v>
      </c>
    </row>
    <row r="1274" spans="1:5">
      <c r="A1274" s="3">
        <v>127.2</v>
      </c>
      <c r="B1274" s="3">
        <v>25</v>
      </c>
      <c r="C1274" s="3">
        <f t="shared" si="57"/>
        <v>25</v>
      </c>
      <c r="D1274" s="3">
        <f t="shared" si="59"/>
        <v>625</v>
      </c>
      <c r="E1274" s="3">
        <f t="shared" si="58"/>
        <v>625</v>
      </c>
    </row>
    <row r="1275" spans="1:5">
      <c r="A1275" s="3">
        <v>127.3</v>
      </c>
      <c r="B1275" s="3">
        <v>25</v>
      </c>
      <c r="C1275" s="3">
        <f t="shared" si="57"/>
        <v>25</v>
      </c>
      <c r="D1275" s="3">
        <f t="shared" si="59"/>
        <v>625</v>
      </c>
      <c r="E1275" s="3">
        <f t="shared" si="58"/>
        <v>625</v>
      </c>
    </row>
    <row r="1276" spans="1:5">
      <c r="A1276" s="3">
        <v>127.4</v>
      </c>
      <c r="B1276" s="3">
        <v>25</v>
      </c>
      <c r="C1276" s="3">
        <f t="shared" si="57"/>
        <v>25</v>
      </c>
      <c r="D1276" s="3">
        <f t="shared" si="59"/>
        <v>625</v>
      </c>
      <c r="E1276" s="3">
        <f t="shared" si="58"/>
        <v>625</v>
      </c>
    </row>
    <row r="1277" spans="1:5">
      <c r="A1277" s="3">
        <v>127.5</v>
      </c>
      <c r="B1277" s="3">
        <v>25</v>
      </c>
      <c r="C1277" s="3">
        <f t="shared" si="57"/>
        <v>25</v>
      </c>
      <c r="D1277" s="3">
        <f t="shared" si="59"/>
        <v>625</v>
      </c>
      <c r="E1277" s="3">
        <f t="shared" si="58"/>
        <v>625</v>
      </c>
    </row>
    <row r="1278" spans="1:5">
      <c r="A1278" s="3">
        <v>127.6</v>
      </c>
      <c r="B1278" s="3">
        <v>25</v>
      </c>
      <c r="C1278" s="3">
        <f t="shared" si="57"/>
        <v>25</v>
      </c>
      <c r="D1278" s="3">
        <f t="shared" si="59"/>
        <v>625</v>
      </c>
      <c r="E1278" s="3">
        <f t="shared" si="58"/>
        <v>625</v>
      </c>
    </row>
    <row r="1279" spans="1:5">
      <c r="A1279" s="3">
        <v>127.7</v>
      </c>
      <c r="B1279" s="3">
        <v>25</v>
      </c>
      <c r="C1279" s="3">
        <f t="shared" si="57"/>
        <v>25</v>
      </c>
      <c r="D1279" s="3">
        <f t="shared" si="59"/>
        <v>625</v>
      </c>
      <c r="E1279" s="3">
        <f t="shared" si="58"/>
        <v>625</v>
      </c>
    </row>
    <row r="1280" spans="1:5">
      <c r="A1280" s="3">
        <v>127.8</v>
      </c>
      <c r="B1280" s="3">
        <v>25</v>
      </c>
      <c r="C1280" s="3">
        <f t="shared" si="57"/>
        <v>25</v>
      </c>
      <c r="D1280" s="3">
        <f t="shared" si="59"/>
        <v>625</v>
      </c>
      <c r="E1280" s="3">
        <f t="shared" si="58"/>
        <v>625</v>
      </c>
    </row>
    <row r="1281" spans="1:5">
      <c r="A1281" s="3">
        <v>127.9</v>
      </c>
      <c r="B1281" s="3">
        <v>25</v>
      </c>
      <c r="C1281" s="3">
        <f t="shared" si="57"/>
        <v>25</v>
      </c>
      <c r="D1281" s="3">
        <f t="shared" si="59"/>
        <v>625</v>
      </c>
      <c r="E1281" s="3">
        <f t="shared" si="58"/>
        <v>625</v>
      </c>
    </row>
    <row r="1282" spans="1:5">
      <c r="A1282" s="3">
        <v>128</v>
      </c>
      <c r="B1282" s="3">
        <v>25</v>
      </c>
      <c r="C1282" s="3">
        <f t="shared" ref="C1282:C1345" si="60">ROUND(SQRT(E1282),2)</f>
        <v>25</v>
      </c>
      <c r="D1282" s="3">
        <f t="shared" si="59"/>
        <v>625</v>
      </c>
      <c r="E1282" s="3">
        <f t="shared" ref="E1282:E1345" si="61">MIN(D1282, E1283+$H$4)</f>
        <v>625</v>
      </c>
    </row>
    <row r="1283" spans="1:5">
      <c r="A1283" s="3">
        <v>128.1</v>
      </c>
      <c r="B1283" s="3">
        <v>25</v>
      </c>
      <c r="C1283" s="3">
        <f t="shared" si="60"/>
        <v>25</v>
      </c>
      <c r="D1283" s="3">
        <f t="shared" ref="D1283:D1346" si="62">MIN(B1283^2, D1282+$H$4)</f>
        <v>625</v>
      </c>
      <c r="E1283" s="3">
        <f t="shared" si="61"/>
        <v>625</v>
      </c>
    </row>
    <row r="1284" spans="1:5">
      <c r="A1284" s="3">
        <v>128.19999999999999</v>
      </c>
      <c r="B1284" s="3">
        <v>25</v>
      </c>
      <c r="C1284" s="3">
        <f t="shared" si="60"/>
        <v>25</v>
      </c>
      <c r="D1284" s="3">
        <f t="shared" si="62"/>
        <v>625</v>
      </c>
      <c r="E1284" s="3">
        <f t="shared" si="61"/>
        <v>625</v>
      </c>
    </row>
    <row r="1285" spans="1:5">
      <c r="A1285" s="3">
        <v>128.30000000000001</v>
      </c>
      <c r="B1285" s="3">
        <v>25</v>
      </c>
      <c r="C1285" s="3">
        <f t="shared" si="60"/>
        <v>25</v>
      </c>
      <c r="D1285" s="3">
        <f t="shared" si="62"/>
        <v>625</v>
      </c>
      <c r="E1285" s="3">
        <f t="shared" si="61"/>
        <v>625</v>
      </c>
    </row>
    <row r="1286" spans="1:5">
      <c r="A1286" s="3">
        <v>128.4</v>
      </c>
      <c r="B1286" s="3">
        <v>25</v>
      </c>
      <c r="C1286" s="3">
        <f t="shared" si="60"/>
        <v>25</v>
      </c>
      <c r="D1286" s="3">
        <f t="shared" si="62"/>
        <v>625</v>
      </c>
      <c r="E1286" s="3">
        <f t="shared" si="61"/>
        <v>625</v>
      </c>
    </row>
    <row r="1287" spans="1:5">
      <c r="A1287" s="3">
        <v>128.5</v>
      </c>
      <c r="B1287" s="3">
        <v>25</v>
      </c>
      <c r="C1287" s="3">
        <f t="shared" si="60"/>
        <v>25</v>
      </c>
      <c r="D1287" s="3">
        <f t="shared" si="62"/>
        <v>625</v>
      </c>
      <c r="E1287" s="3">
        <f t="shared" si="61"/>
        <v>625</v>
      </c>
    </row>
    <row r="1288" spans="1:5">
      <c r="A1288" s="3">
        <v>128.6</v>
      </c>
      <c r="B1288" s="3">
        <v>25</v>
      </c>
      <c r="C1288" s="3">
        <f t="shared" si="60"/>
        <v>25</v>
      </c>
      <c r="D1288" s="3">
        <f t="shared" si="62"/>
        <v>625</v>
      </c>
      <c r="E1288" s="3">
        <f t="shared" si="61"/>
        <v>625</v>
      </c>
    </row>
    <row r="1289" spans="1:5">
      <c r="A1289" s="3">
        <v>128.69999999999999</v>
      </c>
      <c r="B1289" s="3">
        <v>25</v>
      </c>
      <c r="C1289" s="3">
        <f t="shared" si="60"/>
        <v>25</v>
      </c>
      <c r="D1289" s="3">
        <f t="shared" si="62"/>
        <v>625</v>
      </c>
      <c r="E1289" s="3">
        <f t="shared" si="61"/>
        <v>625</v>
      </c>
    </row>
    <row r="1290" spans="1:5">
      <c r="A1290" s="3">
        <v>128.80000000000001</v>
      </c>
      <c r="B1290" s="3">
        <v>25</v>
      </c>
      <c r="C1290" s="3">
        <f t="shared" si="60"/>
        <v>25</v>
      </c>
      <c r="D1290" s="3">
        <f t="shared" si="62"/>
        <v>625</v>
      </c>
      <c r="E1290" s="3">
        <f t="shared" si="61"/>
        <v>625</v>
      </c>
    </row>
    <row r="1291" spans="1:5">
      <c r="A1291" s="3">
        <v>128.9</v>
      </c>
      <c r="B1291" s="3">
        <v>25</v>
      </c>
      <c r="C1291" s="3">
        <f t="shared" si="60"/>
        <v>25</v>
      </c>
      <c r="D1291" s="3">
        <f t="shared" si="62"/>
        <v>625</v>
      </c>
      <c r="E1291" s="3">
        <f t="shared" si="61"/>
        <v>625</v>
      </c>
    </row>
    <row r="1292" spans="1:5">
      <c r="A1292" s="3">
        <v>129</v>
      </c>
      <c r="B1292" s="3">
        <v>25</v>
      </c>
      <c r="C1292" s="3">
        <f t="shared" si="60"/>
        <v>25</v>
      </c>
      <c r="D1292" s="3">
        <f t="shared" si="62"/>
        <v>625</v>
      </c>
      <c r="E1292" s="3">
        <f t="shared" si="61"/>
        <v>625</v>
      </c>
    </row>
    <row r="1293" spans="1:5">
      <c r="A1293" s="3">
        <v>129.1</v>
      </c>
      <c r="B1293" s="3">
        <v>25</v>
      </c>
      <c r="C1293" s="3">
        <f t="shared" si="60"/>
        <v>25</v>
      </c>
      <c r="D1293" s="3">
        <f t="shared" si="62"/>
        <v>625</v>
      </c>
      <c r="E1293" s="3">
        <f t="shared" si="61"/>
        <v>625</v>
      </c>
    </row>
    <row r="1294" spans="1:5">
      <c r="A1294" s="3">
        <v>129.19999999999999</v>
      </c>
      <c r="B1294" s="3">
        <v>25</v>
      </c>
      <c r="C1294" s="3">
        <f t="shared" si="60"/>
        <v>25</v>
      </c>
      <c r="D1294" s="3">
        <f t="shared" si="62"/>
        <v>625</v>
      </c>
      <c r="E1294" s="3">
        <f t="shared" si="61"/>
        <v>625</v>
      </c>
    </row>
    <row r="1295" spans="1:5">
      <c r="A1295" s="3">
        <v>129.30000000000001</v>
      </c>
      <c r="B1295" s="3">
        <v>25</v>
      </c>
      <c r="C1295" s="3">
        <f t="shared" si="60"/>
        <v>25</v>
      </c>
      <c r="D1295" s="3">
        <f t="shared" si="62"/>
        <v>625</v>
      </c>
      <c r="E1295" s="3">
        <f t="shared" si="61"/>
        <v>625</v>
      </c>
    </row>
    <row r="1296" spans="1:5">
      <c r="A1296" s="3">
        <v>129.4</v>
      </c>
      <c r="B1296" s="3">
        <v>25</v>
      </c>
      <c r="C1296" s="3">
        <f t="shared" si="60"/>
        <v>25</v>
      </c>
      <c r="D1296" s="3">
        <f t="shared" si="62"/>
        <v>625</v>
      </c>
      <c r="E1296" s="3">
        <f t="shared" si="61"/>
        <v>625</v>
      </c>
    </row>
    <row r="1297" spans="1:5">
      <c r="A1297" s="3">
        <v>129.5</v>
      </c>
      <c r="B1297" s="3">
        <v>25</v>
      </c>
      <c r="C1297" s="3">
        <f t="shared" si="60"/>
        <v>25</v>
      </c>
      <c r="D1297" s="3">
        <f t="shared" si="62"/>
        <v>625</v>
      </c>
      <c r="E1297" s="3">
        <f t="shared" si="61"/>
        <v>625</v>
      </c>
    </row>
    <row r="1298" spans="1:5">
      <c r="A1298" s="3">
        <v>129.6</v>
      </c>
      <c r="B1298" s="3">
        <v>25</v>
      </c>
      <c r="C1298" s="3">
        <f t="shared" si="60"/>
        <v>25</v>
      </c>
      <c r="D1298" s="3">
        <f t="shared" si="62"/>
        <v>625</v>
      </c>
      <c r="E1298" s="3">
        <f t="shared" si="61"/>
        <v>625</v>
      </c>
    </row>
    <row r="1299" spans="1:5">
      <c r="A1299" s="3">
        <v>129.69999999999999</v>
      </c>
      <c r="B1299" s="3">
        <v>25</v>
      </c>
      <c r="C1299" s="3">
        <f t="shared" si="60"/>
        <v>25</v>
      </c>
      <c r="D1299" s="3">
        <f t="shared" si="62"/>
        <v>625</v>
      </c>
      <c r="E1299" s="3">
        <f t="shared" si="61"/>
        <v>625</v>
      </c>
    </row>
    <row r="1300" spans="1:5">
      <c r="A1300" s="3">
        <v>129.80000000000001</v>
      </c>
      <c r="B1300" s="3">
        <v>25</v>
      </c>
      <c r="C1300" s="3">
        <f t="shared" si="60"/>
        <v>25</v>
      </c>
      <c r="D1300" s="3">
        <f t="shared" si="62"/>
        <v>625</v>
      </c>
      <c r="E1300" s="3">
        <f t="shared" si="61"/>
        <v>625</v>
      </c>
    </row>
    <row r="1301" spans="1:5">
      <c r="A1301" s="3">
        <v>129.9</v>
      </c>
      <c r="B1301" s="3">
        <v>25</v>
      </c>
      <c r="C1301" s="3">
        <f t="shared" si="60"/>
        <v>25</v>
      </c>
      <c r="D1301" s="3">
        <f t="shared" si="62"/>
        <v>625</v>
      </c>
      <c r="E1301" s="3">
        <f t="shared" si="61"/>
        <v>625</v>
      </c>
    </row>
    <row r="1302" spans="1:5">
      <c r="A1302" s="3">
        <v>130</v>
      </c>
      <c r="B1302" s="3">
        <v>25</v>
      </c>
      <c r="C1302" s="3">
        <f t="shared" si="60"/>
        <v>25</v>
      </c>
      <c r="D1302" s="3">
        <f t="shared" si="62"/>
        <v>625</v>
      </c>
      <c r="E1302" s="3">
        <f t="shared" si="61"/>
        <v>625</v>
      </c>
    </row>
    <row r="1303" spans="1:5">
      <c r="A1303" s="3">
        <v>130.1</v>
      </c>
      <c r="B1303" s="3">
        <v>25</v>
      </c>
      <c r="C1303" s="3">
        <f t="shared" si="60"/>
        <v>25</v>
      </c>
      <c r="D1303" s="3">
        <f t="shared" si="62"/>
        <v>625</v>
      </c>
      <c r="E1303" s="3">
        <f t="shared" si="61"/>
        <v>625</v>
      </c>
    </row>
    <row r="1304" spans="1:5">
      <c r="A1304" s="3">
        <v>130.19999999999999</v>
      </c>
      <c r="B1304" s="3">
        <v>25</v>
      </c>
      <c r="C1304" s="3">
        <f t="shared" si="60"/>
        <v>25</v>
      </c>
      <c r="D1304" s="3">
        <f t="shared" si="62"/>
        <v>625</v>
      </c>
      <c r="E1304" s="3">
        <f t="shared" si="61"/>
        <v>625</v>
      </c>
    </row>
    <row r="1305" spans="1:5">
      <c r="A1305" s="3">
        <v>130.30000000000001</v>
      </c>
      <c r="B1305" s="3">
        <v>25</v>
      </c>
      <c r="C1305" s="3">
        <f t="shared" si="60"/>
        <v>25</v>
      </c>
      <c r="D1305" s="3">
        <f t="shared" si="62"/>
        <v>625</v>
      </c>
      <c r="E1305" s="3">
        <f t="shared" si="61"/>
        <v>625</v>
      </c>
    </row>
    <row r="1306" spans="1:5">
      <c r="A1306" s="3">
        <v>130.4</v>
      </c>
      <c r="B1306" s="3">
        <v>25</v>
      </c>
      <c r="C1306" s="3">
        <f t="shared" si="60"/>
        <v>25</v>
      </c>
      <c r="D1306" s="3">
        <f t="shared" si="62"/>
        <v>625</v>
      </c>
      <c r="E1306" s="3">
        <f t="shared" si="61"/>
        <v>625</v>
      </c>
    </row>
    <row r="1307" spans="1:5">
      <c r="A1307" s="3">
        <v>130.5</v>
      </c>
      <c r="B1307" s="3">
        <v>25</v>
      </c>
      <c r="C1307" s="3">
        <f t="shared" si="60"/>
        <v>25</v>
      </c>
      <c r="D1307" s="3">
        <f t="shared" si="62"/>
        <v>625</v>
      </c>
      <c r="E1307" s="3">
        <f t="shared" si="61"/>
        <v>625</v>
      </c>
    </row>
    <row r="1308" spans="1:5">
      <c r="A1308" s="3">
        <v>130.6</v>
      </c>
      <c r="B1308" s="3">
        <v>25</v>
      </c>
      <c r="C1308" s="3">
        <f t="shared" si="60"/>
        <v>25</v>
      </c>
      <c r="D1308" s="3">
        <f t="shared" si="62"/>
        <v>625</v>
      </c>
      <c r="E1308" s="3">
        <f t="shared" si="61"/>
        <v>625</v>
      </c>
    </row>
    <row r="1309" spans="1:5">
      <c r="A1309" s="3">
        <v>130.69999999999999</v>
      </c>
      <c r="B1309" s="3">
        <v>25</v>
      </c>
      <c r="C1309" s="3">
        <f t="shared" si="60"/>
        <v>25</v>
      </c>
      <c r="D1309" s="3">
        <f t="shared" si="62"/>
        <v>625</v>
      </c>
      <c r="E1309" s="3">
        <f t="shared" si="61"/>
        <v>625</v>
      </c>
    </row>
    <row r="1310" spans="1:5">
      <c r="A1310" s="3">
        <v>130.80000000000001</v>
      </c>
      <c r="B1310" s="3">
        <v>25</v>
      </c>
      <c r="C1310" s="3">
        <f t="shared" si="60"/>
        <v>25</v>
      </c>
      <c r="D1310" s="3">
        <f t="shared" si="62"/>
        <v>625</v>
      </c>
      <c r="E1310" s="3">
        <f t="shared" si="61"/>
        <v>625</v>
      </c>
    </row>
    <row r="1311" spans="1:5">
      <c r="A1311" s="3">
        <v>130.9</v>
      </c>
      <c r="B1311" s="3">
        <v>25</v>
      </c>
      <c r="C1311" s="3">
        <f t="shared" si="60"/>
        <v>25</v>
      </c>
      <c r="D1311" s="3">
        <f t="shared" si="62"/>
        <v>625</v>
      </c>
      <c r="E1311" s="3">
        <f t="shared" si="61"/>
        <v>625</v>
      </c>
    </row>
    <row r="1312" spans="1:5">
      <c r="A1312" s="3">
        <v>131</v>
      </c>
      <c r="B1312" s="3">
        <v>25</v>
      </c>
      <c r="C1312" s="3">
        <f t="shared" si="60"/>
        <v>25</v>
      </c>
      <c r="D1312" s="3">
        <f t="shared" si="62"/>
        <v>625</v>
      </c>
      <c r="E1312" s="3">
        <f t="shared" si="61"/>
        <v>625</v>
      </c>
    </row>
    <row r="1313" spans="1:5">
      <c r="A1313" s="3">
        <v>131.1</v>
      </c>
      <c r="B1313" s="3">
        <v>25</v>
      </c>
      <c r="C1313" s="3">
        <f t="shared" si="60"/>
        <v>25</v>
      </c>
      <c r="D1313" s="3">
        <f t="shared" si="62"/>
        <v>625</v>
      </c>
      <c r="E1313" s="3">
        <f t="shared" si="61"/>
        <v>625</v>
      </c>
    </row>
    <row r="1314" spans="1:5">
      <c r="A1314" s="3">
        <v>131.19999999999999</v>
      </c>
      <c r="B1314" s="3">
        <v>25</v>
      </c>
      <c r="C1314" s="3">
        <f t="shared" si="60"/>
        <v>25</v>
      </c>
      <c r="D1314" s="3">
        <f t="shared" si="62"/>
        <v>625</v>
      </c>
      <c r="E1314" s="3">
        <f t="shared" si="61"/>
        <v>625</v>
      </c>
    </row>
    <row r="1315" spans="1:5">
      <c r="A1315" s="3">
        <v>131.30000000000001</v>
      </c>
      <c r="B1315" s="3">
        <v>25</v>
      </c>
      <c r="C1315" s="3">
        <f t="shared" si="60"/>
        <v>25</v>
      </c>
      <c r="D1315" s="3">
        <f t="shared" si="62"/>
        <v>625</v>
      </c>
      <c r="E1315" s="3">
        <f t="shared" si="61"/>
        <v>625</v>
      </c>
    </row>
    <row r="1316" spans="1:5">
      <c r="A1316" s="3">
        <v>131.4</v>
      </c>
      <c r="B1316" s="3">
        <v>25</v>
      </c>
      <c r="C1316" s="3">
        <f t="shared" si="60"/>
        <v>25</v>
      </c>
      <c r="D1316" s="3">
        <f t="shared" si="62"/>
        <v>625</v>
      </c>
      <c r="E1316" s="3">
        <f t="shared" si="61"/>
        <v>625</v>
      </c>
    </row>
    <row r="1317" spans="1:5">
      <c r="A1317" s="3">
        <v>131.5</v>
      </c>
      <c r="B1317" s="3">
        <v>25</v>
      </c>
      <c r="C1317" s="3">
        <f t="shared" si="60"/>
        <v>25</v>
      </c>
      <c r="D1317" s="3">
        <f t="shared" si="62"/>
        <v>625</v>
      </c>
      <c r="E1317" s="3">
        <f t="shared" si="61"/>
        <v>625</v>
      </c>
    </row>
    <row r="1318" spans="1:5">
      <c r="A1318" s="3">
        <v>131.6</v>
      </c>
      <c r="B1318" s="3">
        <v>25</v>
      </c>
      <c r="C1318" s="3">
        <f t="shared" si="60"/>
        <v>25</v>
      </c>
      <c r="D1318" s="3">
        <f t="shared" si="62"/>
        <v>625</v>
      </c>
      <c r="E1318" s="3">
        <f t="shared" si="61"/>
        <v>625</v>
      </c>
    </row>
    <row r="1319" spans="1:5">
      <c r="A1319" s="3">
        <v>131.69999999999999</v>
      </c>
      <c r="B1319" s="3">
        <v>25</v>
      </c>
      <c r="C1319" s="3">
        <f t="shared" si="60"/>
        <v>25</v>
      </c>
      <c r="D1319" s="3">
        <f t="shared" si="62"/>
        <v>625</v>
      </c>
      <c r="E1319" s="3">
        <f t="shared" si="61"/>
        <v>625</v>
      </c>
    </row>
    <row r="1320" spans="1:5">
      <c r="A1320" s="3">
        <v>131.80000000000001</v>
      </c>
      <c r="B1320" s="3">
        <v>25</v>
      </c>
      <c r="C1320" s="3">
        <f t="shared" si="60"/>
        <v>25</v>
      </c>
      <c r="D1320" s="3">
        <f t="shared" si="62"/>
        <v>625</v>
      </c>
      <c r="E1320" s="3">
        <f t="shared" si="61"/>
        <v>625</v>
      </c>
    </row>
    <row r="1321" spans="1:5">
      <c r="A1321" s="3">
        <v>131.9</v>
      </c>
      <c r="B1321" s="3">
        <v>25</v>
      </c>
      <c r="C1321" s="3">
        <f t="shared" si="60"/>
        <v>25</v>
      </c>
      <c r="D1321" s="3">
        <f t="shared" si="62"/>
        <v>625</v>
      </c>
      <c r="E1321" s="3">
        <f t="shared" si="61"/>
        <v>625</v>
      </c>
    </row>
    <row r="1322" spans="1:5">
      <c r="A1322" s="3">
        <v>132</v>
      </c>
      <c r="B1322" s="3">
        <v>25</v>
      </c>
      <c r="C1322" s="3">
        <f t="shared" si="60"/>
        <v>25</v>
      </c>
      <c r="D1322" s="3">
        <f t="shared" si="62"/>
        <v>625</v>
      </c>
      <c r="E1322" s="3">
        <f t="shared" si="61"/>
        <v>625</v>
      </c>
    </row>
    <row r="1323" spans="1:5">
      <c r="A1323" s="3">
        <v>132.1</v>
      </c>
      <c r="B1323" s="3">
        <v>25</v>
      </c>
      <c r="C1323" s="3">
        <f t="shared" si="60"/>
        <v>25</v>
      </c>
      <c r="D1323" s="3">
        <f t="shared" si="62"/>
        <v>625</v>
      </c>
      <c r="E1323" s="3">
        <f t="shared" si="61"/>
        <v>625</v>
      </c>
    </row>
    <row r="1324" spans="1:5">
      <c r="A1324" s="3">
        <v>132.19999999999999</v>
      </c>
      <c r="B1324" s="3">
        <v>25</v>
      </c>
      <c r="C1324" s="3">
        <f t="shared" si="60"/>
        <v>25</v>
      </c>
      <c r="D1324" s="3">
        <f t="shared" si="62"/>
        <v>625</v>
      </c>
      <c r="E1324" s="3">
        <f t="shared" si="61"/>
        <v>625</v>
      </c>
    </row>
    <row r="1325" spans="1:5">
      <c r="A1325" s="3">
        <v>132.30000000000001</v>
      </c>
      <c r="B1325" s="3">
        <v>25</v>
      </c>
      <c r="C1325" s="3">
        <f t="shared" si="60"/>
        <v>25</v>
      </c>
      <c r="D1325" s="3">
        <f t="shared" si="62"/>
        <v>625</v>
      </c>
      <c r="E1325" s="3">
        <f t="shared" si="61"/>
        <v>625</v>
      </c>
    </row>
    <row r="1326" spans="1:5">
      <c r="A1326" s="3">
        <v>132.4</v>
      </c>
      <c r="B1326" s="3">
        <v>25</v>
      </c>
      <c r="C1326" s="3">
        <f t="shared" si="60"/>
        <v>25</v>
      </c>
      <c r="D1326" s="3">
        <f t="shared" si="62"/>
        <v>625</v>
      </c>
      <c r="E1326" s="3">
        <f t="shared" si="61"/>
        <v>625</v>
      </c>
    </row>
    <row r="1327" spans="1:5">
      <c r="A1327" s="3">
        <v>132.5</v>
      </c>
      <c r="B1327" s="3">
        <v>25</v>
      </c>
      <c r="C1327" s="3">
        <f t="shared" si="60"/>
        <v>25</v>
      </c>
      <c r="D1327" s="3">
        <f t="shared" si="62"/>
        <v>625</v>
      </c>
      <c r="E1327" s="3">
        <f t="shared" si="61"/>
        <v>625</v>
      </c>
    </row>
    <row r="1328" spans="1:5">
      <c r="A1328" s="3">
        <v>132.6</v>
      </c>
      <c r="B1328" s="3">
        <v>25</v>
      </c>
      <c r="C1328" s="3">
        <f t="shared" si="60"/>
        <v>25</v>
      </c>
      <c r="D1328" s="3">
        <f t="shared" si="62"/>
        <v>625</v>
      </c>
      <c r="E1328" s="3">
        <f t="shared" si="61"/>
        <v>625</v>
      </c>
    </row>
    <row r="1329" spans="1:5">
      <c r="A1329" s="3">
        <v>132.69999999999999</v>
      </c>
      <c r="B1329" s="3">
        <v>25</v>
      </c>
      <c r="C1329" s="3">
        <f t="shared" si="60"/>
        <v>25</v>
      </c>
      <c r="D1329" s="3">
        <f t="shared" si="62"/>
        <v>625</v>
      </c>
      <c r="E1329" s="3">
        <f t="shared" si="61"/>
        <v>625</v>
      </c>
    </row>
    <row r="1330" spans="1:5">
      <c r="A1330" s="3">
        <v>132.80000000000001</v>
      </c>
      <c r="B1330" s="3">
        <v>25</v>
      </c>
      <c r="C1330" s="3">
        <f t="shared" si="60"/>
        <v>25</v>
      </c>
      <c r="D1330" s="3">
        <f t="shared" si="62"/>
        <v>625</v>
      </c>
      <c r="E1330" s="3">
        <f t="shared" si="61"/>
        <v>625</v>
      </c>
    </row>
    <row r="1331" spans="1:5">
      <c r="A1331" s="3">
        <v>132.9</v>
      </c>
      <c r="B1331" s="3">
        <v>25</v>
      </c>
      <c r="C1331" s="3">
        <f t="shared" si="60"/>
        <v>25</v>
      </c>
      <c r="D1331" s="3">
        <f t="shared" si="62"/>
        <v>625</v>
      </c>
      <c r="E1331" s="3">
        <f t="shared" si="61"/>
        <v>625</v>
      </c>
    </row>
    <row r="1332" spans="1:5">
      <c r="A1332" s="3">
        <v>133</v>
      </c>
      <c r="B1332" s="3">
        <v>25</v>
      </c>
      <c r="C1332" s="3">
        <f t="shared" si="60"/>
        <v>25</v>
      </c>
      <c r="D1332" s="3">
        <f t="shared" si="62"/>
        <v>625</v>
      </c>
      <c r="E1332" s="3">
        <f t="shared" si="61"/>
        <v>625</v>
      </c>
    </row>
    <row r="1333" spans="1:5">
      <c r="A1333" s="3">
        <v>133.1</v>
      </c>
      <c r="B1333" s="3">
        <v>25</v>
      </c>
      <c r="C1333" s="3">
        <f t="shared" si="60"/>
        <v>25</v>
      </c>
      <c r="D1333" s="3">
        <f t="shared" si="62"/>
        <v>625</v>
      </c>
      <c r="E1333" s="3">
        <f t="shared" si="61"/>
        <v>625</v>
      </c>
    </row>
    <row r="1334" spans="1:5">
      <c r="A1334" s="3">
        <v>133.19999999999999</v>
      </c>
      <c r="B1334" s="3">
        <v>25</v>
      </c>
      <c r="C1334" s="3">
        <f t="shared" si="60"/>
        <v>25</v>
      </c>
      <c r="D1334" s="3">
        <f t="shared" si="62"/>
        <v>625</v>
      </c>
      <c r="E1334" s="3">
        <f t="shared" si="61"/>
        <v>625</v>
      </c>
    </row>
    <row r="1335" spans="1:5">
      <c r="A1335" s="3">
        <v>133.30000000000001</v>
      </c>
      <c r="B1335" s="3">
        <v>25</v>
      </c>
      <c r="C1335" s="3">
        <f t="shared" si="60"/>
        <v>25</v>
      </c>
      <c r="D1335" s="3">
        <f t="shared" si="62"/>
        <v>625</v>
      </c>
      <c r="E1335" s="3">
        <f t="shared" si="61"/>
        <v>625</v>
      </c>
    </row>
    <row r="1336" spans="1:5">
      <c r="A1336" s="3">
        <v>133.4</v>
      </c>
      <c r="B1336" s="3">
        <v>25</v>
      </c>
      <c r="C1336" s="3">
        <f t="shared" si="60"/>
        <v>25</v>
      </c>
      <c r="D1336" s="3">
        <f t="shared" si="62"/>
        <v>625</v>
      </c>
      <c r="E1336" s="3">
        <f t="shared" si="61"/>
        <v>625</v>
      </c>
    </row>
    <row r="1337" spans="1:5">
      <c r="A1337" s="3">
        <v>133.5</v>
      </c>
      <c r="B1337" s="3">
        <v>25</v>
      </c>
      <c r="C1337" s="3">
        <f t="shared" si="60"/>
        <v>25</v>
      </c>
      <c r="D1337" s="3">
        <f t="shared" si="62"/>
        <v>625</v>
      </c>
      <c r="E1337" s="3">
        <f t="shared" si="61"/>
        <v>625</v>
      </c>
    </row>
    <row r="1338" spans="1:5">
      <c r="A1338" s="3">
        <v>133.6</v>
      </c>
      <c r="B1338" s="3">
        <v>25</v>
      </c>
      <c r="C1338" s="3">
        <f t="shared" si="60"/>
        <v>25</v>
      </c>
      <c r="D1338" s="3">
        <f t="shared" si="62"/>
        <v>625</v>
      </c>
      <c r="E1338" s="3">
        <f t="shared" si="61"/>
        <v>625</v>
      </c>
    </row>
    <row r="1339" spans="1:5">
      <c r="A1339" s="3">
        <v>133.69999999999999</v>
      </c>
      <c r="B1339" s="3">
        <v>25</v>
      </c>
      <c r="C1339" s="3">
        <f t="shared" si="60"/>
        <v>25</v>
      </c>
      <c r="D1339" s="3">
        <f t="shared" si="62"/>
        <v>625</v>
      </c>
      <c r="E1339" s="3">
        <f t="shared" si="61"/>
        <v>625</v>
      </c>
    </row>
    <row r="1340" spans="1:5">
      <c r="A1340" s="3">
        <v>133.80000000000001</v>
      </c>
      <c r="B1340" s="3">
        <v>25</v>
      </c>
      <c r="C1340" s="3">
        <f t="shared" si="60"/>
        <v>25</v>
      </c>
      <c r="D1340" s="3">
        <f t="shared" si="62"/>
        <v>625</v>
      </c>
      <c r="E1340" s="3">
        <f t="shared" si="61"/>
        <v>625</v>
      </c>
    </row>
    <row r="1341" spans="1:5">
      <c r="A1341" s="3">
        <v>133.9</v>
      </c>
      <c r="B1341" s="3">
        <v>25</v>
      </c>
      <c r="C1341" s="3">
        <f t="shared" si="60"/>
        <v>25</v>
      </c>
      <c r="D1341" s="3">
        <f t="shared" si="62"/>
        <v>625</v>
      </c>
      <c r="E1341" s="3">
        <f t="shared" si="61"/>
        <v>625</v>
      </c>
    </row>
    <row r="1342" spans="1:5">
      <c r="A1342" s="3">
        <v>134</v>
      </c>
      <c r="B1342" s="3">
        <v>25</v>
      </c>
      <c r="C1342" s="3">
        <f t="shared" si="60"/>
        <v>25</v>
      </c>
      <c r="D1342" s="3">
        <f t="shared" si="62"/>
        <v>625</v>
      </c>
      <c r="E1342" s="3">
        <f t="shared" si="61"/>
        <v>625</v>
      </c>
    </row>
    <row r="1343" spans="1:5">
      <c r="A1343" s="3">
        <v>134.1</v>
      </c>
      <c r="B1343" s="3">
        <v>25</v>
      </c>
      <c r="C1343" s="3">
        <f t="shared" si="60"/>
        <v>25</v>
      </c>
      <c r="D1343" s="3">
        <f t="shared" si="62"/>
        <v>625</v>
      </c>
      <c r="E1343" s="3">
        <f t="shared" si="61"/>
        <v>625</v>
      </c>
    </row>
    <row r="1344" spans="1:5">
      <c r="A1344" s="3">
        <v>134.19999999999999</v>
      </c>
      <c r="B1344" s="3">
        <v>25</v>
      </c>
      <c r="C1344" s="3">
        <f t="shared" si="60"/>
        <v>25</v>
      </c>
      <c r="D1344" s="3">
        <f t="shared" si="62"/>
        <v>625</v>
      </c>
      <c r="E1344" s="3">
        <f t="shared" si="61"/>
        <v>625</v>
      </c>
    </row>
    <row r="1345" spans="1:5">
      <c r="A1345" s="3">
        <v>134.30000000000001</v>
      </c>
      <c r="B1345" s="3">
        <v>25</v>
      </c>
      <c r="C1345" s="3">
        <f t="shared" si="60"/>
        <v>25</v>
      </c>
      <c r="D1345" s="3">
        <f t="shared" si="62"/>
        <v>625</v>
      </c>
      <c r="E1345" s="3">
        <f t="shared" si="61"/>
        <v>625</v>
      </c>
    </row>
    <row r="1346" spans="1:5">
      <c r="A1346" s="3">
        <v>134.4</v>
      </c>
      <c r="B1346" s="3">
        <v>25</v>
      </c>
      <c r="C1346" s="3">
        <f t="shared" ref="C1346:C1409" si="63">ROUND(SQRT(E1346),2)</f>
        <v>25</v>
      </c>
      <c r="D1346" s="3">
        <f t="shared" si="62"/>
        <v>625</v>
      </c>
      <c r="E1346" s="3">
        <f t="shared" ref="E1346:E1409" si="64">MIN(D1346, E1347+$H$4)</f>
        <v>625</v>
      </c>
    </row>
    <row r="1347" spans="1:5">
      <c r="A1347" s="3">
        <v>134.5</v>
      </c>
      <c r="B1347" s="3">
        <v>25</v>
      </c>
      <c r="C1347" s="3">
        <f t="shared" si="63"/>
        <v>25</v>
      </c>
      <c r="D1347" s="3">
        <f t="shared" ref="D1347:D1410" si="65">MIN(B1347^2, D1346+$H$4)</f>
        <v>625</v>
      </c>
      <c r="E1347" s="3">
        <f t="shared" si="64"/>
        <v>625</v>
      </c>
    </row>
    <row r="1348" spans="1:5">
      <c r="A1348" s="3">
        <v>134.6</v>
      </c>
      <c r="B1348" s="3">
        <v>25</v>
      </c>
      <c r="C1348" s="3">
        <f t="shared" si="63"/>
        <v>25</v>
      </c>
      <c r="D1348" s="3">
        <f t="shared" si="65"/>
        <v>625</v>
      </c>
      <c r="E1348" s="3">
        <f t="shared" si="64"/>
        <v>625</v>
      </c>
    </row>
    <row r="1349" spans="1:5">
      <c r="A1349" s="3">
        <v>134.69999999999999</v>
      </c>
      <c r="B1349" s="3">
        <v>25</v>
      </c>
      <c r="C1349" s="3">
        <f t="shared" si="63"/>
        <v>25</v>
      </c>
      <c r="D1349" s="3">
        <f t="shared" si="65"/>
        <v>625</v>
      </c>
      <c r="E1349" s="3">
        <f t="shared" si="64"/>
        <v>625</v>
      </c>
    </row>
    <row r="1350" spans="1:5">
      <c r="A1350" s="3">
        <v>134.80000000000001</v>
      </c>
      <c r="B1350" s="3">
        <v>25</v>
      </c>
      <c r="C1350" s="3">
        <f t="shared" si="63"/>
        <v>25</v>
      </c>
      <c r="D1350" s="3">
        <f t="shared" si="65"/>
        <v>625</v>
      </c>
      <c r="E1350" s="3">
        <f t="shared" si="64"/>
        <v>625</v>
      </c>
    </row>
    <row r="1351" spans="1:5">
      <c r="A1351" s="3">
        <v>134.9</v>
      </c>
      <c r="B1351" s="3">
        <v>25</v>
      </c>
      <c r="C1351" s="3">
        <f t="shared" si="63"/>
        <v>25</v>
      </c>
      <c r="D1351" s="3">
        <f t="shared" si="65"/>
        <v>625</v>
      </c>
      <c r="E1351" s="3">
        <f t="shared" si="64"/>
        <v>625</v>
      </c>
    </row>
    <row r="1352" spans="1:5">
      <c r="A1352" s="3">
        <v>135</v>
      </c>
      <c r="B1352" s="3">
        <v>25</v>
      </c>
      <c r="C1352" s="3">
        <f t="shared" si="63"/>
        <v>25</v>
      </c>
      <c r="D1352" s="3">
        <f t="shared" si="65"/>
        <v>625</v>
      </c>
      <c r="E1352" s="3">
        <f t="shared" si="64"/>
        <v>625</v>
      </c>
    </row>
    <row r="1353" spans="1:5">
      <c r="A1353" s="3">
        <v>135.1</v>
      </c>
      <c r="B1353" s="3">
        <v>25</v>
      </c>
      <c r="C1353" s="3">
        <f t="shared" si="63"/>
        <v>25</v>
      </c>
      <c r="D1353" s="3">
        <f t="shared" si="65"/>
        <v>625</v>
      </c>
      <c r="E1353" s="3">
        <f t="shared" si="64"/>
        <v>625</v>
      </c>
    </row>
    <row r="1354" spans="1:5">
      <c r="A1354" s="3">
        <v>135.19999999999999</v>
      </c>
      <c r="B1354" s="3">
        <v>25</v>
      </c>
      <c r="C1354" s="3">
        <f t="shared" si="63"/>
        <v>25</v>
      </c>
      <c r="D1354" s="3">
        <f t="shared" si="65"/>
        <v>625</v>
      </c>
      <c r="E1354" s="3">
        <f t="shared" si="64"/>
        <v>625</v>
      </c>
    </row>
    <row r="1355" spans="1:5">
      <c r="A1355" s="3">
        <v>135.30000000000001</v>
      </c>
      <c r="B1355" s="3">
        <v>25</v>
      </c>
      <c r="C1355" s="3">
        <f t="shared" si="63"/>
        <v>25</v>
      </c>
      <c r="D1355" s="3">
        <f t="shared" si="65"/>
        <v>625</v>
      </c>
      <c r="E1355" s="3">
        <f t="shared" si="64"/>
        <v>625</v>
      </c>
    </row>
    <row r="1356" spans="1:5">
      <c r="A1356" s="3">
        <v>135.4</v>
      </c>
      <c r="B1356" s="3">
        <v>25</v>
      </c>
      <c r="C1356" s="3">
        <f t="shared" si="63"/>
        <v>25</v>
      </c>
      <c r="D1356" s="3">
        <f t="shared" si="65"/>
        <v>625</v>
      </c>
      <c r="E1356" s="3">
        <f t="shared" si="64"/>
        <v>625</v>
      </c>
    </row>
    <row r="1357" spans="1:5">
      <c r="A1357" s="3">
        <v>135.5</v>
      </c>
      <c r="B1357" s="3">
        <v>25</v>
      </c>
      <c r="C1357" s="3">
        <f t="shared" si="63"/>
        <v>25</v>
      </c>
      <c r="D1357" s="3">
        <f t="shared" si="65"/>
        <v>625</v>
      </c>
      <c r="E1357" s="3">
        <f t="shared" si="64"/>
        <v>625</v>
      </c>
    </row>
    <row r="1358" spans="1:5">
      <c r="A1358" s="3">
        <v>135.6</v>
      </c>
      <c r="B1358" s="3">
        <v>25</v>
      </c>
      <c r="C1358" s="3">
        <f t="shared" si="63"/>
        <v>25</v>
      </c>
      <c r="D1358" s="3">
        <f t="shared" si="65"/>
        <v>625</v>
      </c>
      <c r="E1358" s="3">
        <f t="shared" si="64"/>
        <v>625</v>
      </c>
    </row>
    <row r="1359" spans="1:5">
      <c r="A1359" s="3">
        <v>135.69999999999999</v>
      </c>
      <c r="B1359" s="3">
        <v>25</v>
      </c>
      <c r="C1359" s="3">
        <f t="shared" si="63"/>
        <v>25</v>
      </c>
      <c r="D1359" s="3">
        <f t="shared" si="65"/>
        <v>625</v>
      </c>
      <c r="E1359" s="3">
        <f t="shared" si="64"/>
        <v>625</v>
      </c>
    </row>
    <row r="1360" spans="1:5">
      <c r="A1360" s="3">
        <v>135.80000000000001</v>
      </c>
      <c r="B1360" s="3">
        <v>25</v>
      </c>
      <c r="C1360" s="3">
        <f t="shared" si="63"/>
        <v>25</v>
      </c>
      <c r="D1360" s="3">
        <f t="shared" si="65"/>
        <v>625</v>
      </c>
      <c r="E1360" s="3">
        <f t="shared" si="64"/>
        <v>625</v>
      </c>
    </row>
    <row r="1361" spans="1:5">
      <c r="A1361" s="3">
        <v>135.9</v>
      </c>
      <c r="B1361" s="3">
        <v>25</v>
      </c>
      <c r="C1361" s="3">
        <f t="shared" si="63"/>
        <v>25</v>
      </c>
      <c r="D1361" s="3">
        <f t="shared" si="65"/>
        <v>625</v>
      </c>
      <c r="E1361" s="3">
        <f t="shared" si="64"/>
        <v>625</v>
      </c>
    </row>
    <row r="1362" spans="1:5">
      <c r="A1362" s="3">
        <v>136</v>
      </c>
      <c r="B1362" s="3">
        <v>25</v>
      </c>
      <c r="C1362" s="3">
        <f t="shared" si="63"/>
        <v>25</v>
      </c>
      <c r="D1362" s="3">
        <f t="shared" si="65"/>
        <v>625</v>
      </c>
      <c r="E1362" s="3">
        <f t="shared" si="64"/>
        <v>625</v>
      </c>
    </row>
    <row r="1363" spans="1:5">
      <c r="A1363" s="3">
        <v>136.1</v>
      </c>
      <c r="B1363" s="3">
        <v>25</v>
      </c>
      <c r="C1363" s="3">
        <f t="shared" si="63"/>
        <v>25</v>
      </c>
      <c r="D1363" s="3">
        <f t="shared" si="65"/>
        <v>625</v>
      </c>
      <c r="E1363" s="3">
        <f t="shared" si="64"/>
        <v>625</v>
      </c>
    </row>
    <row r="1364" spans="1:5">
      <c r="A1364" s="3">
        <v>136.19999999999999</v>
      </c>
      <c r="B1364" s="3">
        <v>25</v>
      </c>
      <c r="C1364" s="3">
        <f t="shared" si="63"/>
        <v>25</v>
      </c>
      <c r="D1364" s="3">
        <f t="shared" si="65"/>
        <v>625</v>
      </c>
      <c r="E1364" s="3">
        <f t="shared" si="64"/>
        <v>625</v>
      </c>
    </row>
    <row r="1365" spans="1:5">
      <c r="A1365" s="3">
        <v>136.30000000000001</v>
      </c>
      <c r="B1365" s="3">
        <v>25</v>
      </c>
      <c r="C1365" s="3">
        <f t="shared" si="63"/>
        <v>25</v>
      </c>
      <c r="D1365" s="3">
        <f t="shared" si="65"/>
        <v>625</v>
      </c>
      <c r="E1365" s="3">
        <f t="shared" si="64"/>
        <v>625</v>
      </c>
    </row>
    <row r="1366" spans="1:5">
      <c r="A1366" s="3">
        <v>136.4</v>
      </c>
      <c r="B1366" s="3">
        <v>25</v>
      </c>
      <c r="C1366" s="3">
        <f t="shared" si="63"/>
        <v>25</v>
      </c>
      <c r="D1366" s="3">
        <f t="shared" si="65"/>
        <v>625</v>
      </c>
      <c r="E1366" s="3">
        <f t="shared" si="64"/>
        <v>625</v>
      </c>
    </row>
    <row r="1367" spans="1:5">
      <c r="A1367" s="3">
        <v>136.5</v>
      </c>
      <c r="B1367" s="3">
        <v>25</v>
      </c>
      <c r="C1367" s="3">
        <f t="shared" si="63"/>
        <v>25</v>
      </c>
      <c r="D1367" s="3">
        <f t="shared" si="65"/>
        <v>625</v>
      </c>
      <c r="E1367" s="3">
        <f t="shared" si="64"/>
        <v>625</v>
      </c>
    </row>
    <row r="1368" spans="1:5">
      <c r="A1368" s="3">
        <v>136.6</v>
      </c>
      <c r="B1368" s="3">
        <v>25</v>
      </c>
      <c r="C1368" s="3">
        <f t="shared" si="63"/>
        <v>25</v>
      </c>
      <c r="D1368" s="3">
        <f t="shared" si="65"/>
        <v>625</v>
      </c>
      <c r="E1368" s="3">
        <f t="shared" si="64"/>
        <v>625</v>
      </c>
    </row>
    <row r="1369" spans="1:5">
      <c r="A1369" s="3">
        <v>136.69999999999999</v>
      </c>
      <c r="B1369" s="3">
        <v>25</v>
      </c>
      <c r="C1369" s="3">
        <f t="shared" si="63"/>
        <v>25</v>
      </c>
      <c r="D1369" s="3">
        <f t="shared" si="65"/>
        <v>625</v>
      </c>
      <c r="E1369" s="3">
        <f t="shared" si="64"/>
        <v>625</v>
      </c>
    </row>
    <row r="1370" spans="1:5">
      <c r="A1370" s="3">
        <v>136.80000000000001</v>
      </c>
      <c r="B1370" s="3">
        <v>25</v>
      </c>
      <c r="C1370" s="3">
        <f t="shared" si="63"/>
        <v>25</v>
      </c>
      <c r="D1370" s="3">
        <f t="shared" si="65"/>
        <v>625</v>
      </c>
      <c r="E1370" s="3">
        <f t="shared" si="64"/>
        <v>625</v>
      </c>
    </row>
    <row r="1371" spans="1:5">
      <c r="A1371" s="3">
        <v>136.9</v>
      </c>
      <c r="B1371" s="3">
        <v>25</v>
      </c>
      <c r="C1371" s="3">
        <f t="shared" si="63"/>
        <v>25</v>
      </c>
      <c r="D1371" s="3">
        <f t="shared" si="65"/>
        <v>625</v>
      </c>
      <c r="E1371" s="3">
        <f t="shared" si="64"/>
        <v>625</v>
      </c>
    </row>
    <row r="1372" spans="1:5">
      <c r="A1372" s="3">
        <v>137</v>
      </c>
      <c r="B1372" s="3">
        <v>25</v>
      </c>
      <c r="C1372" s="3">
        <f t="shared" si="63"/>
        <v>25</v>
      </c>
      <c r="D1372" s="3">
        <f t="shared" si="65"/>
        <v>625</v>
      </c>
      <c r="E1372" s="3">
        <f t="shared" si="64"/>
        <v>625</v>
      </c>
    </row>
    <row r="1373" spans="1:5">
      <c r="A1373" s="3">
        <v>137.1</v>
      </c>
      <c r="B1373" s="3">
        <v>25</v>
      </c>
      <c r="C1373" s="3">
        <f t="shared" si="63"/>
        <v>25</v>
      </c>
      <c r="D1373" s="3">
        <f t="shared" si="65"/>
        <v>625</v>
      </c>
      <c r="E1373" s="3">
        <f t="shared" si="64"/>
        <v>625</v>
      </c>
    </row>
    <row r="1374" spans="1:5">
      <c r="A1374" s="3">
        <v>137.19999999999999</v>
      </c>
      <c r="B1374" s="3">
        <v>25</v>
      </c>
      <c r="C1374" s="3">
        <f t="shared" si="63"/>
        <v>25</v>
      </c>
      <c r="D1374" s="3">
        <f t="shared" si="65"/>
        <v>625</v>
      </c>
      <c r="E1374" s="3">
        <f t="shared" si="64"/>
        <v>625</v>
      </c>
    </row>
    <row r="1375" spans="1:5">
      <c r="A1375" s="3">
        <v>137.30000000000001</v>
      </c>
      <c r="B1375" s="3">
        <v>25</v>
      </c>
      <c r="C1375" s="3">
        <f t="shared" si="63"/>
        <v>25</v>
      </c>
      <c r="D1375" s="3">
        <f t="shared" si="65"/>
        <v>625</v>
      </c>
      <c r="E1375" s="3">
        <f t="shared" si="64"/>
        <v>625</v>
      </c>
    </row>
    <row r="1376" spans="1:5">
      <c r="A1376" s="3">
        <v>137.4</v>
      </c>
      <c r="B1376" s="3">
        <v>25</v>
      </c>
      <c r="C1376" s="3">
        <f t="shared" si="63"/>
        <v>25</v>
      </c>
      <c r="D1376" s="3">
        <f t="shared" si="65"/>
        <v>625</v>
      </c>
      <c r="E1376" s="3">
        <f t="shared" si="64"/>
        <v>625</v>
      </c>
    </row>
    <row r="1377" spans="1:5">
      <c r="A1377" s="3">
        <v>137.5</v>
      </c>
      <c r="B1377" s="3">
        <v>25</v>
      </c>
      <c r="C1377" s="3">
        <f t="shared" si="63"/>
        <v>25</v>
      </c>
      <c r="D1377" s="3">
        <f t="shared" si="65"/>
        <v>625</v>
      </c>
      <c r="E1377" s="3">
        <f t="shared" si="64"/>
        <v>625</v>
      </c>
    </row>
    <row r="1378" spans="1:5">
      <c r="A1378" s="3">
        <v>137.6</v>
      </c>
      <c r="B1378" s="3">
        <v>25</v>
      </c>
      <c r="C1378" s="3">
        <f t="shared" si="63"/>
        <v>25</v>
      </c>
      <c r="D1378" s="3">
        <f t="shared" si="65"/>
        <v>625</v>
      </c>
      <c r="E1378" s="3">
        <f t="shared" si="64"/>
        <v>625</v>
      </c>
    </row>
    <row r="1379" spans="1:5">
      <c r="A1379" s="3">
        <v>137.69999999999999</v>
      </c>
      <c r="B1379" s="3">
        <v>25</v>
      </c>
      <c r="C1379" s="3">
        <f t="shared" si="63"/>
        <v>25</v>
      </c>
      <c r="D1379" s="3">
        <f t="shared" si="65"/>
        <v>625</v>
      </c>
      <c r="E1379" s="3">
        <f t="shared" si="64"/>
        <v>625</v>
      </c>
    </row>
    <row r="1380" spans="1:5">
      <c r="A1380" s="3">
        <v>137.80000000000001</v>
      </c>
      <c r="B1380" s="3">
        <v>25</v>
      </c>
      <c r="C1380" s="3">
        <f t="shared" si="63"/>
        <v>25</v>
      </c>
      <c r="D1380" s="3">
        <f t="shared" si="65"/>
        <v>625</v>
      </c>
      <c r="E1380" s="3">
        <f t="shared" si="64"/>
        <v>625</v>
      </c>
    </row>
    <row r="1381" spans="1:5">
      <c r="A1381" s="3">
        <v>137.9</v>
      </c>
      <c r="B1381" s="3">
        <v>25</v>
      </c>
      <c r="C1381" s="3">
        <f t="shared" si="63"/>
        <v>25</v>
      </c>
      <c r="D1381" s="3">
        <f t="shared" si="65"/>
        <v>625</v>
      </c>
      <c r="E1381" s="3">
        <f t="shared" si="64"/>
        <v>625</v>
      </c>
    </row>
    <row r="1382" spans="1:5">
      <c r="A1382" s="3">
        <v>138</v>
      </c>
      <c r="B1382" s="3">
        <v>25</v>
      </c>
      <c r="C1382" s="3">
        <f t="shared" si="63"/>
        <v>25</v>
      </c>
      <c r="D1382" s="3">
        <f t="shared" si="65"/>
        <v>625</v>
      </c>
      <c r="E1382" s="3">
        <f t="shared" si="64"/>
        <v>625</v>
      </c>
    </row>
    <row r="1383" spans="1:5">
      <c r="A1383" s="3">
        <v>138.1</v>
      </c>
      <c r="B1383" s="3">
        <v>25</v>
      </c>
      <c r="C1383" s="3">
        <f t="shared" si="63"/>
        <v>25</v>
      </c>
      <c r="D1383" s="3">
        <f t="shared" si="65"/>
        <v>625</v>
      </c>
      <c r="E1383" s="3">
        <f t="shared" si="64"/>
        <v>625</v>
      </c>
    </row>
    <row r="1384" spans="1:5">
      <c r="A1384" s="3">
        <v>138.19999999999999</v>
      </c>
      <c r="B1384" s="3">
        <v>25</v>
      </c>
      <c r="C1384" s="3">
        <f t="shared" si="63"/>
        <v>25</v>
      </c>
      <c r="D1384" s="3">
        <f t="shared" si="65"/>
        <v>625</v>
      </c>
      <c r="E1384" s="3">
        <f t="shared" si="64"/>
        <v>625</v>
      </c>
    </row>
    <row r="1385" spans="1:5">
      <c r="A1385" s="3">
        <v>138.30000000000001</v>
      </c>
      <c r="B1385" s="3">
        <v>25</v>
      </c>
      <c r="C1385" s="3">
        <f t="shared" si="63"/>
        <v>25</v>
      </c>
      <c r="D1385" s="3">
        <f t="shared" si="65"/>
        <v>625</v>
      </c>
      <c r="E1385" s="3">
        <f t="shared" si="64"/>
        <v>625</v>
      </c>
    </row>
    <row r="1386" spans="1:5">
      <c r="A1386" s="3">
        <v>138.4</v>
      </c>
      <c r="B1386" s="3">
        <v>25</v>
      </c>
      <c r="C1386" s="3">
        <f t="shared" si="63"/>
        <v>25</v>
      </c>
      <c r="D1386" s="3">
        <f t="shared" si="65"/>
        <v>625</v>
      </c>
      <c r="E1386" s="3">
        <f t="shared" si="64"/>
        <v>625</v>
      </c>
    </row>
    <row r="1387" spans="1:5">
      <c r="A1387" s="3">
        <v>138.5</v>
      </c>
      <c r="B1387" s="3">
        <v>25</v>
      </c>
      <c r="C1387" s="3">
        <f t="shared" si="63"/>
        <v>25</v>
      </c>
      <c r="D1387" s="3">
        <f t="shared" si="65"/>
        <v>625</v>
      </c>
      <c r="E1387" s="3">
        <f t="shared" si="64"/>
        <v>625</v>
      </c>
    </row>
    <row r="1388" spans="1:5">
      <c r="A1388" s="3">
        <v>138.6</v>
      </c>
      <c r="B1388" s="3">
        <v>25</v>
      </c>
      <c r="C1388" s="3">
        <f t="shared" si="63"/>
        <v>25</v>
      </c>
      <c r="D1388" s="3">
        <f t="shared" si="65"/>
        <v>625</v>
      </c>
      <c r="E1388" s="3">
        <f t="shared" si="64"/>
        <v>625</v>
      </c>
    </row>
    <row r="1389" spans="1:5">
      <c r="A1389" s="3">
        <v>138.69999999999999</v>
      </c>
      <c r="B1389" s="3">
        <v>25</v>
      </c>
      <c r="C1389" s="3">
        <f t="shared" si="63"/>
        <v>25</v>
      </c>
      <c r="D1389" s="3">
        <f t="shared" si="65"/>
        <v>625</v>
      </c>
      <c r="E1389" s="3">
        <f t="shared" si="64"/>
        <v>625</v>
      </c>
    </row>
    <row r="1390" spans="1:5">
      <c r="A1390" s="3">
        <v>138.80000000000001</v>
      </c>
      <c r="B1390" s="3">
        <v>25</v>
      </c>
      <c r="C1390" s="3">
        <f t="shared" si="63"/>
        <v>25</v>
      </c>
      <c r="D1390" s="3">
        <f t="shared" si="65"/>
        <v>625</v>
      </c>
      <c r="E1390" s="3">
        <f t="shared" si="64"/>
        <v>625</v>
      </c>
    </row>
    <row r="1391" spans="1:5">
      <c r="A1391" s="3">
        <v>138.9</v>
      </c>
      <c r="B1391" s="3">
        <v>25</v>
      </c>
      <c r="C1391" s="3">
        <f t="shared" si="63"/>
        <v>25</v>
      </c>
      <c r="D1391" s="3">
        <f t="shared" si="65"/>
        <v>625</v>
      </c>
      <c r="E1391" s="3">
        <f t="shared" si="64"/>
        <v>625</v>
      </c>
    </row>
    <row r="1392" spans="1:5">
      <c r="A1392" s="3">
        <v>139</v>
      </c>
      <c r="B1392" s="3">
        <v>25</v>
      </c>
      <c r="C1392" s="3">
        <f t="shared" si="63"/>
        <v>25</v>
      </c>
      <c r="D1392" s="3">
        <f t="shared" si="65"/>
        <v>625</v>
      </c>
      <c r="E1392" s="3">
        <f t="shared" si="64"/>
        <v>625</v>
      </c>
    </row>
    <row r="1393" spans="1:5">
      <c r="A1393" s="3">
        <v>139.1</v>
      </c>
      <c r="B1393" s="3">
        <v>25</v>
      </c>
      <c r="C1393" s="3">
        <f t="shared" si="63"/>
        <v>25</v>
      </c>
      <c r="D1393" s="3">
        <f t="shared" si="65"/>
        <v>625</v>
      </c>
      <c r="E1393" s="3">
        <f t="shared" si="64"/>
        <v>625</v>
      </c>
    </row>
    <row r="1394" spans="1:5">
      <c r="A1394" s="3">
        <v>139.19999999999999</v>
      </c>
      <c r="B1394" s="3">
        <v>25</v>
      </c>
      <c r="C1394" s="3">
        <f t="shared" si="63"/>
        <v>25</v>
      </c>
      <c r="D1394" s="3">
        <f t="shared" si="65"/>
        <v>625</v>
      </c>
      <c r="E1394" s="3">
        <f t="shared" si="64"/>
        <v>625</v>
      </c>
    </row>
    <row r="1395" spans="1:5">
      <c r="A1395" s="3">
        <v>139.30000000000001</v>
      </c>
      <c r="B1395" s="3">
        <v>25</v>
      </c>
      <c r="C1395" s="3">
        <f t="shared" si="63"/>
        <v>25</v>
      </c>
      <c r="D1395" s="3">
        <f t="shared" si="65"/>
        <v>625</v>
      </c>
      <c r="E1395" s="3">
        <f t="shared" si="64"/>
        <v>625</v>
      </c>
    </row>
    <row r="1396" spans="1:5">
      <c r="A1396" s="3">
        <v>139.4</v>
      </c>
      <c r="B1396" s="3">
        <v>25</v>
      </c>
      <c r="C1396" s="3">
        <f t="shared" si="63"/>
        <v>25</v>
      </c>
      <c r="D1396" s="3">
        <f t="shared" si="65"/>
        <v>625</v>
      </c>
      <c r="E1396" s="3">
        <f t="shared" si="64"/>
        <v>625</v>
      </c>
    </row>
    <row r="1397" spans="1:5">
      <c r="A1397" s="3">
        <v>139.5</v>
      </c>
      <c r="B1397" s="3">
        <v>25</v>
      </c>
      <c r="C1397" s="3">
        <f t="shared" si="63"/>
        <v>25</v>
      </c>
      <c r="D1397" s="3">
        <f t="shared" si="65"/>
        <v>625</v>
      </c>
      <c r="E1397" s="3">
        <f t="shared" si="64"/>
        <v>625</v>
      </c>
    </row>
    <row r="1398" spans="1:5">
      <c r="A1398" s="3">
        <v>139.6</v>
      </c>
      <c r="B1398" s="3">
        <v>25</v>
      </c>
      <c r="C1398" s="3">
        <f t="shared" si="63"/>
        <v>25</v>
      </c>
      <c r="D1398" s="3">
        <f t="shared" si="65"/>
        <v>625</v>
      </c>
      <c r="E1398" s="3">
        <f t="shared" si="64"/>
        <v>625</v>
      </c>
    </row>
    <row r="1399" spans="1:5">
      <c r="A1399" s="3">
        <v>139.69999999999999</v>
      </c>
      <c r="B1399" s="3">
        <v>25</v>
      </c>
      <c r="C1399" s="3">
        <f t="shared" si="63"/>
        <v>25</v>
      </c>
      <c r="D1399" s="3">
        <f t="shared" si="65"/>
        <v>625</v>
      </c>
      <c r="E1399" s="3">
        <f t="shared" si="64"/>
        <v>625</v>
      </c>
    </row>
    <row r="1400" spans="1:5">
      <c r="A1400" s="3">
        <v>139.80000000000001</v>
      </c>
      <c r="B1400" s="3">
        <v>25</v>
      </c>
      <c r="C1400" s="3">
        <f t="shared" si="63"/>
        <v>25</v>
      </c>
      <c r="D1400" s="3">
        <f t="shared" si="65"/>
        <v>625</v>
      </c>
      <c r="E1400" s="3">
        <f t="shared" si="64"/>
        <v>625</v>
      </c>
    </row>
    <row r="1401" spans="1:5">
      <c r="A1401" s="3">
        <v>139.9</v>
      </c>
      <c r="B1401" s="3">
        <v>25</v>
      </c>
      <c r="C1401" s="3">
        <f t="shared" si="63"/>
        <v>25</v>
      </c>
      <c r="D1401" s="3">
        <f t="shared" si="65"/>
        <v>625</v>
      </c>
      <c r="E1401" s="3">
        <f t="shared" si="64"/>
        <v>625</v>
      </c>
    </row>
    <row r="1402" spans="1:5">
      <c r="A1402" s="3">
        <v>140</v>
      </c>
      <c r="B1402" s="3">
        <v>25</v>
      </c>
      <c r="C1402" s="3">
        <f t="shared" si="63"/>
        <v>25</v>
      </c>
      <c r="D1402" s="3">
        <f t="shared" si="65"/>
        <v>625</v>
      </c>
      <c r="E1402" s="3">
        <f t="shared" si="64"/>
        <v>625</v>
      </c>
    </row>
    <row r="1403" spans="1:5">
      <c r="A1403" s="3">
        <v>140.1</v>
      </c>
      <c r="B1403" s="3">
        <v>25</v>
      </c>
      <c r="C1403" s="3">
        <f t="shared" si="63"/>
        <v>25</v>
      </c>
      <c r="D1403" s="3">
        <f t="shared" si="65"/>
        <v>625</v>
      </c>
      <c r="E1403" s="3">
        <f t="shared" si="64"/>
        <v>625</v>
      </c>
    </row>
    <row r="1404" spans="1:5">
      <c r="A1404" s="3">
        <v>140.19999999999999</v>
      </c>
      <c r="B1404" s="3">
        <v>25</v>
      </c>
      <c r="C1404" s="3">
        <f t="shared" si="63"/>
        <v>25</v>
      </c>
      <c r="D1404" s="3">
        <f t="shared" si="65"/>
        <v>625</v>
      </c>
      <c r="E1404" s="3">
        <f t="shared" si="64"/>
        <v>625</v>
      </c>
    </row>
    <row r="1405" spans="1:5">
      <c r="A1405" s="3">
        <v>140.30000000000001</v>
      </c>
      <c r="B1405" s="3">
        <v>25</v>
      </c>
      <c r="C1405" s="3">
        <f t="shared" si="63"/>
        <v>25</v>
      </c>
      <c r="D1405" s="3">
        <f t="shared" si="65"/>
        <v>625</v>
      </c>
      <c r="E1405" s="3">
        <f t="shared" si="64"/>
        <v>625</v>
      </c>
    </row>
    <row r="1406" spans="1:5">
      <c r="A1406" s="3">
        <v>140.4</v>
      </c>
      <c r="B1406" s="3">
        <v>25</v>
      </c>
      <c r="C1406" s="3">
        <f t="shared" si="63"/>
        <v>25</v>
      </c>
      <c r="D1406" s="3">
        <f t="shared" si="65"/>
        <v>625</v>
      </c>
      <c r="E1406" s="3">
        <f t="shared" si="64"/>
        <v>625</v>
      </c>
    </row>
    <row r="1407" spans="1:5">
      <c r="A1407" s="3">
        <v>140.5</v>
      </c>
      <c r="B1407" s="3">
        <v>25</v>
      </c>
      <c r="C1407" s="3">
        <f t="shared" si="63"/>
        <v>25</v>
      </c>
      <c r="D1407" s="3">
        <f t="shared" si="65"/>
        <v>625</v>
      </c>
      <c r="E1407" s="3">
        <f t="shared" si="64"/>
        <v>625</v>
      </c>
    </row>
    <row r="1408" spans="1:5">
      <c r="A1408" s="3">
        <v>140.6</v>
      </c>
      <c r="B1408" s="3">
        <v>25</v>
      </c>
      <c r="C1408" s="3">
        <f t="shared" si="63"/>
        <v>25</v>
      </c>
      <c r="D1408" s="3">
        <f t="shared" si="65"/>
        <v>625</v>
      </c>
      <c r="E1408" s="3">
        <f t="shared" si="64"/>
        <v>625</v>
      </c>
    </row>
    <row r="1409" spans="1:5">
      <c r="A1409" s="3">
        <v>140.69999999999999</v>
      </c>
      <c r="B1409" s="3">
        <v>25</v>
      </c>
      <c r="C1409" s="3">
        <f t="shared" si="63"/>
        <v>25</v>
      </c>
      <c r="D1409" s="3">
        <f t="shared" si="65"/>
        <v>625</v>
      </c>
      <c r="E1409" s="3">
        <f t="shared" si="64"/>
        <v>625</v>
      </c>
    </row>
    <row r="1410" spans="1:5">
      <c r="A1410" s="3">
        <v>140.80000000000001</v>
      </c>
      <c r="B1410" s="3">
        <v>25</v>
      </c>
      <c r="C1410" s="3">
        <f t="shared" ref="C1410:C1473" si="66">ROUND(SQRT(E1410),2)</f>
        <v>25</v>
      </c>
      <c r="D1410" s="3">
        <f t="shared" si="65"/>
        <v>625</v>
      </c>
      <c r="E1410" s="3">
        <f t="shared" ref="E1410:E1473" si="67">MIN(D1410, E1411+$H$4)</f>
        <v>625</v>
      </c>
    </row>
    <row r="1411" spans="1:5">
      <c r="A1411" s="3">
        <v>140.9</v>
      </c>
      <c r="B1411" s="3">
        <v>25</v>
      </c>
      <c r="C1411" s="3">
        <f t="shared" si="66"/>
        <v>25</v>
      </c>
      <c r="D1411" s="3">
        <f t="shared" ref="D1411:D1474" si="68">MIN(B1411^2, D1410+$H$4)</f>
        <v>625</v>
      </c>
      <c r="E1411" s="3">
        <f t="shared" si="67"/>
        <v>625</v>
      </c>
    </row>
    <row r="1412" spans="1:5">
      <c r="A1412" s="3">
        <v>141</v>
      </c>
      <c r="B1412" s="3">
        <v>25</v>
      </c>
      <c r="C1412" s="3">
        <f t="shared" si="66"/>
        <v>25</v>
      </c>
      <c r="D1412" s="3">
        <f t="shared" si="68"/>
        <v>625</v>
      </c>
      <c r="E1412" s="3">
        <f t="shared" si="67"/>
        <v>625</v>
      </c>
    </row>
    <row r="1413" spans="1:5">
      <c r="A1413" s="3">
        <v>141.1</v>
      </c>
      <c r="B1413" s="3">
        <v>25</v>
      </c>
      <c r="C1413" s="3">
        <f t="shared" si="66"/>
        <v>25</v>
      </c>
      <c r="D1413" s="3">
        <f t="shared" si="68"/>
        <v>625</v>
      </c>
      <c r="E1413" s="3">
        <f t="shared" si="67"/>
        <v>625</v>
      </c>
    </row>
    <row r="1414" spans="1:5">
      <c r="A1414" s="3">
        <v>141.19999999999999</v>
      </c>
      <c r="B1414" s="3">
        <v>25</v>
      </c>
      <c r="C1414" s="3">
        <f t="shared" si="66"/>
        <v>25</v>
      </c>
      <c r="D1414" s="3">
        <f t="shared" si="68"/>
        <v>625</v>
      </c>
      <c r="E1414" s="3">
        <f t="shared" si="67"/>
        <v>625</v>
      </c>
    </row>
    <row r="1415" spans="1:5">
      <c r="A1415" s="3">
        <v>141.30000000000001</v>
      </c>
      <c r="B1415" s="3">
        <v>25</v>
      </c>
      <c r="C1415" s="3">
        <f t="shared" si="66"/>
        <v>25</v>
      </c>
      <c r="D1415" s="3">
        <f t="shared" si="68"/>
        <v>625</v>
      </c>
      <c r="E1415" s="3">
        <f t="shared" si="67"/>
        <v>625</v>
      </c>
    </row>
    <row r="1416" spans="1:5">
      <c r="A1416" s="3">
        <v>141.4</v>
      </c>
      <c r="B1416" s="3">
        <v>25</v>
      </c>
      <c r="C1416" s="3">
        <f t="shared" si="66"/>
        <v>25</v>
      </c>
      <c r="D1416" s="3">
        <f t="shared" si="68"/>
        <v>625</v>
      </c>
      <c r="E1416" s="3">
        <f t="shared" si="67"/>
        <v>625</v>
      </c>
    </row>
    <row r="1417" spans="1:5">
      <c r="A1417" s="3">
        <v>141.5</v>
      </c>
      <c r="B1417" s="3">
        <v>25</v>
      </c>
      <c r="C1417" s="3">
        <f t="shared" si="66"/>
        <v>25</v>
      </c>
      <c r="D1417" s="3">
        <f t="shared" si="68"/>
        <v>625</v>
      </c>
      <c r="E1417" s="3">
        <f t="shared" si="67"/>
        <v>625</v>
      </c>
    </row>
    <row r="1418" spans="1:5">
      <c r="A1418" s="3">
        <v>141.6</v>
      </c>
      <c r="B1418" s="3">
        <v>25</v>
      </c>
      <c r="C1418" s="3">
        <f t="shared" si="66"/>
        <v>25</v>
      </c>
      <c r="D1418" s="3">
        <f t="shared" si="68"/>
        <v>625</v>
      </c>
      <c r="E1418" s="3">
        <f t="shared" si="67"/>
        <v>625</v>
      </c>
    </row>
    <row r="1419" spans="1:5">
      <c r="A1419" s="3">
        <v>141.69999999999999</v>
      </c>
      <c r="B1419" s="3">
        <v>25</v>
      </c>
      <c r="C1419" s="3">
        <f t="shared" si="66"/>
        <v>25</v>
      </c>
      <c r="D1419" s="3">
        <f t="shared" si="68"/>
        <v>625</v>
      </c>
      <c r="E1419" s="3">
        <f t="shared" si="67"/>
        <v>625</v>
      </c>
    </row>
    <row r="1420" spans="1:5">
      <c r="A1420" s="3">
        <v>141.80000000000001</v>
      </c>
      <c r="B1420" s="3">
        <v>25</v>
      </c>
      <c r="C1420" s="3">
        <f t="shared" si="66"/>
        <v>25</v>
      </c>
      <c r="D1420" s="3">
        <f t="shared" si="68"/>
        <v>625</v>
      </c>
      <c r="E1420" s="3">
        <f t="shared" si="67"/>
        <v>625</v>
      </c>
    </row>
    <row r="1421" spans="1:5">
      <c r="A1421" s="3">
        <v>141.9</v>
      </c>
      <c r="B1421" s="3">
        <v>25</v>
      </c>
      <c r="C1421" s="3">
        <f t="shared" si="66"/>
        <v>25</v>
      </c>
      <c r="D1421" s="3">
        <f t="shared" si="68"/>
        <v>625</v>
      </c>
      <c r="E1421" s="3">
        <f t="shared" si="67"/>
        <v>625</v>
      </c>
    </row>
    <row r="1422" spans="1:5">
      <c r="A1422" s="3">
        <v>142</v>
      </c>
      <c r="B1422" s="3">
        <v>25</v>
      </c>
      <c r="C1422" s="3">
        <f t="shared" si="66"/>
        <v>25</v>
      </c>
      <c r="D1422" s="3">
        <f t="shared" si="68"/>
        <v>625</v>
      </c>
      <c r="E1422" s="3">
        <f t="shared" si="67"/>
        <v>625</v>
      </c>
    </row>
    <row r="1423" spans="1:5">
      <c r="A1423" s="3">
        <v>142.1</v>
      </c>
      <c r="B1423" s="3">
        <v>25</v>
      </c>
      <c r="C1423" s="3">
        <f t="shared" si="66"/>
        <v>25</v>
      </c>
      <c r="D1423" s="3">
        <f t="shared" si="68"/>
        <v>625</v>
      </c>
      <c r="E1423" s="3">
        <f t="shared" si="67"/>
        <v>625</v>
      </c>
    </row>
    <row r="1424" spans="1:5">
      <c r="A1424" s="3">
        <v>142.19999999999999</v>
      </c>
      <c r="B1424" s="3">
        <v>25</v>
      </c>
      <c r="C1424" s="3">
        <f t="shared" si="66"/>
        <v>25</v>
      </c>
      <c r="D1424" s="3">
        <f t="shared" si="68"/>
        <v>625</v>
      </c>
      <c r="E1424" s="3">
        <f t="shared" si="67"/>
        <v>625</v>
      </c>
    </row>
    <row r="1425" spans="1:5">
      <c r="A1425" s="3">
        <v>142.30000000000001</v>
      </c>
      <c r="B1425" s="3">
        <v>25</v>
      </c>
      <c r="C1425" s="3">
        <f t="shared" si="66"/>
        <v>25</v>
      </c>
      <c r="D1425" s="3">
        <f t="shared" si="68"/>
        <v>625</v>
      </c>
      <c r="E1425" s="3">
        <f t="shared" si="67"/>
        <v>625</v>
      </c>
    </row>
    <row r="1426" spans="1:5">
      <c r="A1426" s="3">
        <v>142.4</v>
      </c>
      <c r="B1426" s="3">
        <v>25</v>
      </c>
      <c r="C1426" s="3">
        <f t="shared" si="66"/>
        <v>25</v>
      </c>
      <c r="D1426" s="3">
        <f t="shared" si="68"/>
        <v>625</v>
      </c>
      <c r="E1426" s="3">
        <f t="shared" si="67"/>
        <v>625</v>
      </c>
    </row>
    <row r="1427" spans="1:5">
      <c r="A1427" s="3">
        <v>142.5</v>
      </c>
      <c r="B1427" s="3">
        <v>25</v>
      </c>
      <c r="C1427" s="3">
        <f t="shared" si="66"/>
        <v>25</v>
      </c>
      <c r="D1427" s="3">
        <f t="shared" si="68"/>
        <v>625</v>
      </c>
      <c r="E1427" s="3">
        <f t="shared" si="67"/>
        <v>625</v>
      </c>
    </row>
    <row r="1428" spans="1:5">
      <c r="A1428" s="3">
        <v>142.6</v>
      </c>
      <c r="B1428" s="3">
        <v>25</v>
      </c>
      <c r="C1428" s="3">
        <f t="shared" si="66"/>
        <v>25</v>
      </c>
      <c r="D1428" s="3">
        <f t="shared" si="68"/>
        <v>625</v>
      </c>
      <c r="E1428" s="3">
        <f t="shared" si="67"/>
        <v>625</v>
      </c>
    </row>
    <row r="1429" spans="1:5">
      <c r="A1429" s="3">
        <v>142.69999999999999</v>
      </c>
      <c r="B1429" s="3">
        <v>25</v>
      </c>
      <c r="C1429" s="3">
        <f t="shared" si="66"/>
        <v>25</v>
      </c>
      <c r="D1429" s="3">
        <f t="shared" si="68"/>
        <v>625</v>
      </c>
      <c r="E1429" s="3">
        <f t="shared" si="67"/>
        <v>625</v>
      </c>
    </row>
    <row r="1430" spans="1:5">
      <c r="A1430" s="3">
        <v>142.80000000000001</v>
      </c>
      <c r="B1430" s="3">
        <v>25</v>
      </c>
      <c r="C1430" s="3">
        <f t="shared" si="66"/>
        <v>25</v>
      </c>
      <c r="D1430" s="3">
        <f t="shared" si="68"/>
        <v>625</v>
      </c>
      <c r="E1430" s="3">
        <f t="shared" si="67"/>
        <v>625</v>
      </c>
    </row>
    <row r="1431" spans="1:5">
      <c r="A1431" s="3">
        <v>142.9</v>
      </c>
      <c r="B1431" s="3">
        <v>25</v>
      </c>
      <c r="C1431" s="3">
        <f t="shared" si="66"/>
        <v>25</v>
      </c>
      <c r="D1431" s="3">
        <f t="shared" si="68"/>
        <v>625</v>
      </c>
      <c r="E1431" s="3">
        <f t="shared" si="67"/>
        <v>625</v>
      </c>
    </row>
    <row r="1432" spans="1:5">
      <c r="A1432" s="3">
        <v>143</v>
      </c>
      <c r="B1432" s="3">
        <v>25</v>
      </c>
      <c r="C1432" s="3">
        <f t="shared" si="66"/>
        <v>25</v>
      </c>
      <c r="D1432" s="3">
        <f t="shared" si="68"/>
        <v>625</v>
      </c>
      <c r="E1432" s="3">
        <f t="shared" si="67"/>
        <v>625</v>
      </c>
    </row>
    <row r="1433" spans="1:5">
      <c r="A1433" s="3">
        <v>143.1</v>
      </c>
      <c r="B1433" s="3">
        <v>25</v>
      </c>
      <c r="C1433" s="3">
        <f t="shared" si="66"/>
        <v>25</v>
      </c>
      <c r="D1433" s="3">
        <f t="shared" si="68"/>
        <v>625</v>
      </c>
      <c r="E1433" s="3">
        <f t="shared" si="67"/>
        <v>625</v>
      </c>
    </row>
    <row r="1434" spans="1:5">
      <c r="A1434" s="3">
        <v>143.19999999999999</v>
      </c>
      <c r="B1434" s="3">
        <v>25</v>
      </c>
      <c r="C1434" s="3">
        <f t="shared" si="66"/>
        <v>25</v>
      </c>
      <c r="D1434" s="3">
        <f t="shared" si="68"/>
        <v>625</v>
      </c>
      <c r="E1434" s="3">
        <f t="shared" si="67"/>
        <v>625</v>
      </c>
    </row>
    <row r="1435" spans="1:5">
      <c r="A1435" s="3">
        <v>143.30000000000001</v>
      </c>
      <c r="B1435" s="3">
        <v>25</v>
      </c>
      <c r="C1435" s="3">
        <f t="shared" si="66"/>
        <v>25</v>
      </c>
      <c r="D1435" s="3">
        <f t="shared" si="68"/>
        <v>625</v>
      </c>
      <c r="E1435" s="3">
        <f t="shared" si="67"/>
        <v>625</v>
      </c>
    </row>
    <row r="1436" spans="1:5">
      <c r="A1436" s="3">
        <v>143.4</v>
      </c>
      <c r="B1436" s="3">
        <v>25</v>
      </c>
      <c r="C1436" s="3">
        <f t="shared" si="66"/>
        <v>25</v>
      </c>
      <c r="D1436" s="3">
        <f t="shared" si="68"/>
        <v>625</v>
      </c>
      <c r="E1436" s="3">
        <f t="shared" si="67"/>
        <v>625</v>
      </c>
    </row>
    <row r="1437" spans="1:5">
      <c r="A1437" s="3">
        <v>143.5</v>
      </c>
      <c r="B1437" s="3">
        <v>25</v>
      </c>
      <c r="C1437" s="3">
        <f t="shared" si="66"/>
        <v>25</v>
      </c>
      <c r="D1437" s="3">
        <f t="shared" si="68"/>
        <v>625</v>
      </c>
      <c r="E1437" s="3">
        <f t="shared" si="67"/>
        <v>625</v>
      </c>
    </row>
    <row r="1438" spans="1:5">
      <c r="A1438" s="3">
        <v>143.6</v>
      </c>
      <c r="B1438" s="3">
        <v>25</v>
      </c>
      <c r="C1438" s="3">
        <f t="shared" si="66"/>
        <v>25</v>
      </c>
      <c r="D1438" s="3">
        <f t="shared" si="68"/>
        <v>625</v>
      </c>
      <c r="E1438" s="3">
        <f t="shared" si="67"/>
        <v>625</v>
      </c>
    </row>
    <row r="1439" spans="1:5">
      <c r="A1439" s="3">
        <v>143.69999999999999</v>
      </c>
      <c r="B1439" s="3">
        <v>25</v>
      </c>
      <c r="C1439" s="3">
        <f t="shared" si="66"/>
        <v>25</v>
      </c>
      <c r="D1439" s="3">
        <f t="shared" si="68"/>
        <v>625</v>
      </c>
      <c r="E1439" s="3">
        <f t="shared" si="67"/>
        <v>625</v>
      </c>
    </row>
    <row r="1440" spans="1:5">
      <c r="A1440" s="3">
        <v>143.80000000000001</v>
      </c>
      <c r="B1440" s="3">
        <v>25</v>
      </c>
      <c r="C1440" s="3">
        <f t="shared" si="66"/>
        <v>25</v>
      </c>
      <c r="D1440" s="3">
        <f t="shared" si="68"/>
        <v>625</v>
      </c>
      <c r="E1440" s="3">
        <f t="shared" si="67"/>
        <v>625</v>
      </c>
    </row>
    <row r="1441" spans="1:5">
      <c r="A1441" s="3">
        <v>143.9</v>
      </c>
      <c r="B1441" s="3">
        <v>25</v>
      </c>
      <c r="C1441" s="3">
        <f t="shared" si="66"/>
        <v>25</v>
      </c>
      <c r="D1441" s="3">
        <f t="shared" si="68"/>
        <v>625</v>
      </c>
      <c r="E1441" s="3">
        <f t="shared" si="67"/>
        <v>625</v>
      </c>
    </row>
    <row r="1442" spans="1:5">
      <c r="A1442" s="3">
        <v>144</v>
      </c>
      <c r="B1442" s="3">
        <v>25</v>
      </c>
      <c r="C1442" s="3">
        <f t="shared" si="66"/>
        <v>25</v>
      </c>
      <c r="D1442" s="3">
        <f t="shared" si="68"/>
        <v>625</v>
      </c>
      <c r="E1442" s="3">
        <f t="shared" si="67"/>
        <v>625</v>
      </c>
    </row>
    <row r="1443" spans="1:5">
      <c r="A1443" s="3">
        <v>144.1</v>
      </c>
      <c r="B1443" s="3">
        <v>25</v>
      </c>
      <c r="C1443" s="3">
        <f t="shared" si="66"/>
        <v>25</v>
      </c>
      <c r="D1443" s="3">
        <f t="shared" si="68"/>
        <v>625</v>
      </c>
      <c r="E1443" s="3">
        <f t="shared" si="67"/>
        <v>625</v>
      </c>
    </row>
    <row r="1444" spans="1:5">
      <c r="A1444" s="3">
        <v>144.19999999999999</v>
      </c>
      <c r="B1444" s="3">
        <v>25</v>
      </c>
      <c r="C1444" s="3">
        <f t="shared" si="66"/>
        <v>25</v>
      </c>
      <c r="D1444" s="3">
        <f t="shared" si="68"/>
        <v>625</v>
      </c>
      <c r="E1444" s="3">
        <f t="shared" si="67"/>
        <v>625</v>
      </c>
    </row>
    <row r="1445" spans="1:5">
      <c r="A1445" s="3">
        <v>144.30000000000001</v>
      </c>
      <c r="B1445" s="3">
        <v>25</v>
      </c>
      <c r="C1445" s="3">
        <f t="shared" si="66"/>
        <v>25</v>
      </c>
      <c r="D1445" s="3">
        <f t="shared" si="68"/>
        <v>625</v>
      </c>
      <c r="E1445" s="3">
        <f t="shared" si="67"/>
        <v>625</v>
      </c>
    </row>
    <row r="1446" spans="1:5">
      <c r="A1446" s="3">
        <v>144.4</v>
      </c>
      <c r="B1446" s="3">
        <v>25</v>
      </c>
      <c r="C1446" s="3">
        <f t="shared" si="66"/>
        <v>25</v>
      </c>
      <c r="D1446" s="3">
        <f t="shared" si="68"/>
        <v>625</v>
      </c>
      <c r="E1446" s="3">
        <f t="shared" si="67"/>
        <v>625</v>
      </c>
    </row>
    <row r="1447" spans="1:5">
      <c r="A1447" s="3">
        <v>144.5</v>
      </c>
      <c r="B1447" s="3">
        <v>25</v>
      </c>
      <c r="C1447" s="3">
        <f t="shared" si="66"/>
        <v>25</v>
      </c>
      <c r="D1447" s="3">
        <f t="shared" si="68"/>
        <v>625</v>
      </c>
      <c r="E1447" s="3">
        <f t="shared" si="67"/>
        <v>625</v>
      </c>
    </row>
    <row r="1448" spans="1:5">
      <c r="A1448" s="3">
        <v>144.6</v>
      </c>
      <c r="B1448" s="3">
        <v>25</v>
      </c>
      <c r="C1448" s="3">
        <f t="shared" si="66"/>
        <v>25</v>
      </c>
      <c r="D1448" s="3">
        <f t="shared" si="68"/>
        <v>625</v>
      </c>
      <c r="E1448" s="3">
        <f t="shared" si="67"/>
        <v>625</v>
      </c>
    </row>
    <row r="1449" spans="1:5">
      <c r="A1449" s="3">
        <v>144.69999999999999</v>
      </c>
      <c r="B1449" s="3">
        <v>25</v>
      </c>
      <c r="C1449" s="3">
        <f t="shared" si="66"/>
        <v>25</v>
      </c>
      <c r="D1449" s="3">
        <f t="shared" si="68"/>
        <v>625</v>
      </c>
      <c r="E1449" s="3">
        <f t="shared" si="67"/>
        <v>625</v>
      </c>
    </row>
    <row r="1450" spans="1:5">
      <c r="A1450" s="3">
        <v>144.80000000000001</v>
      </c>
      <c r="B1450" s="3">
        <v>25</v>
      </c>
      <c r="C1450" s="3">
        <f t="shared" si="66"/>
        <v>25</v>
      </c>
      <c r="D1450" s="3">
        <f t="shared" si="68"/>
        <v>625</v>
      </c>
      <c r="E1450" s="3">
        <f t="shared" si="67"/>
        <v>625</v>
      </c>
    </row>
    <row r="1451" spans="1:5">
      <c r="A1451" s="3">
        <v>144.9</v>
      </c>
      <c r="B1451" s="3">
        <v>25</v>
      </c>
      <c r="C1451" s="3">
        <f t="shared" si="66"/>
        <v>25</v>
      </c>
      <c r="D1451" s="3">
        <f t="shared" si="68"/>
        <v>625</v>
      </c>
      <c r="E1451" s="3">
        <f t="shared" si="67"/>
        <v>625</v>
      </c>
    </row>
    <row r="1452" spans="1:5">
      <c r="A1452" s="3">
        <v>145</v>
      </c>
      <c r="B1452" s="3">
        <v>25</v>
      </c>
      <c r="C1452" s="3">
        <f t="shared" si="66"/>
        <v>25</v>
      </c>
      <c r="D1452" s="3">
        <f t="shared" si="68"/>
        <v>625</v>
      </c>
      <c r="E1452" s="3">
        <f t="shared" si="67"/>
        <v>625</v>
      </c>
    </row>
    <row r="1453" spans="1:5">
      <c r="A1453" s="3">
        <v>145.1</v>
      </c>
      <c r="B1453" s="3">
        <v>25</v>
      </c>
      <c r="C1453" s="3">
        <f t="shared" si="66"/>
        <v>25</v>
      </c>
      <c r="D1453" s="3">
        <f t="shared" si="68"/>
        <v>625</v>
      </c>
      <c r="E1453" s="3">
        <f t="shared" si="67"/>
        <v>625</v>
      </c>
    </row>
    <row r="1454" spans="1:5">
      <c r="A1454" s="3">
        <v>145.19999999999999</v>
      </c>
      <c r="B1454" s="3">
        <v>25</v>
      </c>
      <c r="C1454" s="3">
        <f t="shared" si="66"/>
        <v>25</v>
      </c>
      <c r="D1454" s="3">
        <f t="shared" si="68"/>
        <v>625</v>
      </c>
      <c r="E1454" s="3">
        <f t="shared" si="67"/>
        <v>625</v>
      </c>
    </row>
    <row r="1455" spans="1:5">
      <c r="A1455" s="3">
        <v>145.30000000000001</v>
      </c>
      <c r="B1455" s="3">
        <v>25</v>
      </c>
      <c r="C1455" s="3">
        <f t="shared" si="66"/>
        <v>25</v>
      </c>
      <c r="D1455" s="3">
        <f t="shared" si="68"/>
        <v>625</v>
      </c>
      <c r="E1455" s="3">
        <f t="shared" si="67"/>
        <v>625</v>
      </c>
    </row>
    <row r="1456" spans="1:5">
      <c r="A1456" s="3">
        <v>145.4</v>
      </c>
      <c r="B1456" s="3">
        <v>25</v>
      </c>
      <c r="C1456" s="3">
        <f t="shared" si="66"/>
        <v>25</v>
      </c>
      <c r="D1456" s="3">
        <f t="shared" si="68"/>
        <v>625</v>
      </c>
      <c r="E1456" s="3">
        <f t="shared" si="67"/>
        <v>625</v>
      </c>
    </row>
    <row r="1457" spans="1:5">
      <c r="A1457" s="3">
        <v>145.5</v>
      </c>
      <c r="B1457" s="3">
        <v>25</v>
      </c>
      <c r="C1457" s="3">
        <f t="shared" si="66"/>
        <v>25</v>
      </c>
      <c r="D1457" s="3">
        <f t="shared" si="68"/>
        <v>625</v>
      </c>
      <c r="E1457" s="3">
        <f t="shared" si="67"/>
        <v>625</v>
      </c>
    </row>
    <row r="1458" spans="1:5">
      <c r="A1458" s="3">
        <v>145.6</v>
      </c>
      <c r="B1458" s="3">
        <v>25</v>
      </c>
      <c r="C1458" s="3">
        <f t="shared" si="66"/>
        <v>25</v>
      </c>
      <c r="D1458" s="3">
        <f t="shared" si="68"/>
        <v>625</v>
      </c>
      <c r="E1458" s="3">
        <f t="shared" si="67"/>
        <v>625</v>
      </c>
    </row>
    <row r="1459" spans="1:5">
      <c r="A1459" s="3">
        <v>145.69999999999999</v>
      </c>
      <c r="B1459" s="3">
        <v>25</v>
      </c>
      <c r="C1459" s="3">
        <f t="shared" si="66"/>
        <v>25</v>
      </c>
      <c r="D1459" s="3">
        <f t="shared" si="68"/>
        <v>625</v>
      </c>
      <c r="E1459" s="3">
        <f t="shared" si="67"/>
        <v>625</v>
      </c>
    </row>
    <row r="1460" spans="1:5">
      <c r="A1460" s="3">
        <v>145.80000000000001</v>
      </c>
      <c r="B1460" s="3">
        <v>25</v>
      </c>
      <c r="C1460" s="3">
        <f t="shared" si="66"/>
        <v>25</v>
      </c>
      <c r="D1460" s="3">
        <f t="shared" si="68"/>
        <v>625</v>
      </c>
      <c r="E1460" s="3">
        <f t="shared" si="67"/>
        <v>625</v>
      </c>
    </row>
    <row r="1461" spans="1:5">
      <c r="A1461" s="3">
        <v>145.9</v>
      </c>
      <c r="B1461" s="3">
        <v>25</v>
      </c>
      <c r="C1461" s="3">
        <f t="shared" si="66"/>
        <v>25</v>
      </c>
      <c r="D1461" s="3">
        <f t="shared" si="68"/>
        <v>625</v>
      </c>
      <c r="E1461" s="3">
        <f t="shared" si="67"/>
        <v>625</v>
      </c>
    </row>
    <row r="1462" spans="1:5">
      <c r="A1462" s="3">
        <v>146</v>
      </c>
      <c r="B1462" s="3">
        <v>25</v>
      </c>
      <c r="C1462" s="3">
        <f t="shared" si="66"/>
        <v>25</v>
      </c>
      <c r="D1462" s="3">
        <f t="shared" si="68"/>
        <v>625</v>
      </c>
      <c r="E1462" s="3">
        <f t="shared" si="67"/>
        <v>625</v>
      </c>
    </row>
    <row r="1463" spans="1:5">
      <c r="A1463" s="3">
        <v>146.1</v>
      </c>
      <c r="B1463" s="3">
        <v>25</v>
      </c>
      <c r="C1463" s="3">
        <f t="shared" si="66"/>
        <v>25</v>
      </c>
      <c r="D1463" s="3">
        <f t="shared" si="68"/>
        <v>625</v>
      </c>
      <c r="E1463" s="3">
        <f t="shared" si="67"/>
        <v>625</v>
      </c>
    </row>
    <row r="1464" spans="1:5">
      <c r="A1464" s="3">
        <v>146.19999999999999</v>
      </c>
      <c r="B1464" s="3">
        <v>25</v>
      </c>
      <c r="C1464" s="3">
        <f t="shared" si="66"/>
        <v>25</v>
      </c>
      <c r="D1464" s="3">
        <f t="shared" si="68"/>
        <v>625</v>
      </c>
      <c r="E1464" s="3">
        <f t="shared" si="67"/>
        <v>625</v>
      </c>
    </row>
    <row r="1465" spans="1:5">
      <c r="A1465" s="3">
        <v>146.30000000000001</v>
      </c>
      <c r="B1465" s="3">
        <v>25</v>
      </c>
      <c r="C1465" s="3">
        <f t="shared" si="66"/>
        <v>25</v>
      </c>
      <c r="D1465" s="3">
        <f t="shared" si="68"/>
        <v>625</v>
      </c>
      <c r="E1465" s="3">
        <f t="shared" si="67"/>
        <v>625</v>
      </c>
    </row>
    <row r="1466" spans="1:5">
      <c r="A1466" s="3">
        <v>146.4</v>
      </c>
      <c r="B1466" s="3">
        <v>25</v>
      </c>
      <c r="C1466" s="3">
        <f t="shared" si="66"/>
        <v>25</v>
      </c>
      <c r="D1466" s="3">
        <f t="shared" si="68"/>
        <v>625</v>
      </c>
      <c r="E1466" s="3">
        <f t="shared" si="67"/>
        <v>625</v>
      </c>
    </row>
    <row r="1467" spans="1:5">
      <c r="A1467" s="3">
        <v>146.5</v>
      </c>
      <c r="B1467" s="3">
        <v>25</v>
      </c>
      <c r="C1467" s="3">
        <f t="shared" si="66"/>
        <v>25</v>
      </c>
      <c r="D1467" s="3">
        <f t="shared" si="68"/>
        <v>625</v>
      </c>
      <c r="E1467" s="3">
        <f t="shared" si="67"/>
        <v>625</v>
      </c>
    </row>
    <row r="1468" spans="1:5">
      <c r="A1468" s="3">
        <v>146.6</v>
      </c>
      <c r="B1468" s="3">
        <v>25</v>
      </c>
      <c r="C1468" s="3">
        <f t="shared" si="66"/>
        <v>25</v>
      </c>
      <c r="D1468" s="3">
        <f t="shared" si="68"/>
        <v>625</v>
      </c>
      <c r="E1468" s="3">
        <f t="shared" si="67"/>
        <v>625</v>
      </c>
    </row>
    <row r="1469" spans="1:5">
      <c r="A1469" s="3">
        <v>146.69999999999999</v>
      </c>
      <c r="B1469" s="3">
        <v>25</v>
      </c>
      <c r="C1469" s="3">
        <f t="shared" si="66"/>
        <v>25</v>
      </c>
      <c r="D1469" s="3">
        <f t="shared" si="68"/>
        <v>625</v>
      </c>
      <c r="E1469" s="3">
        <f t="shared" si="67"/>
        <v>625</v>
      </c>
    </row>
    <row r="1470" spans="1:5">
      <c r="A1470" s="3">
        <v>146.80000000000001</v>
      </c>
      <c r="B1470" s="3">
        <v>25</v>
      </c>
      <c r="C1470" s="3">
        <f t="shared" si="66"/>
        <v>25</v>
      </c>
      <c r="D1470" s="3">
        <f t="shared" si="68"/>
        <v>625</v>
      </c>
      <c r="E1470" s="3">
        <f t="shared" si="67"/>
        <v>625</v>
      </c>
    </row>
    <row r="1471" spans="1:5">
      <c r="A1471" s="3">
        <v>146.9</v>
      </c>
      <c r="B1471" s="3">
        <v>25</v>
      </c>
      <c r="C1471" s="3">
        <f t="shared" si="66"/>
        <v>25</v>
      </c>
      <c r="D1471" s="3">
        <f t="shared" si="68"/>
        <v>625</v>
      </c>
      <c r="E1471" s="3">
        <f t="shared" si="67"/>
        <v>625</v>
      </c>
    </row>
    <row r="1472" spans="1:5">
      <c r="A1472" s="3">
        <v>147</v>
      </c>
      <c r="B1472" s="3">
        <v>25</v>
      </c>
      <c r="C1472" s="3">
        <f t="shared" si="66"/>
        <v>25</v>
      </c>
      <c r="D1472" s="3">
        <f t="shared" si="68"/>
        <v>625</v>
      </c>
      <c r="E1472" s="3">
        <f t="shared" si="67"/>
        <v>625</v>
      </c>
    </row>
    <row r="1473" spans="1:5">
      <c r="A1473" s="3">
        <v>147.1</v>
      </c>
      <c r="B1473" s="3">
        <v>25</v>
      </c>
      <c r="C1473" s="3">
        <f t="shared" si="66"/>
        <v>25</v>
      </c>
      <c r="D1473" s="3">
        <f t="shared" si="68"/>
        <v>625</v>
      </c>
      <c r="E1473" s="3">
        <f t="shared" si="67"/>
        <v>625</v>
      </c>
    </row>
    <row r="1474" spans="1:5">
      <c r="A1474" s="3">
        <v>147.19999999999999</v>
      </c>
      <c r="B1474" s="3">
        <v>25</v>
      </c>
      <c r="C1474" s="3">
        <f t="shared" ref="C1474:C1537" si="69">ROUND(SQRT(E1474),2)</f>
        <v>25</v>
      </c>
      <c r="D1474" s="3">
        <f t="shared" si="68"/>
        <v>625</v>
      </c>
      <c r="E1474" s="3">
        <f t="shared" ref="E1474:E1537" si="70">MIN(D1474, E1475+$H$4)</f>
        <v>625</v>
      </c>
    </row>
    <row r="1475" spans="1:5">
      <c r="A1475" s="3">
        <v>147.30000000000001</v>
      </c>
      <c r="B1475" s="3">
        <v>25</v>
      </c>
      <c r="C1475" s="3">
        <f t="shared" si="69"/>
        <v>25</v>
      </c>
      <c r="D1475" s="3">
        <f t="shared" ref="D1475:D1538" si="71">MIN(B1475^2, D1474+$H$4)</f>
        <v>625</v>
      </c>
      <c r="E1475" s="3">
        <f t="shared" si="70"/>
        <v>625</v>
      </c>
    </row>
    <row r="1476" spans="1:5">
      <c r="A1476" s="3">
        <v>147.4</v>
      </c>
      <c r="B1476" s="3">
        <v>25</v>
      </c>
      <c r="C1476" s="3">
        <f t="shared" si="69"/>
        <v>25</v>
      </c>
      <c r="D1476" s="3">
        <f t="shared" si="71"/>
        <v>625</v>
      </c>
      <c r="E1476" s="3">
        <f t="shared" si="70"/>
        <v>625</v>
      </c>
    </row>
    <row r="1477" spans="1:5">
      <c r="A1477" s="3">
        <v>147.5</v>
      </c>
      <c r="B1477" s="3">
        <v>25</v>
      </c>
      <c r="C1477" s="3">
        <f t="shared" si="69"/>
        <v>25</v>
      </c>
      <c r="D1477" s="3">
        <f t="shared" si="71"/>
        <v>625</v>
      </c>
      <c r="E1477" s="3">
        <f t="shared" si="70"/>
        <v>625</v>
      </c>
    </row>
    <row r="1478" spans="1:5">
      <c r="A1478" s="3">
        <v>147.6</v>
      </c>
      <c r="B1478" s="3">
        <v>25</v>
      </c>
      <c r="C1478" s="3">
        <f t="shared" si="69"/>
        <v>25</v>
      </c>
      <c r="D1478" s="3">
        <f t="shared" si="71"/>
        <v>625</v>
      </c>
      <c r="E1478" s="3">
        <f t="shared" si="70"/>
        <v>625</v>
      </c>
    </row>
    <row r="1479" spans="1:5">
      <c r="A1479" s="3">
        <v>147.69999999999999</v>
      </c>
      <c r="B1479" s="3">
        <v>25</v>
      </c>
      <c r="C1479" s="3">
        <f t="shared" si="69"/>
        <v>25</v>
      </c>
      <c r="D1479" s="3">
        <f t="shared" si="71"/>
        <v>625</v>
      </c>
      <c r="E1479" s="3">
        <f t="shared" si="70"/>
        <v>625</v>
      </c>
    </row>
    <row r="1480" spans="1:5">
      <c r="A1480" s="3">
        <v>147.80000000000001</v>
      </c>
      <c r="B1480" s="3">
        <v>25</v>
      </c>
      <c r="C1480" s="3">
        <f t="shared" si="69"/>
        <v>25</v>
      </c>
      <c r="D1480" s="3">
        <f t="shared" si="71"/>
        <v>625</v>
      </c>
      <c r="E1480" s="3">
        <f t="shared" si="70"/>
        <v>625</v>
      </c>
    </row>
    <row r="1481" spans="1:5">
      <c r="A1481" s="3">
        <v>147.9</v>
      </c>
      <c r="B1481" s="3">
        <v>25</v>
      </c>
      <c r="C1481" s="3">
        <f t="shared" si="69"/>
        <v>25</v>
      </c>
      <c r="D1481" s="3">
        <f t="shared" si="71"/>
        <v>625</v>
      </c>
      <c r="E1481" s="3">
        <f t="shared" si="70"/>
        <v>625</v>
      </c>
    </row>
    <row r="1482" spans="1:5">
      <c r="A1482" s="3">
        <v>148</v>
      </c>
      <c r="B1482" s="3">
        <v>25</v>
      </c>
      <c r="C1482" s="3">
        <f t="shared" si="69"/>
        <v>25</v>
      </c>
      <c r="D1482" s="3">
        <f t="shared" si="71"/>
        <v>625</v>
      </c>
      <c r="E1482" s="3">
        <f t="shared" si="70"/>
        <v>625</v>
      </c>
    </row>
    <row r="1483" spans="1:5">
      <c r="A1483" s="3">
        <v>148.1</v>
      </c>
      <c r="B1483" s="3">
        <v>25</v>
      </c>
      <c r="C1483" s="3">
        <f t="shared" si="69"/>
        <v>25</v>
      </c>
      <c r="D1483" s="3">
        <f t="shared" si="71"/>
        <v>625</v>
      </c>
      <c r="E1483" s="3">
        <f t="shared" si="70"/>
        <v>625</v>
      </c>
    </row>
    <row r="1484" spans="1:5">
      <c r="A1484" s="3">
        <v>148.19999999999999</v>
      </c>
      <c r="B1484" s="3">
        <v>25</v>
      </c>
      <c r="C1484" s="3">
        <f t="shared" si="69"/>
        <v>25</v>
      </c>
      <c r="D1484" s="3">
        <f t="shared" si="71"/>
        <v>625</v>
      </c>
      <c r="E1484" s="3">
        <f t="shared" si="70"/>
        <v>625</v>
      </c>
    </row>
    <row r="1485" spans="1:5">
      <c r="A1485" s="3">
        <v>148.30000000000001</v>
      </c>
      <c r="B1485" s="3">
        <v>25</v>
      </c>
      <c r="C1485" s="3">
        <f t="shared" si="69"/>
        <v>25</v>
      </c>
      <c r="D1485" s="3">
        <f t="shared" si="71"/>
        <v>625</v>
      </c>
      <c r="E1485" s="3">
        <f t="shared" si="70"/>
        <v>625</v>
      </c>
    </row>
    <row r="1486" spans="1:5">
      <c r="A1486" s="3">
        <v>148.4</v>
      </c>
      <c r="B1486" s="3">
        <v>25</v>
      </c>
      <c r="C1486" s="3">
        <f t="shared" si="69"/>
        <v>25</v>
      </c>
      <c r="D1486" s="3">
        <f t="shared" si="71"/>
        <v>625</v>
      </c>
      <c r="E1486" s="3">
        <f t="shared" si="70"/>
        <v>625</v>
      </c>
    </row>
    <row r="1487" spans="1:5">
      <c r="A1487" s="3">
        <v>148.5</v>
      </c>
      <c r="B1487" s="3">
        <v>25</v>
      </c>
      <c r="C1487" s="3">
        <f t="shared" si="69"/>
        <v>24.08</v>
      </c>
      <c r="D1487" s="3">
        <f t="shared" si="71"/>
        <v>625</v>
      </c>
      <c r="E1487" s="3">
        <f t="shared" si="70"/>
        <v>580</v>
      </c>
    </row>
    <row r="1488" spans="1:5">
      <c r="A1488" s="3">
        <v>148.6</v>
      </c>
      <c r="B1488" s="3">
        <v>20</v>
      </c>
      <c r="C1488" s="3">
        <f t="shared" si="69"/>
        <v>20</v>
      </c>
      <c r="D1488" s="3">
        <f t="shared" si="71"/>
        <v>400</v>
      </c>
      <c r="E1488" s="3">
        <f t="shared" si="70"/>
        <v>400</v>
      </c>
    </row>
    <row r="1489" spans="1:5">
      <c r="A1489" s="3">
        <v>148.69999999999999</v>
      </c>
      <c r="B1489" s="3">
        <v>20</v>
      </c>
      <c r="C1489" s="3">
        <f t="shared" si="69"/>
        <v>20</v>
      </c>
      <c r="D1489" s="3">
        <f t="shared" si="71"/>
        <v>400</v>
      </c>
      <c r="E1489" s="3">
        <f t="shared" si="70"/>
        <v>400</v>
      </c>
    </row>
    <row r="1490" spans="1:5">
      <c r="A1490" s="3">
        <v>148.80000000000001</v>
      </c>
      <c r="B1490" s="3">
        <v>20</v>
      </c>
      <c r="C1490" s="3">
        <f t="shared" si="69"/>
        <v>20</v>
      </c>
      <c r="D1490" s="3">
        <f t="shared" si="71"/>
        <v>400</v>
      </c>
      <c r="E1490" s="3">
        <f t="shared" si="70"/>
        <v>400</v>
      </c>
    </row>
    <row r="1491" spans="1:5">
      <c r="A1491" s="3">
        <v>148.9</v>
      </c>
      <c r="B1491" s="3">
        <v>20</v>
      </c>
      <c r="C1491" s="3">
        <f t="shared" si="69"/>
        <v>20</v>
      </c>
      <c r="D1491" s="3">
        <f t="shared" si="71"/>
        <v>400</v>
      </c>
      <c r="E1491" s="3">
        <f t="shared" si="70"/>
        <v>400</v>
      </c>
    </row>
    <row r="1492" spans="1:5">
      <c r="A1492" s="3">
        <v>149</v>
      </c>
      <c r="B1492" s="3">
        <v>20</v>
      </c>
      <c r="C1492" s="3">
        <f t="shared" si="69"/>
        <v>20</v>
      </c>
      <c r="D1492" s="3">
        <f t="shared" si="71"/>
        <v>400</v>
      </c>
      <c r="E1492" s="3">
        <f t="shared" si="70"/>
        <v>400</v>
      </c>
    </row>
    <row r="1493" spans="1:5">
      <c r="A1493" s="3">
        <v>149.1</v>
      </c>
      <c r="B1493" s="3">
        <v>20</v>
      </c>
      <c r="C1493" s="3">
        <f t="shared" si="69"/>
        <v>20</v>
      </c>
      <c r="D1493" s="3">
        <f t="shared" si="71"/>
        <v>400</v>
      </c>
      <c r="E1493" s="3">
        <f t="shared" si="70"/>
        <v>400</v>
      </c>
    </row>
    <row r="1494" spans="1:5">
      <c r="A1494" s="3">
        <v>149.19999999999999</v>
      </c>
      <c r="B1494" s="3">
        <v>20</v>
      </c>
      <c r="C1494" s="3">
        <f t="shared" si="69"/>
        <v>20</v>
      </c>
      <c r="D1494" s="3">
        <f t="shared" si="71"/>
        <v>400</v>
      </c>
      <c r="E1494" s="3">
        <f t="shared" si="70"/>
        <v>400</v>
      </c>
    </row>
    <row r="1495" spans="1:5">
      <c r="A1495" s="3">
        <v>149.30000000000001</v>
      </c>
      <c r="B1495" s="3">
        <v>20</v>
      </c>
      <c r="C1495" s="3">
        <f t="shared" si="69"/>
        <v>20</v>
      </c>
      <c r="D1495" s="3">
        <f t="shared" si="71"/>
        <v>400</v>
      </c>
      <c r="E1495" s="3">
        <f t="shared" si="70"/>
        <v>400</v>
      </c>
    </row>
    <row r="1496" spans="1:5">
      <c r="A1496" s="3">
        <v>149.4</v>
      </c>
      <c r="B1496" s="3">
        <v>20</v>
      </c>
      <c r="C1496" s="3">
        <f t="shared" si="69"/>
        <v>20</v>
      </c>
      <c r="D1496" s="3">
        <f t="shared" si="71"/>
        <v>400</v>
      </c>
      <c r="E1496" s="3">
        <f t="shared" si="70"/>
        <v>400</v>
      </c>
    </row>
    <row r="1497" spans="1:5">
      <c r="A1497" s="3">
        <v>149.5</v>
      </c>
      <c r="B1497" s="3">
        <v>20</v>
      </c>
      <c r="C1497" s="3">
        <f t="shared" si="69"/>
        <v>20</v>
      </c>
      <c r="D1497" s="3">
        <f t="shared" si="71"/>
        <v>400</v>
      </c>
      <c r="E1497" s="3">
        <f t="shared" si="70"/>
        <v>400</v>
      </c>
    </row>
    <row r="1498" spans="1:5">
      <c r="A1498" s="3">
        <v>149.6</v>
      </c>
      <c r="B1498" s="3">
        <v>20</v>
      </c>
      <c r="C1498" s="3">
        <f t="shared" si="69"/>
        <v>20</v>
      </c>
      <c r="D1498" s="3">
        <f t="shared" si="71"/>
        <v>400</v>
      </c>
      <c r="E1498" s="3">
        <f t="shared" si="70"/>
        <v>400</v>
      </c>
    </row>
    <row r="1499" spans="1:5">
      <c r="A1499" s="3">
        <v>149.69999999999999</v>
      </c>
      <c r="B1499" s="3">
        <v>20</v>
      </c>
      <c r="C1499" s="3">
        <f t="shared" si="69"/>
        <v>20</v>
      </c>
      <c r="D1499" s="3">
        <f t="shared" si="71"/>
        <v>400</v>
      </c>
      <c r="E1499" s="3">
        <f t="shared" si="70"/>
        <v>400</v>
      </c>
    </row>
    <row r="1500" spans="1:5">
      <c r="A1500" s="3">
        <v>149.80000000000001</v>
      </c>
      <c r="B1500" s="3">
        <v>20</v>
      </c>
      <c r="C1500" s="3">
        <f t="shared" si="69"/>
        <v>20</v>
      </c>
      <c r="D1500" s="3">
        <f t="shared" si="71"/>
        <v>400</v>
      </c>
      <c r="E1500" s="3">
        <f t="shared" si="70"/>
        <v>400</v>
      </c>
    </row>
    <row r="1501" spans="1:5">
      <c r="A1501" s="3">
        <v>149.9</v>
      </c>
      <c r="B1501" s="3">
        <v>20</v>
      </c>
      <c r="C1501" s="3">
        <f t="shared" si="69"/>
        <v>20</v>
      </c>
      <c r="D1501" s="3">
        <f t="shared" si="71"/>
        <v>400</v>
      </c>
      <c r="E1501" s="3">
        <f t="shared" si="70"/>
        <v>400</v>
      </c>
    </row>
    <row r="1502" spans="1:5">
      <c r="A1502" s="3">
        <v>150</v>
      </c>
      <c r="B1502" s="3">
        <v>20</v>
      </c>
      <c r="C1502" s="3">
        <f t="shared" si="69"/>
        <v>20</v>
      </c>
      <c r="D1502" s="3">
        <f t="shared" si="71"/>
        <v>400</v>
      </c>
      <c r="E1502" s="3">
        <f t="shared" si="70"/>
        <v>400</v>
      </c>
    </row>
    <row r="1503" spans="1:5">
      <c r="A1503" s="3">
        <v>150.1</v>
      </c>
      <c r="B1503" s="3">
        <v>20</v>
      </c>
      <c r="C1503" s="3">
        <f t="shared" si="69"/>
        <v>20</v>
      </c>
      <c r="D1503" s="3">
        <f t="shared" si="71"/>
        <v>400</v>
      </c>
      <c r="E1503" s="3">
        <f t="shared" si="70"/>
        <v>400</v>
      </c>
    </row>
    <row r="1504" spans="1:5">
      <c r="A1504" s="3">
        <v>150.19999999999999</v>
      </c>
      <c r="B1504" s="3">
        <v>20</v>
      </c>
      <c r="C1504" s="3">
        <f t="shared" si="69"/>
        <v>20</v>
      </c>
      <c r="D1504" s="3">
        <f t="shared" si="71"/>
        <v>400</v>
      </c>
      <c r="E1504" s="3">
        <f t="shared" si="70"/>
        <v>400</v>
      </c>
    </row>
    <row r="1505" spans="1:5">
      <c r="A1505" s="3">
        <v>150.30000000000001</v>
      </c>
      <c r="B1505" s="3">
        <v>20</v>
      </c>
      <c r="C1505" s="3">
        <f t="shared" si="69"/>
        <v>20</v>
      </c>
      <c r="D1505" s="3">
        <f t="shared" si="71"/>
        <v>400</v>
      </c>
      <c r="E1505" s="3">
        <f t="shared" si="70"/>
        <v>400</v>
      </c>
    </row>
    <row r="1506" spans="1:5">
      <c r="A1506" s="3">
        <v>150.4</v>
      </c>
      <c r="B1506" s="3">
        <v>20</v>
      </c>
      <c r="C1506" s="3">
        <f t="shared" si="69"/>
        <v>20</v>
      </c>
      <c r="D1506" s="3">
        <f t="shared" si="71"/>
        <v>400</v>
      </c>
      <c r="E1506" s="3">
        <f t="shared" si="70"/>
        <v>400</v>
      </c>
    </row>
    <row r="1507" spans="1:5">
      <c r="A1507" s="3">
        <v>150.5</v>
      </c>
      <c r="B1507" s="3">
        <v>20</v>
      </c>
      <c r="C1507" s="3">
        <f t="shared" si="69"/>
        <v>20</v>
      </c>
      <c r="D1507" s="3">
        <f t="shared" si="71"/>
        <v>400</v>
      </c>
      <c r="E1507" s="3">
        <f t="shared" si="70"/>
        <v>400</v>
      </c>
    </row>
    <row r="1508" spans="1:5">
      <c r="A1508" s="3">
        <v>150.6</v>
      </c>
      <c r="B1508" s="3">
        <v>20</v>
      </c>
      <c r="C1508" s="3">
        <f t="shared" si="69"/>
        <v>20</v>
      </c>
      <c r="D1508" s="3">
        <f t="shared" si="71"/>
        <v>400</v>
      </c>
      <c r="E1508" s="3">
        <f t="shared" si="70"/>
        <v>400</v>
      </c>
    </row>
    <row r="1509" spans="1:5">
      <c r="A1509" s="3">
        <v>150.69999999999999</v>
      </c>
      <c r="B1509" s="3">
        <v>20</v>
      </c>
      <c r="C1509" s="3">
        <f t="shared" si="69"/>
        <v>20</v>
      </c>
      <c r="D1509" s="3">
        <f t="shared" si="71"/>
        <v>400</v>
      </c>
      <c r="E1509" s="3">
        <f t="shared" si="70"/>
        <v>400</v>
      </c>
    </row>
    <row r="1510" spans="1:5">
      <c r="A1510" s="3">
        <v>150.80000000000001</v>
      </c>
      <c r="B1510" s="3">
        <v>20</v>
      </c>
      <c r="C1510" s="3">
        <f t="shared" si="69"/>
        <v>20</v>
      </c>
      <c r="D1510" s="3">
        <f t="shared" si="71"/>
        <v>400</v>
      </c>
      <c r="E1510" s="3">
        <f t="shared" si="70"/>
        <v>400</v>
      </c>
    </row>
    <row r="1511" spans="1:5">
      <c r="A1511" s="3">
        <v>150.9</v>
      </c>
      <c r="B1511" s="3">
        <v>20</v>
      </c>
      <c r="C1511" s="3">
        <f t="shared" si="69"/>
        <v>20</v>
      </c>
      <c r="D1511" s="3">
        <f t="shared" si="71"/>
        <v>400</v>
      </c>
      <c r="E1511" s="3">
        <f t="shared" si="70"/>
        <v>400</v>
      </c>
    </row>
    <row r="1512" spans="1:5">
      <c r="A1512" s="3">
        <v>151</v>
      </c>
      <c r="B1512" s="3">
        <v>20</v>
      </c>
      <c r="C1512" s="3">
        <f t="shared" si="69"/>
        <v>20</v>
      </c>
      <c r="D1512" s="3">
        <f t="shared" si="71"/>
        <v>400</v>
      </c>
      <c r="E1512" s="3">
        <f t="shared" si="70"/>
        <v>400</v>
      </c>
    </row>
    <row r="1513" spans="1:5">
      <c r="A1513" s="3">
        <v>151.1</v>
      </c>
      <c r="B1513" s="3">
        <v>20</v>
      </c>
      <c r="C1513" s="3">
        <f t="shared" si="69"/>
        <v>20</v>
      </c>
      <c r="D1513" s="3">
        <f t="shared" si="71"/>
        <v>400</v>
      </c>
      <c r="E1513" s="3">
        <f t="shared" si="70"/>
        <v>400</v>
      </c>
    </row>
    <row r="1514" spans="1:5">
      <c r="A1514" s="3">
        <v>151.19999999999999</v>
      </c>
      <c r="B1514" s="3">
        <v>20</v>
      </c>
      <c r="C1514" s="3">
        <f t="shared" si="69"/>
        <v>20</v>
      </c>
      <c r="D1514" s="3">
        <f t="shared" si="71"/>
        <v>400</v>
      </c>
      <c r="E1514" s="3">
        <f t="shared" si="70"/>
        <v>400</v>
      </c>
    </row>
    <row r="1515" spans="1:5">
      <c r="A1515" s="3">
        <v>151.30000000000001</v>
      </c>
      <c r="B1515" s="3">
        <v>20</v>
      </c>
      <c r="C1515" s="3">
        <f t="shared" si="69"/>
        <v>20</v>
      </c>
      <c r="D1515" s="3">
        <f t="shared" si="71"/>
        <v>400</v>
      </c>
      <c r="E1515" s="3">
        <f t="shared" si="70"/>
        <v>400</v>
      </c>
    </row>
    <row r="1516" spans="1:5">
      <c r="A1516" s="3">
        <v>151.4</v>
      </c>
      <c r="B1516" s="3">
        <v>20</v>
      </c>
      <c r="C1516" s="3">
        <f t="shared" si="69"/>
        <v>20</v>
      </c>
      <c r="D1516" s="3">
        <f t="shared" si="71"/>
        <v>400</v>
      </c>
      <c r="E1516" s="3">
        <f t="shared" si="70"/>
        <v>400</v>
      </c>
    </row>
    <row r="1517" spans="1:5">
      <c r="A1517" s="3">
        <v>151.5</v>
      </c>
      <c r="B1517" s="3">
        <v>20</v>
      </c>
      <c r="C1517" s="3">
        <f t="shared" si="69"/>
        <v>20</v>
      </c>
      <c r="D1517" s="3">
        <f t="shared" si="71"/>
        <v>400</v>
      </c>
      <c r="E1517" s="3">
        <f t="shared" si="70"/>
        <v>400</v>
      </c>
    </row>
    <row r="1518" spans="1:5">
      <c r="A1518" s="3">
        <v>151.6</v>
      </c>
      <c r="B1518" s="3">
        <v>20</v>
      </c>
      <c r="C1518" s="3">
        <f t="shared" si="69"/>
        <v>20</v>
      </c>
      <c r="D1518" s="3">
        <f t="shared" si="71"/>
        <v>400</v>
      </c>
      <c r="E1518" s="3">
        <f t="shared" si="70"/>
        <v>400</v>
      </c>
    </row>
    <row r="1519" spans="1:5">
      <c r="A1519" s="3">
        <v>151.69999999999999</v>
      </c>
      <c r="B1519" s="3">
        <v>20</v>
      </c>
      <c r="C1519" s="3">
        <f t="shared" si="69"/>
        <v>20</v>
      </c>
      <c r="D1519" s="3">
        <f t="shared" si="71"/>
        <v>400</v>
      </c>
      <c r="E1519" s="3">
        <f t="shared" si="70"/>
        <v>400</v>
      </c>
    </row>
    <row r="1520" spans="1:5">
      <c r="A1520" s="3">
        <v>151.80000000000001</v>
      </c>
      <c r="B1520" s="3">
        <v>20</v>
      </c>
      <c r="C1520" s="3">
        <f t="shared" si="69"/>
        <v>20</v>
      </c>
      <c r="D1520" s="3">
        <f t="shared" si="71"/>
        <v>400</v>
      </c>
      <c r="E1520" s="3">
        <f t="shared" si="70"/>
        <v>400</v>
      </c>
    </row>
    <row r="1521" spans="1:5">
      <c r="A1521" s="3">
        <v>151.9</v>
      </c>
      <c r="B1521" s="3">
        <v>20</v>
      </c>
      <c r="C1521" s="3">
        <f t="shared" si="69"/>
        <v>20</v>
      </c>
      <c r="D1521" s="3">
        <f t="shared" si="71"/>
        <v>400</v>
      </c>
      <c r="E1521" s="3">
        <f t="shared" si="70"/>
        <v>400</v>
      </c>
    </row>
    <row r="1522" spans="1:5">
      <c r="A1522" s="3">
        <v>152</v>
      </c>
      <c r="B1522" s="3">
        <v>20</v>
      </c>
      <c r="C1522" s="3">
        <f t="shared" si="69"/>
        <v>20</v>
      </c>
      <c r="D1522" s="3">
        <f t="shared" si="71"/>
        <v>400</v>
      </c>
      <c r="E1522" s="3">
        <f t="shared" si="70"/>
        <v>400</v>
      </c>
    </row>
    <row r="1523" spans="1:5">
      <c r="A1523" s="3">
        <v>152.1</v>
      </c>
      <c r="B1523" s="3">
        <v>20</v>
      </c>
      <c r="C1523" s="3">
        <f t="shared" si="69"/>
        <v>20</v>
      </c>
      <c r="D1523" s="3">
        <f t="shared" si="71"/>
        <v>400</v>
      </c>
      <c r="E1523" s="3">
        <f t="shared" si="70"/>
        <v>400</v>
      </c>
    </row>
    <row r="1524" spans="1:5">
      <c r="A1524" s="3">
        <v>152.19999999999999</v>
      </c>
      <c r="B1524" s="3">
        <v>20</v>
      </c>
      <c r="C1524" s="3">
        <f t="shared" si="69"/>
        <v>20</v>
      </c>
      <c r="D1524" s="3">
        <f t="shared" si="71"/>
        <v>400</v>
      </c>
      <c r="E1524" s="3">
        <f t="shared" si="70"/>
        <v>400</v>
      </c>
    </row>
    <row r="1525" spans="1:5">
      <c r="A1525" s="3">
        <v>152.30000000000001</v>
      </c>
      <c r="B1525" s="3">
        <v>20</v>
      </c>
      <c r="C1525" s="3">
        <f t="shared" si="69"/>
        <v>20</v>
      </c>
      <c r="D1525" s="3">
        <f t="shared" si="71"/>
        <v>400</v>
      </c>
      <c r="E1525" s="3">
        <f t="shared" si="70"/>
        <v>400</v>
      </c>
    </row>
    <row r="1526" spans="1:5">
      <c r="A1526" s="3">
        <v>152.4</v>
      </c>
      <c r="B1526" s="3">
        <v>20</v>
      </c>
      <c r="C1526" s="3">
        <f t="shared" si="69"/>
        <v>20</v>
      </c>
      <c r="D1526" s="3">
        <f t="shared" si="71"/>
        <v>400</v>
      </c>
      <c r="E1526" s="3">
        <f t="shared" si="70"/>
        <v>400</v>
      </c>
    </row>
    <row r="1527" spans="1:5">
      <c r="A1527" s="3">
        <v>152.5</v>
      </c>
      <c r="B1527" s="3">
        <v>20</v>
      </c>
      <c r="C1527" s="3">
        <f t="shared" si="69"/>
        <v>20</v>
      </c>
      <c r="D1527" s="3">
        <f t="shared" si="71"/>
        <v>400</v>
      </c>
      <c r="E1527" s="3">
        <f t="shared" si="70"/>
        <v>400</v>
      </c>
    </row>
    <row r="1528" spans="1:5">
      <c r="A1528" s="3">
        <v>152.6</v>
      </c>
      <c r="B1528" s="3">
        <v>20</v>
      </c>
      <c r="C1528" s="3">
        <f t="shared" si="69"/>
        <v>20</v>
      </c>
      <c r="D1528" s="3">
        <f t="shared" si="71"/>
        <v>400</v>
      </c>
      <c r="E1528" s="3">
        <f t="shared" si="70"/>
        <v>400</v>
      </c>
    </row>
    <row r="1529" spans="1:5">
      <c r="A1529" s="3">
        <v>152.69999999999999</v>
      </c>
      <c r="B1529" s="3">
        <v>20</v>
      </c>
      <c r="C1529" s="3">
        <f t="shared" si="69"/>
        <v>20</v>
      </c>
      <c r="D1529" s="3">
        <f t="shared" si="71"/>
        <v>400</v>
      </c>
      <c r="E1529" s="3">
        <f t="shared" si="70"/>
        <v>400</v>
      </c>
    </row>
    <row r="1530" spans="1:5">
      <c r="A1530" s="3">
        <v>152.80000000000001</v>
      </c>
      <c r="B1530" s="3">
        <v>20</v>
      </c>
      <c r="C1530" s="3">
        <f t="shared" si="69"/>
        <v>20</v>
      </c>
      <c r="D1530" s="3">
        <f t="shared" si="71"/>
        <v>400</v>
      </c>
      <c r="E1530" s="3">
        <f t="shared" si="70"/>
        <v>400</v>
      </c>
    </row>
    <row r="1531" spans="1:5">
      <c r="A1531" s="3">
        <v>152.9</v>
      </c>
      <c r="B1531" s="3">
        <v>20</v>
      </c>
      <c r="C1531" s="3">
        <f t="shared" si="69"/>
        <v>20</v>
      </c>
      <c r="D1531" s="3">
        <f t="shared" si="71"/>
        <v>400</v>
      </c>
      <c r="E1531" s="3">
        <f t="shared" si="70"/>
        <v>400</v>
      </c>
    </row>
    <row r="1532" spans="1:5">
      <c r="A1532" s="3">
        <v>153</v>
      </c>
      <c r="B1532" s="3">
        <v>20</v>
      </c>
      <c r="C1532" s="3">
        <f t="shared" si="69"/>
        <v>20</v>
      </c>
      <c r="D1532" s="3">
        <f t="shared" si="71"/>
        <v>400</v>
      </c>
      <c r="E1532" s="3">
        <f t="shared" si="70"/>
        <v>400</v>
      </c>
    </row>
    <row r="1533" spans="1:5">
      <c r="A1533" s="3">
        <v>153.1</v>
      </c>
      <c r="B1533" s="3">
        <v>20</v>
      </c>
      <c r="C1533" s="3">
        <f t="shared" si="69"/>
        <v>20</v>
      </c>
      <c r="D1533" s="3">
        <f t="shared" si="71"/>
        <v>400</v>
      </c>
      <c r="E1533" s="3">
        <f t="shared" si="70"/>
        <v>400</v>
      </c>
    </row>
    <row r="1534" spans="1:5">
      <c r="A1534" s="3">
        <v>153.19999999999999</v>
      </c>
      <c r="B1534" s="3">
        <v>20</v>
      </c>
      <c r="C1534" s="3">
        <f t="shared" si="69"/>
        <v>20</v>
      </c>
      <c r="D1534" s="3">
        <f t="shared" si="71"/>
        <v>400</v>
      </c>
      <c r="E1534" s="3">
        <f t="shared" si="70"/>
        <v>400</v>
      </c>
    </row>
    <row r="1535" spans="1:5">
      <c r="A1535" s="3">
        <v>153.30000000000001</v>
      </c>
      <c r="B1535" s="3">
        <v>20</v>
      </c>
      <c r="C1535" s="3">
        <f t="shared" si="69"/>
        <v>20</v>
      </c>
      <c r="D1535" s="3">
        <f t="shared" si="71"/>
        <v>400</v>
      </c>
      <c r="E1535" s="3">
        <f t="shared" si="70"/>
        <v>400</v>
      </c>
    </row>
    <row r="1536" spans="1:5">
      <c r="A1536" s="3">
        <v>153.4</v>
      </c>
      <c r="B1536" s="3">
        <v>20</v>
      </c>
      <c r="C1536" s="3">
        <f t="shared" si="69"/>
        <v>20</v>
      </c>
      <c r="D1536" s="3">
        <f t="shared" si="71"/>
        <v>400</v>
      </c>
      <c r="E1536" s="3">
        <f t="shared" si="70"/>
        <v>400</v>
      </c>
    </row>
    <row r="1537" spans="1:5">
      <c r="A1537" s="3">
        <v>153.5</v>
      </c>
      <c r="B1537" s="3">
        <v>20</v>
      </c>
      <c r="C1537" s="3">
        <f t="shared" si="69"/>
        <v>20</v>
      </c>
      <c r="D1537" s="3">
        <f t="shared" si="71"/>
        <v>400</v>
      </c>
      <c r="E1537" s="3">
        <f t="shared" si="70"/>
        <v>400</v>
      </c>
    </row>
    <row r="1538" spans="1:5">
      <c r="A1538" s="3">
        <v>153.6</v>
      </c>
      <c r="B1538" s="3">
        <v>20</v>
      </c>
      <c r="C1538" s="3">
        <f t="shared" ref="C1538:C1593" si="72">ROUND(SQRT(E1538),2)</f>
        <v>20</v>
      </c>
      <c r="D1538" s="3">
        <f t="shared" si="71"/>
        <v>400</v>
      </c>
      <c r="E1538" s="3">
        <f t="shared" ref="E1538:E1592" si="73">MIN(D1538, E1539+$H$4)</f>
        <v>400</v>
      </c>
    </row>
    <row r="1539" spans="1:5">
      <c r="A1539" s="3">
        <v>153.69999999999999</v>
      </c>
      <c r="B1539" s="3">
        <v>20</v>
      </c>
      <c r="C1539" s="3">
        <f t="shared" si="72"/>
        <v>20</v>
      </c>
      <c r="D1539" s="3">
        <f t="shared" ref="D1539:D1593" si="74">MIN(B1539^2, D1538+$H$4)</f>
        <v>400</v>
      </c>
      <c r="E1539" s="3">
        <f t="shared" si="73"/>
        <v>400</v>
      </c>
    </row>
    <row r="1540" spans="1:5">
      <c r="A1540" s="3">
        <v>153.80000000000001</v>
      </c>
      <c r="B1540" s="3">
        <v>20</v>
      </c>
      <c r="C1540" s="3">
        <f t="shared" si="72"/>
        <v>20</v>
      </c>
      <c r="D1540" s="3">
        <f t="shared" si="74"/>
        <v>400</v>
      </c>
      <c r="E1540" s="3">
        <f t="shared" si="73"/>
        <v>400</v>
      </c>
    </row>
    <row r="1541" spans="1:5">
      <c r="A1541" s="3">
        <v>153.9</v>
      </c>
      <c r="B1541" s="3">
        <v>20</v>
      </c>
      <c r="C1541" s="3">
        <f t="shared" si="72"/>
        <v>20</v>
      </c>
      <c r="D1541" s="3">
        <f t="shared" si="74"/>
        <v>400</v>
      </c>
      <c r="E1541" s="3">
        <f t="shared" si="73"/>
        <v>400</v>
      </c>
    </row>
    <row r="1542" spans="1:5">
      <c r="A1542" s="3">
        <v>154</v>
      </c>
      <c r="B1542" s="3">
        <v>20</v>
      </c>
      <c r="C1542" s="3">
        <f t="shared" si="72"/>
        <v>20</v>
      </c>
      <c r="D1542" s="3">
        <f t="shared" si="74"/>
        <v>400</v>
      </c>
      <c r="E1542" s="3">
        <f t="shared" si="73"/>
        <v>400</v>
      </c>
    </row>
    <row r="1543" spans="1:5">
      <c r="A1543" s="3">
        <v>154.1</v>
      </c>
      <c r="B1543" s="3">
        <v>20</v>
      </c>
      <c r="C1543" s="3">
        <f t="shared" si="72"/>
        <v>20</v>
      </c>
      <c r="D1543" s="3">
        <f t="shared" si="74"/>
        <v>400</v>
      </c>
      <c r="E1543" s="3">
        <f t="shared" si="73"/>
        <v>400</v>
      </c>
    </row>
    <row r="1544" spans="1:5">
      <c r="A1544" s="3">
        <v>154.19999999999999</v>
      </c>
      <c r="B1544" s="3">
        <v>20</v>
      </c>
      <c r="C1544" s="3">
        <f t="shared" si="72"/>
        <v>20</v>
      </c>
      <c r="D1544" s="3">
        <f t="shared" si="74"/>
        <v>400</v>
      </c>
      <c r="E1544" s="3">
        <f t="shared" si="73"/>
        <v>400</v>
      </c>
    </row>
    <row r="1545" spans="1:5">
      <c r="A1545" s="3">
        <v>154.30000000000001</v>
      </c>
      <c r="B1545" s="3">
        <v>20</v>
      </c>
      <c r="C1545" s="3">
        <f t="shared" si="72"/>
        <v>20</v>
      </c>
      <c r="D1545" s="3">
        <f t="shared" si="74"/>
        <v>400</v>
      </c>
      <c r="E1545" s="3">
        <f t="shared" si="73"/>
        <v>400</v>
      </c>
    </row>
    <row r="1546" spans="1:5">
      <c r="A1546" s="3">
        <v>154.4</v>
      </c>
      <c r="B1546" s="3">
        <v>20</v>
      </c>
      <c r="C1546" s="3">
        <f t="shared" si="72"/>
        <v>20</v>
      </c>
      <c r="D1546" s="3">
        <f t="shared" si="74"/>
        <v>400</v>
      </c>
      <c r="E1546" s="3">
        <f t="shared" si="73"/>
        <v>400</v>
      </c>
    </row>
    <row r="1547" spans="1:5">
      <c r="A1547" s="3">
        <v>154.5</v>
      </c>
      <c r="B1547" s="3">
        <v>20</v>
      </c>
      <c r="C1547" s="3">
        <f t="shared" si="72"/>
        <v>20</v>
      </c>
      <c r="D1547" s="3">
        <f t="shared" si="74"/>
        <v>400</v>
      </c>
      <c r="E1547" s="3">
        <f t="shared" si="73"/>
        <v>400</v>
      </c>
    </row>
    <row r="1548" spans="1:5">
      <c r="A1548" s="3">
        <v>154.6</v>
      </c>
      <c r="B1548" s="3">
        <v>20</v>
      </c>
      <c r="C1548" s="3">
        <f t="shared" si="72"/>
        <v>20</v>
      </c>
      <c r="D1548" s="3">
        <f t="shared" si="74"/>
        <v>400</v>
      </c>
      <c r="E1548" s="3">
        <f t="shared" si="73"/>
        <v>400</v>
      </c>
    </row>
    <row r="1549" spans="1:5">
      <c r="A1549" s="3">
        <v>154.69999999999999</v>
      </c>
      <c r="B1549" s="3">
        <v>20</v>
      </c>
      <c r="C1549" s="3">
        <f t="shared" si="72"/>
        <v>20</v>
      </c>
      <c r="D1549" s="3">
        <f t="shared" si="74"/>
        <v>400</v>
      </c>
      <c r="E1549" s="3">
        <f t="shared" si="73"/>
        <v>400</v>
      </c>
    </row>
    <row r="1550" spans="1:5">
      <c r="A1550" s="3">
        <v>154.80000000000001</v>
      </c>
      <c r="B1550" s="3">
        <v>20</v>
      </c>
      <c r="C1550" s="3">
        <f t="shared" si="72"/>
        <v>20</v>
      </c>
      <c r="D1550" s="3">
        <f t="shared" si="74"/>
        <v>400</v>
      </c>
      <c r="E1550" s="3">
        <f t="shared" si="73"/>
        <v>400</v>
      </c>
    </row>
    <row r="1551" spans="1:5">
      <c r="A1551" s="3">
        <v>154.9</v>
      </c>
      <c r="B1551" s="3">
        <v>20</v>
      </c>
      <c r="C1551" s="3">
        <f t="shared" si="72"/>
        <v>20</v>
      </c>
      <c r="D1551" s="3">
        <f t="shared" si="74"/>
        <v>400</v>
      </c>
      <c r="E1551" s="3">
        <f t="shared" si="73"/>
        <v>400</v>
      </c>
    </row>
    <row r="1552" spans="1:5">
      <c r="A1552" s="3">
        <v>155</v>
      </c>
      <c r="B1552" s="3">
        <v>20</v>
      </c>
      <c r="C1552" s="3">
        <f t="shared" si="72"/>
        <v>20</v>
      </c>
      <c r="D1552" s="3">
        <f t="shared" si="74"/>
        <v>400</v>
      </c>
      <c r="E1552" s="3">
        <f t="shared" si="73"/>
        <v>400</v>
      </c>
    </row>
    <row r="1553" spans="1:5">
      <c r="A1553" s="3">
        <v>155.1</v>
      </c>
      <c r="B1553" s="3">
        <v>20</v>
      </c>
      <c r="C1553" s="3">
        <f t="shared" si="72"/>
        <v>20</v>
      </c>
      <c r="D1553" s="3">
        <f t="shared" si="74"/>
        <v>400</v>
      </c>
      <c r="E1553" s="3">
        <f t="shared" si="73"/>
        <v>400</v>
      </c>
    </row>
    <row r="1554" spans="1:5">
      <c r="A1554" s="3">
        <v>155.19999999999999</v>
      </c>
      <c r="B1554" s="3">
        <v>20</v>
      </c>
      <c r="C1554" s="3">
        <f t="shared" si="72"/>
        <v>20</v>
      </c>
      <c r="D1554" s="3">
        <f t="shared" si="74"/>
        <v>400</v>
      </c>
      <c r="E1554" s="3">
        <f t="shared" si="73"/>
        <v>400</v>
      </c>
    </row>
    <row r="1555" spans="1:5">
      <c r="A1555" s="3">
        <v>155.30000000000001</v>
      </c>
      <c r="B1555" s="3">
        <v>20</v>
      </c>
      <c r="C1555" s="3">
        <f t="shared" si="72"/>
        <v>20</v>
      </c>
      <c r="D1555" s="3">
        <f t="shared" si="74"/>
        <v>400</v>
      </c>
      <c r="E1555" s="3">
        <f t="shared" si="73"/>
        <v>400</v>
      </c>
    </row>
    <row r="1556" spans="1:5">
      <c r="A1556" s="3">
        <v>155.4</v>
      </c>
      <c r="B1556" s="3">
        <v>20</v>
      </c>
      <c r="C1556" s="3">
        <f t="shared" si="72"/>
        <v>20</v>
      </c>
      <c r="D1556" s="3">
        <f t="shared" si="74"/>
        <v>400</v>
      </c>
      <c r="E1556" s="3">
        <f t="shared" si="73"/>
        <v>400</v>
      </c>
    </row>
    <row r="1557" spans="1:5">
      <c r="A1557" s="3">
        <v>155.5</v>
      </c>
      <c r="B1557" s="3">
        <v>20</v>
      </c>
      <c r="C1557" s="3">
        <f t="shared" si="72"/>
        <v>20</v>
      </c>
      <c r="D1557" s="3">
        <f t="shared" si="74"/>
        <v>400</v>
      </c>
      <c r="E1557" s="3">
        <f t="shared" si="73"/>
        <v>400</v>
      </c>
    </row>
    <row r="1558" spans="1:5">
      <c r="A1558" s="3">
        <v>155.6</v>
      </c>
      <c r="B1558" s="3">
        <v>20</v>
      </c>
      <c r="C1558" s="3">
        <f t="shared" si="72"/>
        <v>20</v>
      </c>
      <c r="D1558" s="3">
        <f t="shared" si="74"/>
        <v>400</v>
      </c>
      <c r="E1558" s="3">
        <f t="shared" si="73"/>
        <v>400</v>
      </c>
    </row>
    <row r="1559" spans="1:5">
      <c r="A1559" s="3">
        <v>155.69999999999999</v>
      </c>
      <c r="B1559" s="3">
        <v>20</v>
      </c>
      <c r="C1559" s="3">
        <f t="shared" si="72"/>
        <v>20</v>
      </c>
      <c r="D1559" s="3">
        <f t="shared" si="74"/>
        <v>400</v>
      </c>
      <c r="E1559" s="3">
        <f t="shared" si="73"/>
        <v>400</v>
      </c>
    </row>
    <row r="1560" spans="1:5">
      <c r="A1560" s="3">
        <v>155.80000000000001</v>
      </c>
      <c r="B1560" s="3">
        <v>20</v>
      </c>
      <c r="C1560" s="3">
        <f t="shared" si="72"/>
        <v>20</v>
      </c>
      <c r="D1560" s="3">
        <f t="shared" si="74"/>
        <v>400</v>
      </c>
      <c r="E1560" s="3">
        <f t="shared" si="73"/>
        <v>400</v>
      </c>
    </row>
    <row r="1561" spans="1:5">
      <c r="A1561" s="3">
        <v>155.9</v>
      </c>
      <c r="B1561" s="3">
        <v>20</v>
      </c>
      <c r="C1561" s="3">
        <f t="shared" si="72"/>
        <v>20</v>
      </c>
      <c r="D1561" s="3">
        <f t="shared" si="74"/>
        <v>400</v>
      </c>
      <c r="E1561" s="3">
        <f t="shared" si="73"/>
        <v>400</v>
      </c>
    </row>
    <row r="1562" spans="1:5">
      <c r="A1562" s="3">
        <v>156</v>
      </c>
      <c r="B1562" s="3">
        <v>20</v>
      </c>
      <c r="C1562" s="3">
        <f t="shared" si="72"/>
        <v>20</v>
      </c>
      <c r="D1562" s="3">
        <f t="shared" si="74"/>
        <v>400</v>
      </c>
      <c r="E1562" s="3">
        <f t="shared" si="73"/>
        <v>400</v>
      </c>
    </row>
    <row r="1563" spans="1:5">
      <c r="A1563" s="3">
        <v>156.1</v>
      </c>
      <c r="B1563" s="3">
        <v>20</v>
      </c>
      <c r="C1563" s="3">
        <f t="shared" si="72"/>
        <v>20</v>
      </c>
      <c r="D1563" s="3">
        <f t="shared" si="74"/>
        <v>400</v>
      </c>
      <c r="E1563" s="3">
        <f t="shared" si="73"/>
        <v>400</v>
      </c>
    </row>
    <row r="1564" spans="1:5">
      <c r="A1564" s="3">
        <v>156.19999999999999</v>
      </c>
      <c r="B1564" s="3">
        <v>20</v>
      </c>
      <c r="C1564" s="3">
        <f t="shared" si="72"/>
        <v>20</v>
      </c>
      <c r="D1564" s="3">
        <f t="shared" si="74"/>
        <v>400</v>
      </c>
      <c r="E1564" s="3">
        <f t="shared" si="73"/>
        <v>400</v>
      </c>
    </row>
    <row r="1565" spans="1:5">
      <c r="A1565" s="3">
        <v>156.30000000000001</v>
      </c>
      <c r="B1565" s="3">
        <v>20</v>
      </c>
      <c r="C1565" s="3">
        <f t="shared" si="72"/>
        <v>20</v>
      </c>
      <c r="D1565" s="3">
        <f t="shared" si="74"/>
        <v>400</v>
      </c>
      <c r="E1565" s="3">
        <f t="shared" si="73"/>
        <v>400</v>
      </c>
    </row>
    <row r="1566" spans="1:5">
      <c r="A1566" s="3">
        <v>156.4</v>
      </c>
      <c r="B1566" s="3">
        <v>20</v>
      </c>
      <c r="C1566" s="3">
        <f t="shared" si="72"/>
        <v>20</v>
      </c>
      <c r="D1566" s="3">
        <f t="shared" si="74"/>
        <v>400</v>
      </c>
      <c r="E1566" s="3">
        <f t="shared" si="73"/>
        <v>400</v>
      </c>
    </row>
    <row r="1567" spans="1:5">
      <c r="A1567" s="3">
        <v>156.5</v>
      </c>
      <c r="B1567" s="3">
        <v>20</v>
      </c>
      <c r="C1567" s="3">
        <f t="shared" si="72"/>
        <v>20</v>
      </c>
      <c r="D1567" s="3">
        <f t="shared" si="74"/>
        <v>400</v>
      </c>
      <c r="E1567" s="3">
        <f t="shared" si="73"/>
        <v>400</v>
      </c>
    </row>
    <row r="1568" spans="1:5">
      <c r="A1568" s="3">
        <v>156.6</v>
      </c>
      <c r="B1568" s="3">
        <v>20</v>
      </c>
      <c r="C1568" s="3">
        <f t="shared" si="72"/>
        <v>20</v>
      </c>
      <c r="D1568" s="3">
        <f t="shared" si="74"/>
        <v>400</v>
      </c>
      <c r="E1568" s="3">
        <f t="shared" si="73"/>
        <v>400</v>
      </c>
    </row>
    <row r="1569" spans="1:5">
      <c r="A1569" s="3">
        <v>156.69999999999999</v>
      </c>
      <c r="B1569" s="3">
        <v>20</v>
      </c>
      <c r="C1569" s="3">
        <f t="shared" si="72"/>
        <v>20</v>
      </c>
      <c r="D1569" s="3">
        <f t="shared" si="74"/>
        <v>400</v>
      </c>
      <c r="E1569" s="3">
        <f t="shared" si="73"/>
        <v>400</v>
      </c>
    </row>
    <row r="1570" spans="1:5">
      <c r="A1570" s="3">
        <v>156.80000000000001</v>
      </c>
      <c r="B1570" s="3">
        <v>20</v>
      </c>
      <c r="C1570" s="3">
        <f t="shared" si="72"/>
        <v>20</v>
      </c>
      <c r="D1570" s="3">
        <f t="shared" si="74"/>
        <v>400</v>
      </c>
      <c r="E1570" s="3">
        <f t="shared" si="73"/>
        <v>400</v>
      </c>
    </row>
    <row r="1571" spans="1:5">
      <c r="A1571" s="3">
        <v>156.9</v>
      </c>
      <c r="B1571" s="3">
        <v>20</v>
      </c>
      <c r="C1571" s="3">
        <f t="shared" si="72"/>
        <v>20</v>
      </c>
      <c r="D1571" s="3">
        <f t="shared" si="74"/>
        <v>400</v>
      </c>
      <c r="E1571" s="3">
        <f t="shared" si="73"/>
        <v>400</v>
      </c>
    </row>
    <row r="1572" spans="1:5">
      <c r="A1572" s="3">
        <v>157</v>
      </c>
      <c r="B1572" s="3">
        <v>20</v>
      </c>
      <c r="C1572" s="3">
        <f t="shared" si="72"/>
        <v>20</v>
      </c>
      <c r="D1572" s="3">
        <f t="shared" si="74"/>
        <v>400</v>
      </c>
      <c r="E1572" s="3">
        <f t="shared" si="73"/>
        <v>400</v>
      </c>
    </row>
    <row r="1573" spans="1:5">
      <c r="A1573" s="3">
        <v>157.1</v>
      </c>
      <c r="B1573" s="3">
        <v>20</v>
      </c>
      <c r="C1573" s="3">
        <f t="shared" si="72"/>
        <v>20</v>
      </c>
      <c r="D1573" s="3">
        <f t="shared" si="74"/>
        <v>400</v>
      </c>
      <c r="E1573" s="3">
        <f t="shared" si="73"/>
        <v>400</v>
      </c>
    </row>
    <row r="1574" spans="1:5">
      <c r="A1574" s="3">
        <v>157.19999999999999</v>
      </c>
      <c r="B1574" s="3">
        <v>20</v>
      </c>
      <c r="C1574" s="3">
        <f t="shared" si="72"/>
        <v>20</v>
      </c>
      <c r="D1574" s="3">
        <f t="shared" si="74"/>
        <v>400</v>
      </c>
      <c r="E1574" s="3">
        <f t="shared" si="73"/>
        <v>400</v>
      </c>
    </row>
    <row r="1575" spans="1:5">
      <c r="A1575" s="3">
        <v>157.30000000000001</v>
      </c>
      <c r="B1575" s="3">
        <v>20</v>
      </c>
      <c r="C1575" s="3">
        <f t="shared" si="72"/>
        <v>20</v>
      </c>
      <c r="D1575" s="3">
        <f t="shared" si="74"/>
        <v>400</v>
      </c>
      <c r="E1575" s="3">
        <f t="shared" si="73"/>
        <v>400</v>
      </c>
    </row>
    <row r="1576" spans="1:5">
      <c r="A1576" s="3">
        <v>157.4</v>
      </c>
      <c r="B1576" s="3">
        <v>20</v>
      </c>
      <c r="C1576" s="3">
        <f t="shared" si="72"/>
        <v>20</v>
      </c>
      <c r="D1576" s="3">
        <f t="shared" si="74"/>
        <v>400</v>
      </c>
      <c r="E1576" s="3">
        <f t="shared" si="73"/>
        <v>400</v>
      </c>
    </row>
    <row r="1577" spans="1:5">
      <c r="A1577" s="3">
        <v>157.5</v>
      </c>
      <c r="B1577" s="3">
        <v>20</v>
      </c>
      <c r="C1577" s="3">
        <f t="shared" si="72"/>
        <v>20</v>
      </c>
      <c r="D1577" s="3">
        <f t="shared" si="74"/>
        <v>400</v>
      </c>
      <c r="E1577" s="3">
        <f t="shared" si="73"/>
        <v>400</v>
      </c>
    </row>
    <row r="1578" spans="1:5">
      <c r="A1578" s="3">
        <v>157.6</v>
      </c>
      <c r="B1578" s="3">
        <v>20</v>
      </c>
      <c r="C1578" s="3">
        <f t="shared" si="72"/>
        <v>20</v>
      </c>
      <c r="D1578" s="3">
        <f t="shared" si="74"/>
        <v>400</v>
      </c>
      <c r="E1578" s="3">
        <f t="shared" si="73"/>
        <v>400</v>
      </c>
    </row>
    <row r="1579" spans="1:5">
      <c r="A1579" s="3">
        <v>157.69999999999999</v>
      </c>
      <c r="B1579" s="3">
        <v>20</v>
      </c>
      <c r="C1579" s="3">
        <f t="shared" si="72"/>
        <v>20</v>
      </c>
      <c r="D1579" s="3">
        <f t="shared" si="74"/>
        <v>400</v>
      </c>
      <c r="E1579" s="3">
        <f t="shared" si="73"/>
        <v>400</v>
      </c>
    </row>
    <row r="1580" spans="1:5">
      <c r="A1580" s="3">
        <v>157.80000000000001</v>
      </c>
      <c r="B1580" s="3">
        <v>20</v>
      </c>
      <c r="C1580" s="3">
        <f t="shared" si="72"/>
        <v>20</v>
      </c>
      <c r="D1580" s="3">
        <f t="shared" si="74"/>
        <v>400</v>
      </c>
      <c r="E1580" s="3">
        <f t="shared" si="73"/>
        <v>400</v>
      </c>
    </row>
    <row r="1581" spans="1:5">
      <c r="A1581" s="3">
        <v>157.9</v>
      </c>
      <c r="B1581" s="3">
        <v>20</v>
      </c>
      <c r="C1581" s="3">
        <f t="shared" si="72"/>
        <v>20</v>
      </c>
      <c r="D1581" s="3">
        <f t="shared" si="74"/>
        <v>400</v>
      </c>
      <c r="E1581" s="3">
        <f t="shared" si="73"/>
        <v>400</v>
      </c>
    </row>
    <row r="1582" spans="1:5">
      <c r="A1582" s="3">
        <v>158</v>
      </c>
      <c r="B1582" s="3">
        <v>20</v>
      </c>
      <c r="C1582" s="3">
        <f t="shared" si="72"/>
        <v>20</v>
      </c>
      <c r="D1582" s="3">
        <f t="shared" si="74"/>
        <v>400</v>
      </c>
      <c r="E1582" s="3">
        <f t="shared" si="73"/>
        <v>400</v>
      </c>
    </row>
    <row r="1583" spans="1:5">
      <c r="A1583" s="3">
        <v>158.1</v>
      </c>
      <c r="B1583" s="3">
        <v>20</v>
      </c>
      <c r="C1583" s="3">
        <f t="shared" si="72"/>
        <v>20</v>
      </c>
      <c r="D1583" s="3">
        <f t="shared" si="74"/>
        <v>400</v>
      </c>
      <c r="E1583" s="3">
        <f t="shared" si="73"/>
        <v>400</v>
      </c>
    </row>
    <row r="1584" spans="1:5">
      <c r="A1584" s="3">
        <v>158.19999999999999</v>
      </c>
      <c r="B1584" s="3">
        <v>20</v>
      </c>
      <c r="C1584" s="3">
        <f t="shared" si="72"/>
        <v>20</v>
      </c>
      <c r="D1584" s="3">
        <f t="shared" si="74"/>
        <v>400</v>
      </c>
      <c r="E1584" s="3">
        <f t="shared" si="73"/>
        <v>400</v>
      </c>
    </row>
    <row r="1585" spans="1:5">
      <c r="A1585" s="3">
        <v>158.30000000000001</v>
      </c>
      <c r="B1585" s="3">
        <v>20</v>
      </c>
      <c r="C1585" s="3">
        <f t="shared" si="72"/>
        <v>20</v>
      </c>
      <c r="D1585" s="3">
        <f t="shared" si="74"/>
        <v>400</v>
      </c>
      <c r="E1585" s="3">
        <f t="shared" si="73"/>
        <v>400</v>
      </c>
    </row>
    <row r="1586" spans="1:5">
      <c r="A1586" s="3">
        <v>158.4</v>
      </c>
      <c r="B1586" s="3">
        <v>20</v>
      </c>
      <c r="C1586" s="3">
        <f t="shared" si="72"/>
        <v>20</v>
      </c>
      <c r="D1586" s="3">
        <f t="shared" si="74"/>
        <v>400</v>
      </c>
      <c r="E1586" s="3">
        <f t="shared" si="73"/>
        <v>400</v>
      </c>
    </row>
    <row r="1587" spans="1:5">
      <c r="A1587" s="3">
        <v>158.5</v>
      </c>
      <c r="B1587" s="3">
        <v>20</v>
      </c>
      <c r="C1587" s="3">
        <f t="shared" si="72"/>
        <v>20</v>
      </c>
      <c r="D1587" s="3">
        <f t="shared" si="74"/>
        <v>400</v>
      </c>
      <c r="E1587" s="3">
        <f t="shared" si="73"/>
        <v>400</v>
      </c>
    </row>
    <row r="1588" spans="1:5">
      <c r="A1588" s="3">
        <v>158.6</v>
      </c>
      <c r="B1588" s="3">
        <v>20</v>
      </c>
      <c r="C1588" s="3">
        <f t="shared" si="72"/>
        <v>20</v>
      </c>
      <c r="D1588" s="3">
        <f t="shared" si="74"/>
        <v>400</v>
      </c>
      <c r="E1588" s="3">
        <f t="shared" si="73"/>
        <v>400</v>
      </c>
    </row>
    <row r="1589" spans="1:5">
      <c r="A1589" s="3">
        <v>158.69999999999999</v>
      </c>
      <c r="B1589" s="3">
        <v>20</v>
      </c>
      <c r="C1589" s="3">
        <f t="shared" si="72"/>
        <v>20</v>
      </c>
      <c r="D1589" s="3">
        <f t="shared" si="74"/>
        <v>400</v>
      </c>
      <c r="E1589" s="3">
        <f t="shared" si="73"/>
        <v>400</v>
      </c>
    </row>
    <row r="1590" spans="1:5">
      <c r="A1590" s="3">
        <v>158.80000000000001</v>
      </c>
      <c r="B1590" s="3">
        <v>20</v>
      </c>
      <c r="C1590" s="3">
        <f t="shared" si="72"/>
        <v>20</v>
      </c>
      <c r="D1590" s="3">
        <f t="shared" si="74"/>
        <v>400</v>
      </c>
      <c r="E1590" s="3">
        <f t="shared" si="73"/>
        <v>400</v>
      </c>
    </row>
    <row r="1591" spans="1:5">
      <c r="A1591" s="3">
        <v>158.9</v>
      </c>
      <c r="B1591" s="3">
        <v>20</v>
      </c>
      <c r="C1591" s="3">
        <f t="shared" si="72"/>
        <v>18.97</v>
      </c>
      <c r="D1591" s="3">
        <f t="shared" si="74"/>
        <v>400</v>
      </c>
      <c r="E1591" s="3">
        <f t="shared" si="73"/>
        <v>360</v>
      </c>
    </row>
    <row r="1592" spans="1:5">
      <c r="A1592" s="3">
        <v>159</v>
      </c>
      <c r="B1592" s="3">
        <v>20</v>
      </c>
      <c r="C1592" s="3">
        <f t="shared" si="72"/>
        <v>13.42</v>
      </c>
      <c r="D1592" s="3">
        <f t="shared" si="74"/>
        <v>400</v>
      </c>
      <c r="E1592" s="3">
        <f t="shared" si="73"/>
        <v>180</v>
      </c>
    </row>
    <row r="1593" spans="1:5">
      <c r="A1593" s="3">
        <v>159.1</v>
      </c>
      <c r="B1593" s="3">
        <v>0</v>
      </c>
      <c r="C1593" s="3">
        <f t="shared" si="72"/>
        <v>0</v>
      </c>
      <c r="D1593" s="3">
        <f t="shared" si="74"/>
        <v>0</v>
      </c>
      <c r="E1593" s="3">
        <f>D1593</f>
        <v>0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0BA2D7-078A-47D6-906C-400C76A811BB}">
  <dimension ref="A1:F31"/>
  <sheetViews>
    <sheetView tabSelected="1" workbookViewId="0">
      <selection activeCell="B6" sqref="B6"/>
    </sheetView>
  </sheetViews>
  <sheetFormatPr defaultRowHeight="15"/>
  <cols>
    <col min="1" max="1" width="41.7109375" customWidth="1"/>
    <col min="2" max="2" width="28.140625" customWidth="1"/>
    <col min="7" max="7" width="34.42578125" customWidth="1"/>
  </cols>
  <sheetData>
    <row r="1" spans="1:3">
      <c r="B1" s="3" t="s">
        <v>104</v>
      </c>
      <c r="C1" s="3"/>
    </row>
    <row r="2" spans="1:3">
      <c r="A2" t="s">
        <v>105</v>
      </c>
      <c r="B2" s="3">
        <f>94.5*PARAMS!B4</f>
        <v>189</v>
      </c>
      <c r="C2">
        <f>94.5*PARAMS!B5</f>
        <v>94.5</v>
      </c>
    </row>
    <row r="3" spans="1:3">
      <c r="A3" t="s">
        <v>106</v>
      </c>
      <c r="B3" s="3">
        <f>64.6*PARAMS!B4</f>
        <v>129.19999999999999</v>
      </c>
      <c r="C3">
        <f>64.6*PARAMS!B5</f>
        <v>64.599999999999994</v>
      </c>
    </row>
    <row r="4" spans="1:3">
      <c r="A4" t="s">
        <v>107</v>
      </c>
      <c r="B4" s="3">
        <f>3*PARAMS!B4</f>
        <v>6</v>
      </c>
      <c r="C4">
        <f>C2+C3</f>
        <v>159.1</v>
      </c>
    </row>
    <row r="5" spans="1:3">
      <c r="A5" t="s">
        <v>108</v>
      </c>
      <c r="B5" s="3">
        <f>PARAMS!B6-'DWELL PLANS'!B2</f>
        <v>76</v>
      </c>
      <c r="C5" s="3"/>
    </row>
    <row r="6" spans="1:3">
      <c r="A6" t="s">
        <v>109</v>
      </c>
      <c r="B6" s="3" t="e" vm="1">
        <f>MAX(0,[2]Parameters!$B$25+B3+B4-B5)</f>
        <v>#VALUE!</v>
      </c>
      <c r="C6" s="3"/>
    </row>
    <row r="7" spans="1:3">
      <c r="A7" t="s">
        <v>110</v>
      </c>
      <c r="B7" s="3" t="e" vm="2">
        <f>B5+B6-B3-B4</f>
        <v>#VALUE!</v>
      </c>
      <c r="C7" s="3"/>
    </row>
    <row r="8" spans="1:3">
      <c r="A8" t="s">
        <v>111</v>
      </c>
      <c r="B8" s="3" t="e" vm="1">
        <f>MIN(MAX(0,[2]Parameters!$B$25+C4-B7),[2]Parameters!$B$6-B7)</f>
        <v>#VALUE!</v>
      </c>
      <c r="C8" s="3"/>
    </row>
    <row r="9" spans="1:3">
      <c r="A9" t="s">
        <v>112</v>
      </c>
      <c r="B9" s="3" t="e" vm="2">
        <f>B7+B8-C2</f>
        <v>#VALUE!</v>
      </c>
      <c r="C9" s="3"/>
    </row>
    <row r="10" spans="1:3">
      <c r="A10" t="s">
        <v>113</v>
      </c>
      <c r="B10" s="3" t="e" vm="1">
        <f>MAX(0,[2]Parameters!$B$25+C3-B9)</f>
        <v>#VALUE!</v>
      </c>
      <c r="C10" s="3"/>
    </row>
    <row r="11" spans="1:3">
      <c r="A11" t="s">
        <v>114</v>
      </c>
      <c r="B11" s="3" t="e" vm="2">
        <f>B9+B10-C3</f>
        <v>#VALUE!</v>
      </c>
      <c r="C11" s="3"/>
    </row>
    <row r="12" spans="1:3">
      <c r="A12" t="s">
        <v>115</v>
      </c>
      <c r="B12" s="3" t="e" vm="2">
        <f>ROUNDUP(B6/[2]Parameters!$B$8*60,0)</f>
        <v>#VALUE!</v>
      </c>
      <c r="C12" s="3"/>
    </row>
    <row r="13" spans="1:3">
      <c r="A13" t="s">
        <v>116</v>
      </c>
      <c r="B13" s="3" t="e" vm="2">
        <f>ROUNDUP(B8/[2]Parameters!$B$8*60,0)</f>
        <v>#VALUE!</v>
      </c>
      <c r="C13" s="3"/>
    </row>
    <row r="14" spans="1:3">
      <c r="A14" t="s">
        <v>117</v>
      </c>
      <c r="B14" s="3" t="e" vm="2">
        <f>ROUNDUP(B10/[2]Parameters!$B$8*60,0)</f>
        <v>#VALUE!</v>
      </c>
      <c r="C14" s="3"/>
    </row>
    <row r="15" spans="1:3">
      <c r="A15" t="s">
        <v>118</v>
      </c>
      <c r="B15" s="3" t="e" vm="1">
        <f>[2]Parameters!$B$6-B11</f>
        <v>#VALUE!</v>
      </c>
      <c r="C15" s="3"/>
    </row>
    <row r="16" spans="1:3">
      <c r="A16" t="s">
        <v>119</v>
      </c>
      <c r="B16" t="e" vm="2">
        <f>ROUNDUP(B15/[2]Parameters!$B$8*60,0)*[2]Parameters!$B$20</f>
        <v>#VALUE!</v>
      </c>
    </row>
    <row r="18" spans="1:6">
      <c r="A18" s="1" t="s">
        <v>120</v>
      </c>
    </row>
    <row r="19" spans="1:6">
      <c r="A19" s="1" t="s">
        <v>121</v>
      </c>
      <c r="B19" s="1" t="s">
        <v>122</v>
      </c>
      <c r="C19" s="1" t="s">
        <v>123</v>
      </c>
      <c r="D19" s="1" t="s">
        <v>124</v>
      </c>
      <c r="E19" s="1" t="s">
        <v>125</v>
      </c>
      <c r="F19" s="1" t="s">
        <v>11</v>
      </c>
    </row>
    <row r="20" spans="1:6">
      <c r="A20" t="s">
        <v>126</v>
      </c>
      <c r="B20" t="s">
        <v>127</v>
      </c>
      <c r="C20" t="s">
        <v>127</v>
      </c>
      <c r="D20" t="s">
        <v>127</v>
      </c>
      <c r="E20" t="e" vm="1">
        <f>[2]Parameters!$B$6</f>
        <v>#VALUE!</v>
      </c>
      <c r="F20" t="s">
        <v>128</v>
      </c>
    </row>
    <row r="21" spans="1:6">
      <c r="A21" t="s">
        <v>129</v>
      </c>
      <c r="B21" t="s">
        <v>130</v>
      </c>
      <c r="C21" t="e" vm="1">
        <f>(14.8/10*60+4/MIN(20,[2]Parameters!$B$2)*60+75.7/MIN(25,[2]Parameters!$B$2)*60)</f>
        <v>#VALUE!</v>
      </c>
      <c r="D21" t="e" vm="1">
        <f>-'[2]Dwell Plans'!B1</f>
        <v>#VALUE!</v>
      </c>
      <c r="E21" t="e" vm="2">
        <f t="shared" ref="E21:E30" si="0">E20+D21</f>
        <v>#VALUE!</v>
      </c>
      <c r="F21" t="s">
        <v>131</v>
      </c>
    </row>
    <row r="22" spans="1:6">
      <c r="A22" s="2" t="s">
        <v>132</v>
      </c>
      <c r="B22" s="2" t="s">
        <v>127</v>
      </c>
      <c r="C22" s="2" t="e" vm="1">
        <f>'[2]Dwell Plans'!B11</f>
        <v>#VALUE!</v>
      </c>
      <c r="D22" s="2" t="e" vm="1">
        <f>'[2]Dwell Plans'!B5</f>
        <v>#VALUE!</v>
      </c>
      <c r="E22" s="2" t="e" vm="2">
        <f t="shared" si="0"/>
        <v>#VALUE!</v>
      </c>
      <c r="F22" s="2" t="s">
        <v>133</v>
      </c>
    </row>
    <row r="23" spans="1:6">
      <c r="A23" t="s">
        <v>134</v>
      </c>
      <c r="B23" t="s">
        <v>135</v>
      </c>
      <c r="C23" t="e" vm="1">
        <f>(2/10*60+52.1/MIN(25,[2]Parameters!$B$2)*60+10.5/MIN(20,[2]Parameters!$B$2)*60)</f>
        <v>#VALUE!</v>
      </c>
      <c r="D23" t="e" vm="1">
        <f>-'[2]Dwell Plans'!B2</f>
        <v>#VALUE!</v>
      </c>
      <c r="E23" t="e" vm="2">
        <f t="shared" si="0"/>
        <v>#VALUE!</v>
      </c>
      <c r="F23" t="s">
        <v>131</v>
      </c>
    </row>
    <row r="24" spans="1:6">
      <c r="A24" t="s">
        <v>136</v>
      </c>
      <c r="B24" t="s">
        <v>127</v>
      </c>
      <c r="C24" t="e" vm="1">
        <f>[2]Parameters!$B$14</f>
        <v>#VALUE!</v>
      </c>
      <c r="D24" t="s">
        <v>127</v>
      </c>
      <c r="E24" t="e" vm="2">
        <f t="shared" si="0"/>
        <v>#VALUE!</v>
      </c>
      <c r="F24" t="s">
        <v>137</v>
      </c>
    </row>
    <row r="25" spans="1:6">
      <c r="A25" t="s">
        <v>138</v>
      </c>
      <c r="B25" t="s">
        <v>139</v>
      </c>
      <c r="C25" t="e" vm="1">
        <f>(3/MIN(20,[2]Parameters!$B$2)*60)</f>
        <v>#VALUE!</v>
      </c>
      <c r="D25" t="e" vm="1">
        <f>-'[2]Dwell Plans'!B3</f>
        <v>#VALUE!</v>
      </c>
      <c r="E25" t="e" vm="2">
        <f t="shared" si="0"/>
        <v>#VALUE!</v>
      </c>
      <c r="F25" t="s">
        <v>140</v>
      </c>
    </row>
    <row r="26" spans="1:6">
      <c r="A26" s="2" t="s">
        <v>141</v>
      </c>
      <c r="B26" s="2" t="s">
        <v>127</v>
      </c>
      <c r="C26" s="2" t="e" vm="1">
        <f>'[2]Dwell Plans'!B12</f>
        <v>#VALUE!</v>
      </c>
      <c r="D26" s="2" t="e" vm="1">
        <f>'[2]Dwell Plans'!B7</f>
        <v>#VALUE!</v>
      </c>
      <c r="E26" s="2" t="e" vm="2">
        <f t="shared" si="0"/>
        <v>#VALUE!</v>
      </c>
      <c r="F26" s="2" t="s">
        <v>142</v>
      </c>
    </row>
    <row r="27" spans="1:6">
      <c r="A27" t="s">
        <v>143</v>
      </c>
      <c r="B27" t="s">
        <v>144</v>
      </c>
      <c r="C27" t="e" vm="1">
        <f>(3/MIN(20,[2]Parameters!$B$2)*60)+(2/10*60+52.1/MIN(25,[2]Parameters!$B$2)*60+10.5/MIN(20,[2]Parameters!$B$2)*60)</f>
        <v>#VALUE!</v>
      </c>
      <c r="D27" t="e" vm="1">
        <f>-'[2]Dwell Plans'!D1</f>
        <v>#VALUE!</v>
      </c>
      <c r="E27" t="e" vm="2">
        <f t="shared" si="0"/>
        <v>#VALUE!</v>
      </c>
      <c r="F27" t="s">
        <v>145</v>
      </c>
    </row>
    <row r="28" spans="1:6">
      <c r="A28" s="2" t="s">
        <v>146</v>
      </c>
      <c r="B28" s="2" t="s">
        <v>127</v>
      </c>
      <c r="C28" s="2" t="e" vm="1">
        <f>'[2]Dwell Plans'!B13</f>
        <v>#VALUE!</v>
      </c>
      <c r="D28" s="2" t="e" vm="1">
        <f>'[2]Dwell Plans'!B9</f>
        <v>#VALUE!</v>
      </c>
      <c r="E28" s="2" t="e" vm="2">
        <f t="shared" si="0"/>
        <v>#VALUE!</v>
      </c>
      <c r="F28" s="2" t="s">
        <v>147</v>
      </c>
    </row>
    <row r="29" spans="1:6">
      <c r="A29" t="s">
        <v>148</v>
      </c>
      <c r="B29" t="s">
        <v>130</v>
      </c>
      <c r="C29" t="e" vm="1">
        <f>(14.8/10*60+4/MIN(20,[2]Parameters!$B$2)*60+75.7/MIN(25,[2]Parameters!$B$2)*60)</f>
        <v>#VALUE!</v>
      </c>
      <c r="D29" t="e" vm="1">
        <f>-'[2]Dwell Plans'!D2</f>
        <v>#VALUE!</v>
      </c>
      <c r="E29" t="e" vm="2">
        <f t="shared" si="0"/>
        <v>#VALUE!</v>
      </c>
      <c r="F29" t="s">
        <v>145</v>
      </c>
    </row>
    <row r="30" spans="1:6">
      <c r="A30" s="2" t="s">
        <v>149</v>
      </c>
      <c r="B30" s="2" t="s">
        <v>127</v>
      </c>
      <c r="C30" s="2" t="e" vm="1">
        <f>'[2]Dwell Plans'!B15</f>
        <v>#VALUE!</v>
      </c>
      <c r="D30" s="2" t="e" vm="1">
        <f>'[2]Dwell Plans'!B14*[2]Parameters!$B$20</f>
        <v>#VALUE!</v>
      </c>
      <c r="E30" s="2" t="e" vm="2">
        <f t="shared" si="0"/>
        <v>#VALUE!</v>
      </c>
      <c r="F30" s="2" t="s">
        <v>150</v>
      </c>
    </row>
    <row r="31" spans="1:6">
      <c r="A31" s="1" t="s">
        <v>151</v>
      </c>
      <c r="B31" s="1">
        <f>2*162.1</f>
        <v>324.2</v>
      </c>
      <c r="C31" s="1" t="e" vm="2">
        <f>SUM(C20:C30)</f>
        <v>#VALUE!</v>
      </c>
      <c r="D31" s="1" t="e" vm="2">
        <f>SUM(D20:D30)</f>
        <v>#VALUE!</v>
      </c>
      <c r="E31" s="1"/>
      <c r="F31" s="1" t="e" vm="2">
        <f>TEXT(C31/1440,"h:mm")&amp;" movement+charging — full cycle on Time Budget"</f>
        <v>#VALUE!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2ED01A-69EE-49B2-9C38-3D7AF1B36EEB}">
  <dimension ref="A1:D7"/>
  <sheetViews>
    <sheetView workbookViewId="0">
      <selection activeCell="B5" sqref="B5"/>
    </sheetView>
  </sheetViews>
  <sheetFormatPr defaultRowHeight="15"/>
  <cols>
    <col min="1" max="1" width="34.140625" customWidth="1"/>
  </cols>
  <sheetData>
    <row r="1" spans="1:4">
      <c r="B1" t="s">
        <v>152</v>
      </c>
      <c r="C1" t="s">
        <v>153</v>
      </c>
    </row>
    <row r="2" spans="1:4">
      <c r="A2" t="s">
        <v>154</v>
      </c>
      <c r="B2">
        <f>PARAMS!B16*60</f>
        <v>1440</v>
      </c>
      <c r="C2" s="9"/>
    </row>
    <row r="3" spans="1:4">
      <c r="A3" t="s">
        <v>155</v>
      </c>
      <c r="B3">
        <f>-(2*(14.8/10*60+4/MIN(20,PARAMS!$B$2)*60+75.7/MIN(25,PARAMS!$B$2)*60)+2*(2/10*60+52.1/MIN(25,PARAMS!$B$2)*60+10.5/MIN(20,PARAMS!$B$2)*60)+2*(3/MIN(20,PARAMS!$B$2)*60))</f>
        <v>-920.04000000000008</v>
      </c>
    </row>
    <row r="4" spans="1:4">
      <c r="A4" t="s">
        <v>156</v>
      </c>
      <c r="B4" t="e" vm="1">
        <f>-(PARAMS!$B$10+PARAMS!$B$11+PARAMS!$B$12+PARAMS!$B$13+PARAMS!$B$14+PARAMS!$B$15*PARAMS!$B$19+IF('[1]Dwell Plans'!B12&gt;0,PARAMS!$B$12+PARAMS!$B$13,0))</f>
        <v>#VALUE!</v>
      </c>
      <c r="D4" t="s">
        <v>157</v>
      </c>
    </row>
    <row r="5" spans="1:4">
      <c r="B5" t="e" vm="2">
        <f>SUM(B2:B4)</f>
        <v>#VALUE!</v>
      </c>
    </row>
    <row r="6" spans="1:4">
      <c r="A6" t="s">
        <v>158</v>
      </c>
      <c r="B6">
        <v>-731</v>
      </c>
      <c r="D6" t="s">
        <v>159</v>
      </c>
    </row>
    <row r="7" spans="1:4">
      <c r="B7" t="e" vm="2">
        <f>SUM(B5:B6)</f>
        <v>#VALUE!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2026-07-31T18:03:43Z</dcterms:created>
  <dcterms:modified xsi:type="dcterms:W3CDTF">2026-08-04T01:17:11Z</dcterms:modified>
  <cp:category/>
  <cp:contentStatus/>
</cp:coreProperties>
</file>